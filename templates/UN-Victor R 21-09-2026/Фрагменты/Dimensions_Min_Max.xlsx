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TIS\Otis 2000R\Строительные задания\Бетон 2021\Фрагменты\"/>
    </mc:Choice>
  </mc:AlternateContent>
  <xr:revisionPtr revIDLastSave="0" documentId="13_ncr:1_{68B0C823-4473-4E73-B036-3AEA9F9DF9C1}" xr6:coauthVersionLast="45" xr6:coauthVersionMax="45" xr10:uidLastSave="{00000000-0000-0000-0000-000000000000}"/>
  <bookViews>
    <workbookView xWindow="2868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4" i="1"/>
  <c r="AO178" i="1"/>
  <c r="AN178" i="1"/>
  <c r="X178" i="1"/>
  <c r="AK178" i="1" s="1"/>
  <c r="W178" i="1"/>
  <c r="V178" i="1"/>
  <c r="AI178" i="1" s="1"/>
  <c r="U178" i="1"/>
  <c r="I178" i="1"/>
  <c r="T178" i="1" s="1"/>
  <c r="AJ178" i="1" s="1"/>
  <c r="H178" i="1"/>
  <c r="S178" i="1" s="1"/>
  <c r="AH178" i="1" s="1"/>
  <c r="AL178" i="1" s="1"/>
  <c r="AO176" i="1"/>
  <c r="AN176" i="1"/>
  <c r="X176" i="1"/>
  <c r="AK176" i="1" s="1"/>
  <c r="W176" i="1"/>
  <c r="V176" i="1"/>
  <c r="AI176" i="1" s="1"/>
  <c r="U176" i="1"/>
  <c r="I176" i="1"/>
  <c r="T176" i="1" s="1"/>
  <c r="AJ176" i="1" s="1"/>
  <c r="H176" i="1"/>
  <c r="S176" i="1" s="1"/>
  <c r="AH176" i="1" s="1"/>
  <c r="AO56" i="1"/>
  <c r="AN56" i="1"/>
  <c r="X56" i="1"/>
  <c r="AK56" i="1" s="1"/>
  <c r="W56" i="1"/>
  <c r="V56" i="1"/>
  <c r="AI56" i="1" s="1"/>
  <c r="U56" i="1"/>
  <c r="I56" i="1"/>
  <c r="T56" i="1" s="1"/>
  <c r="AJ56" i="1" s="1"/>
  <c r="H56" i="1"/>
  <c r="S56" i="1" s="1"/>
  <c r="AH56" i="1" s="1"/>
  <c r="AO54" i="1"/>
  <c r="AN54" i="1"/>
  <c r="X54" i="1"/>
  <c r="AK54" i="1" s="1"/>
  <c r="W54" i="1"/>
  <c r="V54" i="1"/>
  <c r="AI54" i="1" s="1"/>
  <c r="U54" i="1"/>
  <c r="I54" i="1"/>
  <c r="T54" i="1" s="1"/>
  <c r="AJ54" i="1" s="1"/>
  <c r="H54" i="1"/>
  <c r="S54" i="1" s="1"/>
  <c r="AH54" i="1" s="1"/>
  <c r="AL54" i="1" s="1"/>
  <c r="AO199" i="1"/>
  <c r="AN199" i="1"/>
  <c r="AF199" i="1"/>
  <c r="AE199" i="1"/>
  <c r="AD199" i="1"/>
  <c r="AI199" i="1" s="1"/>
  <c r="AM199" i="1" s="1"/>
  <c r="AC199" i="1"/>
  <c r="X199" i="1"/>
  <c r="AK199" i="1" s="1"/>
  <c r="W199" i="1"/>
  <c r="I199" i="1"/>
  <c r="T199" i="1" s="1"/>
  <c r="AJ199" i="1" s="1"/>
  <c r="H199" i="1"/>
  <c r="S199" i="1" s="1"/>
  <c r="AH199" i="1" s="1"/>
  <c r="AO198" i="1"/>
  <c r="AN198" i="1"/>
  <c r="AF198" i="1"/>
  <c r="AE198" i="1"/>
  <c r="AD198" i="1"/>
  <c r="AI198" i="1" s="1"/>
  <c r="AC198" i="1"/>
  <c r="X198" i="1"/>
  <c r="AK198" i="1" s="1"/>
  <c r="W198" i="1"/>
  <c r="AJ198" i="1" s="1"/>
  <c r="T198" i="1"/>
  <c r="I198" i="1"/>
  <c r="H198" i="1"/>
  <c r="S198" i="1" s="1"/>
  <c r="AH198" i="1" s="1"/>
  <c r="AL198" i="1" s="1"/>
  <c r="AO197" i="1"/>
  <c r="AN197" i="1"/>
  <c r="AF197" i="1"/>
  <c r="AE197" i="1"/>
  <c r="AD197" i="1"/>
  <c r="AI197" i="1" s="1"/>
  <c r="AC197" i="1"/>
  <c r="X197" i="1"/>
  <c r="AK197" i="1" s="1"/>
  <c r="W197" i="1"/>
  <c r="T197" i="1"/>
  <c r="AJ197" i="1" s="1"/>
  <c r="S197" i="1"/>
  <c r="AH197" i="1" s="1"/>
  <c r="AL197" i="1" s="1"/>
  <c r="I197" i="1"/>
  <c r="H197" i="1"/>
  <c r="AO196" i="1"/>
  <c r="AN196" i="1"/>
  <c r="AF196" i="1"/>
  <c r="AE196" i="1"/>
  <c r="AD196" i="1"/>
  <c r="AI196" i="1" s="1"/>
  <c r="AC196" i="1"/>
  <c r="X196" i="1"/>
  <c r="AK196" i="1" s="1"/>
  <c r="W196" i="1"/>
  <c r="S196" i="1"/>
  <c r="AH196" i="1" s="1"/>
  <c r="I196" i="1"/>
  <c r="T196" i="1" s="1"/>
  <c r="AJ196" i="1" s="1"/>
  <c r="H196" i="1"/>
  <c r="AO195" i="1"/>
  <c r="AN195" i="1"/>
  <c r="AF195" i="1"/>
  <c r="AE195" i="1"/>
  <c r="AD195" i="1"/>
  <c r="AI195" i="1" s="1"/>
  <c r="AM195" i="1" s="1"/>
  <c r="AC195" i="1"/>
  <c r="X195" i="1"/>
  <c r="AK195" i="1" s="1"/>
  <c r="W195" i="1"/>
  <c r="I195" i="1"/>
  <c r="T195" i="1" s="1"/>
  <c r="AJ195" i="1" s="1"/>
  <c r="H195" i="1"/>
  <c r="S195" i="1" s="1"/>
  <c r="AH195" i="1" s="1"/>
  <c r="AM178" i="1" l="1"/>
  <c r="AL176" i="1"/>
  <c r="AM176" i="1"/>
  <c r="AL56" i="1"/>
  <c r="AM56" i="1"/>
  <c r="AM54" i="1"/>
  <c r="AM198" i="1"/>
  <c r="AL195" i="1"/>
  <c r="AL196" i="1"/>
  <c r="AM196" i="1"/>
  <c r="AM197" i="1"/>
  <c r="AL199" i="1"/>
  <c r="AO194" i="1" l="1"/>
  <c r="AN194" i="1"/>
  <c r="AH194" i="1"/>
  <c r="AF194" i="1"/>
  <c r="AE194" i="1"/>
  <c r="AD194" i="1"/>
  <c r="AI194" i="1" s="1"/>
  <c r="AC194" i="1"/>
  <c r="X194" i="1"/>
  <c r="AK194" i="1" s="1"/>
  <c r="W194" i="1"/>
  <c r="S194" i="1"/>
  <c r="I194" i="1"/>
  <c r="T194" i="1" s="1"/>
  <c r="AJ194" i="1" s="1"/>
  <c r="H194" i="1"/>
  <c r="AO193" i="1"/>
  <c r="AN193" i="1"/>
  <c r="AF193" i="1"/>
  <c r="AE193" i="1"/>
  <c r="AD193" i="1"/>
  <c r="AI193" i="1" s="1"/>
  <c r="AC193" i="1"/>
  <c r="X193" i="1"/>
  <c r="AK193" i="1" s="1"/>
  <c r="W193" i="1"/>
  <c r="I193" i="1"/>
  <c r="T193" i="1" s="1"/>
  <c r="AJ193" i="1" s="1"/>
  <c r="H193" i="1"/>
  <c r="S193" i="1" s="1"/>
  <c r="AH193" i="1" s="1"/>
  <c r="AO192" i="1"/>
  <c r="AN192" i="1"/>
  <c r="AF192" i="1"/>
  <c r="AE192" i="1"/>
  <c r="AD192" i="1"/>
  <c r="AI192" i="1" s="1"/>
  <c r="AM192" i="1" s="1"/>
  <c r="AC192" i="1"/>
  <c r="X192" i="1"/>
  <c r="AK192" i="1" s="1"/>
  <c r="W192" i="1"/>
  <c r="T192" i="1"/>
  <c r="I192" i="1"/>
  <c r="H192" i="1"/>
  <c r="S192" i="1" s="1"/>
  <c r="AO191" i="1"/>
  <c r="AN191" i="1"/>
  <c r="AF191" i="1"/>
  <c r="AE191" i="1"/>
  <c r="AD191" i="1"/>
  <c r="AI191" i="1" s="1"/>
  <c r="AC191" i="1"/>
  <c r="X191" i="1"/>
  <c r="AK191" i="1" s="1"/>
  <c r="W191" i="1"/>
  <c r="T191" i="1"/>
  <c r="AJ191" i="1" s="1"/>
  <c r="S191" i="1"/>
  <c r="AH191" i="1" s="1"/>
  <c r="AL191" i="1" s="1"/>
  <c r="I191" i="1"/>
  <c r="H191" i="1"/>
  <c r="AO190" i="1"/>
  <c r="AN190" i="1"/>
  <c r="AF190" i="1"/>
  <c r="AE190" i="1"/>
  <c r="AD190" i="1"/>
  <c r="AI190" i="1" s="1"/>
  <c r="AC190" i="1"/>
  <c r="X190" i="1"/>
  <c r="AK190" i="1" s="1"/>
  <c r="W190" i="1"/>
  <c r="S190" i="1"/>
  <c r="AH190" i="1" s="1"/>
  <c r="I190" i="1"/>
  <c r="T190" i="1" s="1"/>
  <c r="AJ190" i="1" s="1"/>
  <c r="H190" i="1"/>
  <c r="AN189" i="1"/>
  <c r="AF189" i="1"/>
  <c r="AE189" i="1"/>
  <c r="AD189" i="1"/>
  <c r="AC189" i="1"/>
  <c r="X189" i="1"/>
  <c r="AK189" i="1" s="1"/>
  <c r="W189" i="1"/>
  <c r="I189" i="1"/>
  <c r="T189" i="1" s="1"/>
  <c r="H189" i="1"/>
  <c r="S189" i="1" s="1"/>
  <c r="AN188" i="1"/>
  <c r="AF188" i="1"/>
  <c r="AE188" i="1"/>
  <c r="AD188" i="1"/>
  <c r="AI188" i="1" s="1"/>
  <c r="AC188" i="1"/>
  <c r="X188" i="1"/>
  <c r="AK188" i="1" s="1"/>
  <c r="W188" i="1"/>
  <c r="T188" i="1"/>
  <c r="AJ188" i="1" s="1"/>
  <c r="S188" i="1"/>
  <c r="AH188" i="1" s="1"/>
  <c r="AL188" i="1" s="1"/>
  <c r="I188" i="1"/>
  <c r="H188" i="1"/>
  <c r="AN187" i="1"/>
  <c r="AF187" i="1"/>
  <c r="AE187" i="1"/>
  <c r="AD187" i="1"/>
  <c r="AC187" i="1"/>
  <c r="X187" i="1"/>
  <c r="AK187" i="1" s="1"/>
  <c r="W187" i="1"/>
  <c r="I187" i="1"/>
  <c r="T187" i="1" s="1"/>
  <c r="H187" i="1"/>
  <c r="S187" i="1" s="1"/>
  <c r="AN186" i="1"/>
  <c r="AI186" i="1"/>
  <c r="AF186" i="1"/>
  <c r="AE186" i="1"/>
  <c r="AD186" i="1"/>
  <c r="AC186" i="1"/>
  <c r="X186" i="1"/>
  <c r="AK186" i="1" s="1"/>
  <c r="W186" i="1"/>
  <c r="I186" i="1"/>
  <c r="T186" i="1" s="1"/>
  <c r="H186" i="1"/>
  <c r="S186" i="1" s="1"/>
  <c r="AN185" i="1"/>
  <c r="AF185" i="1"/>
  <c r="AE185" i="1"/>
  <c r="AD185" i="1"/>
  <c r="AC185" i="1"/>
  <c r="X185" i="1"/>
  <c r="AK185" i="1" s="1"/>
  <c r="W185" i="1"/>
  <c r="I185" i="1"/>
  <c r="T185" i="1" s="1"/>
  <c r="H185" i="1"/>
  <c r="S185" i="1" s="1"/>
  <c r="AN184" i="1"/>
  <c r="AF184" i="1"/>
  <c r="AE184" i="1"/>
  <c r="AD184" i="1"/>
  <c r="AC184" i="1"/>
  <c r="X184" i="1"/>
  <c r="AK184" i="1" s="1"/>
  <c r="W184" i="1"/>
  <c r="I184" i="1"/>
  <c r="T184" i="1" s="1"/>
  <c r="H184" i="1"/>
  <c r="S184" i="1" s="1"/>
  <c r="AN183" i="1"/>
  <c r="AF183" i="1"/>
  <c r="AE183" i="1"/>
  <c r="AD183" i="1"/>
  <c r="AI183" i="1" s="1"/>
  <c r="AM183" i="1" s="1"/>
  <c r="AC183" i="1"/>
  <c r="X183" i="1"/>
  <c r="AK183" i="1" s="1"/>
  <c r="W183" i="1"/>
  <c r="T183" i="1"/>
  <c r="AJ183" i="1" s="1"/>
  <c r="S183" i="1"/>
  <c r="AH183" i="1" s="1"/>
  <c r="I183" i="1"/>
  <c r="H183" i="1"/>
  <c r="AN182" i="1"/>
  <c r="AF182" i="1"/>
  <c r="AE182" i="1"/>
  <c r="AD182" i="1"/>
  <c r="AC182" i="1"/>
  <c r="X182" i="1"/>
  <c r="AK182" i="1" s="1"/>
  <c r="W182" i="1"/>
  <c r="I182" i="1"/>
  <c r="T182" i="1" s="1"/>
  <c r="H182" i="1"/>
  <c r="S182" i="1" s="1"/>
  <c r="AN181" i="1"/>
  <c r="AF181" i="1"/>
  <c r="AI181" i="1" s="1"/>
  <c r="AE181" i="1"/>
  <c r="AD181" i="1"/>
  <c r="AC181" i="1"/>
  <c r="X181" i="1"/>
  <c r="AK181" i="1" s="1"/>
  <c r="W181" i="1"/>
  <c r="I181" i="1"/>
  <c r="T181" i="1" s="1"/>
  <c r="H181" i="1"/>
  <c r="S181" i="1" s="1"/>
  <c r="AN180" i="1"/>
  <c r="AF180" i="1"/>
  <c r="AE180" i="1"/>
  <c r="AD180" i="1"/>
  <c r="AC180" i="1"/>
  <c r="X180" i="1"/>
  <c r="AK180" i="1" s="1"/>
  <c r="W180" i="1"/>
  <c r="I180" i="1"/>
  <c r="T180" i="1" s="1"/>
  <c r="H180" i="1"/>
  <c r="S180" i="1" s="1"/>
  <c r="AO77" i="1"/>
  <c r="AN77" i="1"/>
  <c r="AF77" i="1"/>
  <c r="AE77" i="1"/>
  <c r="AD77" i="1"/>
  <c r="AI77" i="1" s="1"/>
  <c r="AC77" i="1"/>
  <c r="X77" i="1"/>
  <c r="AK77" i="1" s="1"/>
  <c r="W77" i="1"/>
  <c r="S77" i="1"/>
  <c r="I77" i="1"/>
  <c r="T77" i="1" s="1"/>
  <c r="AJ77" i="1" s="1"/>
  <c r="H77" i="1"/>
  <c r="AO76" i="1"/>
  <c r="AN76" i="1"/>
  <c r="AF76" i="1"/>
  <c r="AE76" i="1"/>
  <c r="AD76" i="1"/>
  <c r="AC76" i="1"/>
  <c r="X76" i="1"/>
  <c r="AK76" i="1" s="1"/>
  <c r="W76" i="1"/>
  <c r="I76" i="1"/>
  <c r="T76" i="1" s="1"/>
  <c r="AJ76" i="1" s="1"/>
  <c r="H76" i="1"/>
  <c r="S76" i="1" s="1"/>
  <c r="AH76" i="1" s="1"/>
  <c r="AO75" i="1"/>
  <c r="AN75" i="1"/>
  <c r="AF75" i="1"/>
  <c r="AE75" i="1"/>
  <c r="AD75" i="1"/>
  <c r="AC75" i="1"/>
  <c r="X75" i="1"/>
  <c r="AK75" i="1" s="1"/>
  <c r="W75" i="1"/>
  <c r="I75" i="1"/>
  <c r="T75" i="1" s="1"/>
  <c r="H75" i="1"/>
  <c r="S75" i="1" s="1"/>
  <c r="AO74" i="1"/>
  <c r="AN74" i="1"/>
  <c r="AF74" i="1"/>
  <c r="AE74" i="1"/>
  <c r="AD74" i="1"/>
  <c r="AC74" i="1"/>
  <c r="X74" i="1"/>
  <c r="AK74" i="1" s="1"/>
  <c r="W74" i="1"/>
  <c r="I74" i="1"/>
  <c r="T74" i="1" s="1"/>
  <c r="H74" i="1"/>
  <c r="S74" i="1" s="1"/>
  <c r="AO73" i="1"/>
  <c r="AN73" i="1"/>
  <c r="AF73" i="1"/>
  <c r="AE73" i="1"/>
  <c r="AD73" i="1"/>
  <c r="AC73" i="1"/>
  <c r="X73" i="1"/>
  <c r="AK73" i="1" s="1"/>
  <c r="W73" i="1"/>
  <c r="I73" i="1"/>
  <c r="T73" i="1" s="1"/>
  <c r="H73" i="1"/>
  <c r="S73" i="1" s="1"/>
  <c r="AO72" i="1"/>
  <c r="AN72" i="1"/>
  <c r="AF72" i="1"/>
  <c r="AE72" i="1"/>
  <c r="AD72" i="1"/>
  <c r="AC72" i="1"/>
  <c r="X72" i="1"/>
  <c r="AK72" i="1" s="1"/>
  <c r="W72" i="1"/>
  <c r="I72" i="1"/>
  <c r="T72" i="1" s="1"/>
  <c r="H72" i="1"/>
  <c r="S72" i="1" s="1"/>
  <c r="AO71" i="1"/>
  <c r="AN71" i="1"/>
  <c r="AF71" i="1"/>
  <c r="AE71" i="1"/>
  <c r="AD71" i="1"/>
  <c r="AC71" i="1"/>
  <c r="X71" i="1"/>
  <c r="AK71" i="1" s="1"/>
  <c r="W71" i="1"/>
  <c r="I71" i="1"/>
  <c r="T71" i="1" s="1"/>
  <c r="H71" i="1"/>
  <c r="S71" i="1" s="1"/>
  <c r="AO70" i="1"/>
  <c r="AN70" i="1"/>
  <c r="AF70" i="1"/>
  <c r="AE70" i="1"/>
  <c r="AD70" i="1"/>
  <c r="AC70" i="1"/>
  <c r="X70" i="1"/>
  <c r="AK70" i="1" s="1"/>
  <c r="W70" i="1"/>
  <c r="I70" i="1"/>
  <c r="T70" i="1" s="1"/>
  <c r="H70" i="1"/>
  <c r="S70" i="1" s="1"/>
  <c r="AO69" i="1"/>
  <c r="AN69" i="1"/>
  <c r="AF69" i="1"/>
  <c r="AE69" i="1"/>
  <c r="AD69" i="1"/>
  <c r="AC69" i="1"/>
  <c r="X69" i="1"/>
  <c r="AK69" i="1" s="1"/>
  <c r="W69" i="1"/>
  <c r="I69" i="1"/>
  <c r="T69" i="1" s="1"/>
  <c r="H69" i="1"/>
  <c r="S69" i="1" s="1"/>
  <c r="AO68" i="1"/>
  <c r="AN68" i="1"/>
  <c r="AF68" i="1"/>
  <c r="AE68" i="1"/>
  <c r="AD68" i="1"/>
  <c r="AC68" i="1"/>
  <c r="X68" i="1"/>
  <c r="AK68" i="1" s="1"/>
  <c r="W68" i="1"/>
  <c r="I68" i="1"/>
  <c r="T68" i="1" s="1"/>
  <c r="H68" i="1"/>
  <c r="S68" i="1" s="1"/>
  <c r="H78" i="1"/>
  <c r="S78" i="1" s="1"/>
  <c r="I78" i="1"/>
  <c r="T78" i="1" s="1"/>
  <c r="W78" i="1"/>
  <c r="X78" i="1"/>
  <c r="AK78" i="1" s="1"/>
  <c r="AC78" i="1"/>
  <c r="AD78" i="1"/>
  <c r="AE78" i="1"/>
  <c r="AF78" i="1"/>
  <c r="AN78" i="1"/>
  <c r="H79" i="1"/>
  <c r="S79" i="1" s="1"/>
  <c r="I79" i="1"/>
  <c r="T79" i="1" s="1"/>
  <c r="W79" i="1"/>
  <c r="X79" i="1"/>
  <c r="AK79" i="1" s="1"/>
  <c r="AC79" i="1"/>
  <c r="AD79" i="1"/>
  <c r="AE79" i="1"/>
  <c r="AF79" i="1"/>
  <c r="AN79" i="1"/>
  <c r="H80" i="1"/>
  <c r="S80" i="1" s="1"/>
  <c r="I80" i="1"/>
  <c r="T80" i="1" s="1"/>
  <c r="W80" i="1"/>
  <c r="X80" i="1"/>
  <c r="AK80" i="1" s="1"/>
  <c r="AC80" i="1"/>
  <c r="AD80" i="1"/>
  <c r="AE80" i="1"/>
  <c r="AF80" i="1"/>
  <c r="AN80" i="1"/>
  <c r="H81" i="1"/>
  <c r="S81" i="1" s="1"/>
  <c r="AH81" i="1" s="1"/>
  <c r="I81" i="1"/>
  <c r="T81" i="1"/>
  <c r="AJ81" i="1" s="1"/>
  <c r="W81" i="1"/>
  <c r="X81" i="1"/>
  <c r="AK81" i="1" s="1"/>
  <c r="AC81" i="1"/>
  <c r="AD81" i="1"/>
  <c r="AE81" i="1"/>
  <c r="AF81" i="1"/>
  <c r="AN81" i="1"/>
  <c r="H82" i="1"/>
  <c r="S82" i="1" s="1"/>
  <c r="I82" i="1"/>
  <c r="T82" i="1" s="1"/>
  <c r="W82" i="1"/>
  <c r="X82" i="1"/>
  <c r="AK82" i="1" s="1"/>
  <c r="AC82" i="1"/>
  <c r="AD82" i="1"/>
  <c r="AE82" i="1"/>
  <c r="AF82" i="1"/>
  <c r="AN82" i="1"/>
  <c r="AN67" i="1"/>
  <c r="AF67" i="1"/>
  <c r="AE67" i="1"/>
  <c r="AD67" i="1"/>
  <c r="AC67" i="1"/>
  <c r="X67" i="1"/>
  <c r="AK67" i="1" s="1"/>
  <c r="W67" i="1"/>
  <c r="I67" i="1"/>
  <c r="T67" i="1" s="1"/>
  <c r="H67" i="1"/>
  <c r="S67" i="1" s="1"/>
  <c r="AN66" i="1"/>
  <c r="AF66" i="1"/>
  <c r="AE66" i="1"/>
  <c r="AD66" i="1"/>
  <c r="AI66" i="1" s="1"/>
  <c r="AC66" i="1"/>
  <c r="X66" i="1"/>
  <c r="AK66" i="1" s="1"/>
  <c r="W66" i="1"/>
  <c r="S66" i="1"/>
  <c r="I66" i="1"/>
  <c r="T66" i="1" s="1"/>
  <c r="AJ66" i="1" s="1"/>
  <c r="H66" i="1"/>
  <c r="AN65" i="1"/>
  <c r="AF65" i="1"/>
  <c r="AE65" i="1"/>
  <c r="AD65" i="1"/>
  <c r="AC65" i="1"/>
  <c r="X65" i="1"/>
  <c r="AK65" i="1" s="1"/>
  <c r="W65" i="1"/>
  <c r="I65" i="1"/>
  <c r="T65" i="1" s="1"/>
  <c r="H65" i="1"/>
  <c r="S65" i="1" s="1"/>
  <c r="AN64" i="1"/>
  <c r="AF64" i="1"/>
  <c r="AE64" i="1"/>
  <c r="AD64" i="1"/>
  <c r="AC64" i="1"/>
  <c r="X64" i="1"/>
  <c r="AK64" i="1" s="1"/>
  <c r="W64" i="1"/>
  <c r="I64" i="1"/>
  <c r="T64" i="1" s="1"/>
  <c r="H64" i="1"/>
  <c r="S64" i="1" s="1"/>
  <c r="AN63" i="1"/>
  <c r="AF63" i="1"/>
  <c r="AE63" i="1"/>
  <c r="AD63" i="1"/>
  <c r="AC63" i="1"/>
  <c r="X63" i="1"/>
  <c r="AK63" i="1" s="1"/>
  <c r="W63" i="1"/>
  <c r="I63" i="1"/>
  <c r="T63" i="1" s="1"/>
  <c r="H63" i="1"/>
  <c r="S63" i="1" s="1"/>
  <c r="AN62" i="1"/>
  <c r="AF62" i="1"/>
  <c r="AE62" i="1"/>
  <c r="AD62" i="1"/>
  <c r="AC62" i="1"/>
  <c r="X62" i="1"/>
  <c r="AK62" i="1" s="1"/>
  <c r="W62" i="1"/>
  <c r="I62" i="1"/>
  <c r="T62" i="1" s="1"/>
  <c r="H62" i="1"/>
  <c r="S62" i="1" s="1"/>
  <c r="AN61" i="1"/>
  <c r="AF61" i="1"/>
  <c r="AE61" i="1"/>
  <c r="AD61" i="1"/>
  <c r="AC61" i="1"/>
  <c r="X61" i="1"/>
  <c r="AK61" i="1" s="1"/>
  <c r="W61" i="1"/>
  <c r="I61" i="1"/>
  <c r="T61" i="1" s="1"/>
  <c r="AJ61" i="1" s="1"/>
  <c r="H61" i="1"/>
  <c r="S61" i="1" s="1"/>
  <c r="AH61" i="1" s="1"/>
  <c r="AN60" i="1"/>
  <c r="AF60" i="1"/>
  <c r="AE60" i="1"/>
  <c r="AD60" i="1"/>
  <c r="AC60" i="1"/>
  <c r="X60" i="1"/>
  <c r="AK60" i="1" s="1"/>
  <c r="W60" i="1"/>
  <c r="I60" i="1"/>
  <c r="T60" i="1" s="1"/>
  <c r="H60" i="1"/>
  <c r="S60" i="1" s="1"/>
  <c r="AN59" i="1"/>
  <c r="AF59" i="1"/>
  <c r="AI59" i="1" s="1"/>
  <c r="AE59" i="1"/>
  <c r="AD59" i="1"/>
  <c r="AC59" i="1"/>
  <c r="X59" i="1"/>
  <c r="AK59" i="1" s="1"/>
  <c r="W59" i="1"/>
  <c r="I59" i="1"/>
  <c r="T59" i="1" s="1"/>
  <c r="H59" i="1"/>
  <c r="S59" i="1" s="1"/>
  <c r="AN58" i="1"/>
  <c r="AF58" i="1"/>
  <c r="AE58" i="1"/>
  <c r="AD58" i="1"/>
  <c r="AC58" i="1"/>
  <c r="X58" i="1"/>
  <c r="AK58" i="1" s="1"/>
  <c r="W58" i="1"/>
  <c r="I58" i="1"/>
  <c r="T58" i="1" s="1"/>
  <c r="H58" i="1"/>
  <c r="S58" i="1" s="1"/>
  <c r="H94" i="1"/>
  <c r="S94" i="1" s="1"/>
  <c r="I94" i="1"/>
  <c r="T94" i="1" s="1"/>
  <c r="W94" i="1"/>
  <c r="X94" i="1"/>
  <c r="AK94" i="1" s="1"/>
  <c r="AC94" i="1"/>
  <c r="AD94" i="1"/>
  <c r="AE94" i="1"/>
  <c r="AF94" i="1"/>
  <c r="AI94" i="1" s="1"/>
  <c r="AM94" i="1" s="1"/>
  <c r="AN94" i="1"/>
  <c r="AO94" i="1"/>
  <c r="H95" i="1"/>
  <c r="S95" i="1" s="1"/>
  <c r="I95" i="1"/>
  <c r="T95" i="1" s="1"/>
  <c r="W95" i="1"/>
  <c r="X95" i="1"/>
  <c r="AK95" i="1" s="1"/>
  <c r="AC95" i="1"/>
  <c r="AD95" i="1"/>
  <c r="AE95" i="1"/>
  <c r="AF95" i="1"/>
  <c r="AN95" i="1"/>
  <c r="AO95" i="1"/>
  <c r="H96" i="1"/>
  <c r="S96" i="1" s="1"/>
  <c r="I96" i="1"/>
  <c r="T96" i="1" s="1"/>
  <c r="W96" i="1"/>
  <c r="X96" i="1"/>
  <c r="AK96" i="1" s="1"/>
  <c r="AC96" i="1"/>
  <c r="AD96" i="1"/>
  <c r="AE96" i="1"/>
  <c r="AF96" i="1"/>
  <c r="AI96" i="1" s="1"/>
  <c r="AM96" i="1" s="1"/>
  <c r="AN96" i="1"/>
  <c r="AO96" i="1"/>
  <c r="H97" i="1"/>
  <c r="S97" i="1" s="1"/>
  <c r="I97" i="1"/>
  <c r="T97" i="1"/>
  <c r="W97" i="1"/>
  <c r="X97" i="1"/>
  <c r="AC97" i="1"/>
  <c r="AD97" i="1"/>
  <c r="AI97" i="1" s="1"/>
  <c r="AE97" i="1"/>
  <c r="AF97" i="1"/>
  <c r="AK97" i="1"/>
  <c r="AN97" i="1"/>
  <c r="AO97" i="1"/>
  <c r="H98" i="1"/>
  <c r="S98" i="1" s="1"/>
  <c r="I98" i="1"/>
  <c r="T98" i="1" s="1"/>
  <c r="W98" i="1"/>
  <c r="X98" i="1"/>
  <c r="AK98" i="1" s="1"/>
  <c r="AC98" i="1"/>
  <c r="AD98" i="1"/>
  <c r="AE98" i="1"/>
  <c r="AF98" i="1"/>
  <c r="AN98" i="1"/>
  <c r="AO98" i="1"/>
  <c r="H57" i="1"/>
  <c r="S57" i="1" s="1"/>
  <c r="I57" i="1"/>
  <c r="T57" i="1" s="1"/>
  <c r="U57" i="1"/>
  <c r="V57" i="1"/>
  <c r="AI57" i="1" s="1"/>
  <c r="W57" i="1"/>
  <c r="X57" i="1"/>
  <c r="AK57" i="1" s="1"/>
  <c r="AN57" i="1"/>
  <c r="AO57" i="1"/>
  <c r="AH180" i="1" l="1"/>
  <c r="AI184" i="1"/>
  <c r="AM184" i="1" s="1"/>
  <c r="AH185" i="1"/>
  <c r="AL185" i="1" s="1"/>
  <c r="AH187" i="1"/>
  <c r="AL187" i="1" s="1"/>
  <c r="AH189" i="1"/>
  <c r="AH192" i="1"/>
  <c r="AJ192" i="1"/>
  <c r="AJ180" i="1"/>
  <c r="AL180" i="1" s="1"/>
  <c r="AI180" i="1"/>
  <c r="AM180" i="1" s="1"/>
  <c r="AH181" i="1"/>
  <c r="AJ185" i="1"/>
  <c r="AI185" i="1"/>
  <c r="AM185" i="1" s="1"/>
  <c r="AH186" i="1"/>
  <c r="AJ189" i="1"/>
  <c r="AI189" i="1"/>
  <c r="AM189" i="1" s="1"/>
  <c r="AL194" i="1"/>
  <c r="AL190" i="1"/>
  <c r="AM190" i="1"/>
  <c r="AM191" i="1"/>
  <c r="AL193" i="1"/>
  <c r="AM194" i="1"/>
  <c r="AM193" i="1"/>
  <c r="AJ187" i="1"/>
  <c r="AI187" i="1"/>
  <c r="AM187" i="1" s="1"/>
  <c r="AJ181" i="1"/>
  <c r="AH182" i="1"/>
  <c r="AH184" i="1"/>
  <c r="AJ182" i="1"/>
  <c r="AJ184" i="1"/>
  <c r="AJ186" i="1"/>
  <c r="AL186" i="1" s="1"/>
  <c r="AM186" i="1"/>
  <c r="AM188" i="1"/>
  <c r="AL189" i="1"/>
  <c r="AI75" i="1"/>
  <c r="AI182" i="1"/>
  <c r="AM182" i="1" s="1"/>
  <c r="AJ60" i="1"/>
  <c r="AM181" i="1"/>
  <c r="AL183" i="1"/>
  <c r="AI95" i="1"/>
  <c r="AM95" i="1" s="1"/>
  <c r="AH72" i="1"/>
  <c r="AH74" i="1"/>
  <c r="AJ62" i="1"/>
  <c r="AH63" i="1"/>
  <c r="AI68" i="1"/>
  <c r="AM68" i="1" s="1"/>
  <c r="AJ74" i="1"/>
  <c r="AI98" i="1"/>
  <c r="AM98" i="1" s="1"/>
  <c r="AI81" i="1"/>
  <c r="AM81" i="1" s="1"/>
  <c r="AI79" i="1"/>
  <c r="AM79" i="1" s="1"/>
  <c r="AH71" i="1"/>
  <c r="AL71" i="1" s="1"/>
  <c r="AH73" i="1"/>
  <c r="AI76" i="1"/>
  <c r="AM76" i="1" s="1"/>
  <c r="AI61" i="1"/>
  <c r="AI78" i="1"/>
  <c r="AM78" i="1" s="1"/>
  <c r="AJ69" i="1"/>
  <c r="AJ71" i="1"/>
  <c r="AI71" i="1"/>
  <c r="AM71" i="1" s="1"/>
  <c r="AJ73" i="1"/>
  <c r="AH75" i="1"/>
  <c r="AL81" i="1"/>
  <c r="AH98" i="1"/>
  <c r="AJ63" i="1"/>
  <c r="AH66" i="1"/>
  <c r="AL66" i="1" s="1"/>
  <c r="AH80" i="1"/>
  <c r="AH68" i="1"/>
  <c r="AH77" i="1"/>
  <c r="AJ72" i="1"/>
  <c r="AI73" i="1"/>
  <c r="AM73" i="1" s="1"/>
  <c r="AI74" i="1"/>
  <c r="AM74" i="1" s="1"/>
  <c r="AJ75" i="1"/>
  <c r="AH82" i="1"/>
  <c r="AH69" i="1"/>
  <c r="AH59" i="1"/>
  <c r="AH64" i="1"/>
  <c r="AI70" i="1"/>
  <c r="AM70" i="1" s="1"/>
  <c r="AH62" i="1"/>
  <c r="AJ64" i="1"/>
  <c r="AH65" i="1"/>
  <c r="AH67" i="1"/>
  <c r="AJ79" i="1"/>
  <c r="AJ68" i="1"/>
  <c r="AL68" i="1" s="1"/>
  <c r="AI69" i="1"/>
  <c r="AM69" i="1" s="1"/>
  <c r="AJ70" i="1"/>
  <c r="AI72" i="1"/>
  <c r="AM72" i="1" s="1"/>
  <c r="AM75" i="1"/>
  <c r="AL76" i="1"/>
  <c r="AL77" i="1"/>
  <c r="AM77" i="1"/>
  <c r="AJ94" i="1"/>
  <c r="AH78" i="1"/>
  <c r="AH70" i="1"/>
  <c r="AI60" i="1"/>
  <c r="AM60" i="1" s="1"/>
  <c r="AI62" i="1"/>
  <c r="AM62" i="1" s="1"/>
  <c r="AI64" i="1"/>
  <c r="AM64" i="1" s="1"/>
  <c r="AJ82" i="1"/>
  <c r="AJ95" i="1"/>
  <c r="AH97" i="1"/>
  <c r="AI82" i="1"/>
  <c r="AM82" i="1" s="1"/>
  <c r="AJ80" i="1"/>
  <c r="AJ59" i="1"/>
  <c r="AI63" i="1"/>
  <c r="AM63" i="1" s="1"/>
  <c r="AJ65" i="1"/>
  <c r="AI65" i="1"/>
  <c r="AM65" i="1" s="1"/>
  <c r="AJ67" i="1"/>
  <c r="AI67" i="1"/>
  <c r="AM67" i="1" s="1"/>
  <c r="AI80" i="1"/>
  <c r="AM80" i="1" s="1"/>
  <c r="AJ78" i="1"/>
  <c r="AH94" i="1"/>
  <c r="AH79" i="1"/>
  <c r="AM66" i="1"/>
  <c r="AH58" i="1"/>
  <c r="AJ98" i="1"/>
  <c r="AH96" i="1"/>
  <c r="AJ58" i="1"/>
  <c r="AI58" i="1"/>
  <c r="AM58" i="1" s="1"/>
  <c r="AH60" i="1"/>
  <c r="AJ57" i="1"/>
  <c r="AM59" i="1"/>
  <c r="AL61" i="1"/>
  <c r="AM61" i="1"/>
  <c r="AM97" i="1"/>
  <c r="AJ97" i="1"/>
  <c r="AH95" i="1"/>
  <c r="AJ96" i="1"/>
  <c r="AM57" i="1"/>
  <c r="AH57" i="1"/>
  <c r="A3" i="1"/>
  <c r="AO238" i="1"/>
  <c r="AN238" i="1"/>
  <c r="X238" i="1"/>
  <c r="AK238" i="1" s="1"/>
  <c r="W238" i="1"/>
  <c r="V238" i="1"/>
  <c r="AI238" i="1" s="1"/>
  <c r="U238" i="1"/>
  <c r="I238" i="1"/>
  <c r="T238" i="1" s="1"/>
  <c r="H238" i="1"/>
  <c r="S238" i="1" s="1"/>
  <c r="AO233" i="1"/>
  <c r="AN233" i="1"/>
  <c r="X233" i="1"/>
  <c r="AK233" i="1" s="1"/>
  <c r="W233" i="1"/>
  <c r="V233" i="1"/>
  <c r="AI233" i="1" s="1"/>
  <c r="U233" i="1"/>
  <c r="I233" i="1"/>
  <c r="T233" i="1" s="1"/>
  <c r="H233" i="1"/>
  <c r="S233" i="1" s="1"/>
  <c r="AO116" i="1"/>
  <c r="AN116" i="1"/>
  <c r="X116" i="1"/>
  <c r="AK116" i="1" s="1"/>
  <c r="W116" i="1"/>
  <c r="V116" i="1"/>
  <c r="AI116" i="1" s="1"/>
  <c r="U116" i="1"/>
  <c r="I116" i="1"/>
  <c r="T116" i="1" s="1"/>
  <c r="H116" i="1"/>
  <c r="S116" i="1" s="1"/>
  <c r="AO111" i="1"/>
  <c r="AN111" i="1"/>
  <c r="X111" i="1"/>
  <c r="AK111" i="1" s="1"/>
  <c r="W111" i="1"/>
  <c r="V111" i="1"/>
  <c r="AI111" i="1" s="1"/>
  <c r="U111" i="1"/>
  <c r="I111" i="1"/>
  <c r="T111" i="1" s="1"/>
  <c r="H111" i="1"/>
  <c r="S111" i="1" s="1"/>
  <c r="AO171" i="1"/>
  <c r="AN171" i="1"/>
  <c r="AF171" i="1"/>
  <c r="AE171" i="1"/>
  <c r="AD171" i="1"/>
  <c r="AC171" i="1"/>
  <c r="X171" i="1"/>
  <c r="AK171" i="1" s="1"/>
  <c r="W171" i="1"/>
  <c r="I171" i="1"/>
  <c r="T171" i="1" s="1"/>
  <c r="H171" i="1"/>
  <c r="S171" i="1" s="1"/>
  <c r="AO163" i="1"/>
  <c r="AN163" i="1"/>
  <c r="AF163" i="1"/>
  <c r="AE163" i="1"/>
  <c r="AD163" i="1"/>
  <c r="AC163" i="1"/>
  <c r="X163" i="1"/>
  <c r="AK163" i="1" s="1"/>
  <c r="W163" i="1"/>
  <c r="I163" i="1"/>
  <c r="T163" i="1" s="1"/>
  <c r="H163" i="1"/>
  <c r="S163" i="1" s="1"/>
  <c r="AO105" i="1"/>
  <c r="AN105" i="1"/>
  <c r="AF105" i="1"/>
  <c r="AE105" i="1"/>
  <c r="AD105" i="1"/>
  <c r="AC105" i="1"/>
  <c r="X105" i="1"/>
  <c r="AK105" i="1" s="1"/>
  <c r="W105" i="1"/>
  <c r="I105" i="1"/>
  <c r="T105" i="1" s="1"/>
  <c r="H105" i="1"/>
  <c r="S105" i="1" s="1"/>
  <c r="AN89" i="1"/>
  <c r="AF89" i="1"/>
  <c r="AE89" i="1"/>
  <c r="AD89" i="1"/>
  <c r="AC89" i="1"/>
  <c r="X89" i="1"/>
  <c r="AK89" i="1" s="1"/>
  <c r="W89" i="1"/>
  <c r="I89" i="1"/>
  <c r="T89" i="1" s="1"/>
  <c r="H89" i="1"/>
  <c r="S89" i="1" s="1"/>
  <c r="AO49" i="1"/>
  <c r="AN49" i="1"/>
  <c r="AF49" i="1"/>
  <c r="AE49" i="1"/>
  <c r="AD49" i="1"/>
  <c r="AC49" i="1"/>
  <c r="X49" i="1"/>
  <c r="AK49" i="1" s="1"/>
  <c r="W49" i="1"/>
  <c r="I49" i="1"/>
  <c r="T49" i="1" s="1"/>
  <c r="H49" i="1"/>
  <c r="S49" i="1" s="1"/>
  <c r="AO41" i="1"/>
  <c r="AN41" i="1"/>
  <c r="AF41" i="1"/>
  <c r="AE41" i="1"/>
  <c r="AD41" i="1"/>
  <c r="AC41" i="1"/>
  <c r="X41" i="1"/>
  <c r="AK41" i="1" s="1"/>
  <c r="W41" i="1"/>
  <c r="I41" i="1"/>
  <c r="T41" i="1" s="1"/>
  <c r="H41" i="1"/>
  <c r="S41" i="1" s="1"/>
  <c r="AN211" i="1"/>
  <c r="AF211" i="1"/>
  <c r="AE211" i="1"/>
  <c r="AD211" i="1"/>
  <c r="AC211" i="1"/>
  <c r="X211" i="1"/>
  <c r="AK211" i="1" s="1"/>
  <c r="W211" i="1"/>
  <c r="I211" i="1"/>
  <c r="T211" i="1" s="1"/>
  <c r="H211" i="1"/>
  <c r="S211" i="1" s="1"/>
  <c r="AN203" i="1"/>
  <c r="AF203" i="1"/>
  <c r="AE203" i="1"/>
  <c r="AD203" i="1"/>
  <c r="AC203" i="1"/>
  <c r="X203" i="1"/>
  <c r="AK203" i="1" s="1"/>
  <c r="W203" i="1"/>
  <c r="I203" i="1"/>
  <c r="T203" i="1" s="1"/>
  <c r="H203" i="1"/>
  <c r="S203" i="1" s="1"/>
  <c r="AO227" i="1"/>
  <c r="AN227" i="1"/>
  <c r="AF227" i="1"/>
  <c r="AE227" i="1"/>
  <c r="AD227" i="1"/>
  <c r="AC227" i="1"/>
  <c r="X227" i="1"/>
  <c r="AK227" i="1" s="1"/>
  <c r="W227" i="1"/>
  <c r="I227" i="1"/>
  <c r="T227" i="1" s="1"/>
  <c r="H227" i="1"/>
  <c r="S227" i="1" s="1"/>
  <c r="AO219" i="1"/>
  <c r="AN219" i="1"/>
  <c r="AF219" i="1"/>
  <c r="AE219" i="1"/>
  <c r="AD219" i="1"/>
  <c r="AC219" i="1"/>
  <c r="X219" i="1"/>
  <c r="AK219" i="1" s="1"/>
  <c r="W219" i="1"/>
  <c r="I219" i="1"/>
  <c r="T219" i="1" s="1"/>
  <c r="H219" i="1"/>
  <c r="S219" i="1" s="1"/>
  <c r="AN155" i="1"/>
  <c r="AF155" i="1"/>
  <c r="AE155" i="1"/>
  <c r="AD155" i="1"/>
  <c r="AC155" i="1"/>
  <c r="X155" i="1"/>
  <c r="AK155" i="1" s="1"/>
  <c r="W155" i="1"/>
  <c r="I155" i="1"/>
  <c r="T155" i="1" s="1"/>
  <c r="H155" i="1"/>
  <c r="S155" i="1" s="1"/>
  <c r="AN147" i="1"/>
  <c r="AF147" i="1"/>
  <c r="AE147" i="1"/>
  <c r="AD147" i="1"/>
  <c r="AC147" i="1"/>
  <c r="X147" i="1"/>
  <c r="AK147" i="1" s="1"/>
  <c r="W147" i="1"/>
  <c r="I147" i="1"/>
  <c r="T147" i="1" s="1"/>
  <c r="H147" i="1"/>
  <c r="S147" i="1" s="1"/>
  <c r="AN33" i="1"/>
  <c r="AF33" i="1"/>
  <c r="AE33" i="1"/>
  <c r="AD33" i="1"/>
  <c r="AC33" i="1"/>
  <c r="X33" i="1"/>
  <c r="AK33" i="1" s="1"/>
  <c r="W33" i="1"/>
  <c r="I33" i="1"/>
  <c r="T33" i="1" s="1"/>
  <c r="H33" i="1"/>
  <c r="S33" i="1" s="1"/>
  <c r="AN25" i="1"/>
  <c r="AF25" i="1"/>
  <c r="AE25" i="1"/>
  <c r="AD25" i="1"/>
  <c r="AC25" i="1"/>
  <c r="X25" i="1"/>
  <c r="AK25" i="1" s="1"/>
  <c r="W25" i="1"/>
  <c r="I25" i="1"/>
  <c r="T25" i="1" s="1"/>
  <c r="H25" i="1"/>
  <c r="S25" i="1" s="1"/>
  <c r="AO244" i="1"/>
  <c r="AN244" i="1"/>
  <c r="X244" i="1"/>
  <c r="AK244" i="1" s="1"/>
  <c r="W244" i="1"/>
  <c r="V244" i="1"/>
  <c r="AI244" i="1" s="1"/>
  <c r="U244" i="1"/>
  <c r="I244" i="1"/>
  <c r="T244" i="1" s="1"/>
  <c r="H244" i="1"/>
  <c r="S244" i="1" s="1"/>
  <c r="AO242" i="1"/>
  <c r="AN242" i="1"/>
  <c r="X242" i="1"/>
  <c r="AK242" i="1" s="1"/>
  <c r="W242" i="1"/>
  <c r="V242" i="1"/>
  <c r="AI242" i="1" s="1"/>
  <c r="U242" i="1"/>
  <c r="I242" i="1"/>
  <c r="T242" i="1" s="1"/>
  <c r="H242" i="1"/>
  <c r="S242" i="1" s="1"/>
  <c r="AO122" i="1"/>
  <c r="AN122" i="1"/>
  <c r="X122" i="1"/>
  <c r="AK122" i="1" s="1"/>
  <c r="W122" i="1"/>
  <c r="V122" i="1"/>
  <c r="AI122" i="1" s="1"/>
  <c r="U122" i="1"/>
  <c r="I122" i="1"/>
  <c r="T122" i="1" s="1"/>
  <c r="H122" i="1"/>
  <c r="S122" i="1" s="1"/>
  <c r="AO120" i="1"/>
  <c r="AN120" i="1"/>
  <c r="X120" i="1"/>
  <c r="AK120" i="1" s="1"/>
  <c r="W120" i="1"/>
  <c r="V120" i="1"/>
  <c r="AI120" i="1" s="1"/>
  <c r="U120" i="1"/>
  <c r="I120" i="1"/>
  <c r="T120" i="1" s="1"/>
  <c r="H120" i="1"/>
  <c r="S120" i="1" s="1"/>
  <c r="H121" i="1"/>
  <c r="S121" i="1" s="1"/>
  <c r="I121" i="1"/>
  <c r="T121" i="1" s="1"/>
  <c r="AO140" i="1"/>
  <c r="AN140" i="1"/>
  <c r="AB140" i="1"/>
  <c r="AA140" i="1"/>
  <c r="Z140" i="1"/>
  <c r="Y140" i="1"/>
  <c r="X140" i="1"/>
  <c r="AK140" i="1" s="1"/>
  <c r="W140" i="1"/>
  <c r="V140" i="1"/>
  <c r="AI140" i="1" s="1"/>
  <c r="U140" i="1"/>
  <c r="I140" i="1"/>
  <c r="T140" i="1" s="1"/>
  <c r="H140" i="1"/>
  <c r="S140" i="1" s="1"/>
  <c r="AO130" i="1"/>
  <c r="AN130" i="1"/>
  <c r="AB130" i="1"/>
  <c r="AA130" i="1"/>
  <c r="Z130" i="1"/>
  <c r="Y130" i="1"/>
  <c r="X130" i="1"/>
  <c r="AK130" i="1" s="1"/>
  <c r="W130" i="1"/>
  <c r="V130" i="1"/>
  <c r="AI130" i="1" s="1"/>
  <c r="U130" i="1"/>
  <c r="I130" i="1"/>
  <c r="T130" i="1" s="1"/>
  <c r="H130" i="1"/>
  <c r="S130" i="1" s="1"/>
  <c r="AN18" i="1"/>
  <c r="AB18" i="1"/>
  <c r="AA18" i="1"/>
  <c r="Z18" i="1"/>
  <c r="Y18" i="1"/>
  <c r="X18" i="1"/>
  <c r="AK18" i="1" s="1"/>
  <c r="W18" i="1"/>
  <c r="V18" i="1"/>
  <c r="AI18" i="1" s="1"/>
  <c r="U18" i="1"/>
  <c r="I18" i="1"/>
  <c r="T18" i="1" s="1"/>
  <c r="H18" i="1"/>
  <c r="S18" i="1" s="1"/>
  <c r="AO135" i="1"/>
  <c r="AN135" i="1"/>
  <c r="AB135" i="1"/>
  <c r="AA135" i="1"/>
  <c r="Z135" i="1"/>
  <c r="Y135" i="1"/>
  <c r="X135" i="1"/>
  <c r="AK135" i="1" s="1"/>
  <c r="W135" i="1"/>
  <c r="V135" i="1"/>
  <c r="AI135" i="1" s="1"/>
  <c r="U135" i="1"/>
  <c r="I135" i="1"/>
  <c r="T135" i="1" s="1"/>
  <c r="H135" i="1"/>
  <c r="S135" i="1" s="1"/>
  <c r="AO134" i="1"/>
  <c r="AN134" i="1"/>
  <c r="AB134" i="1"/>
  <c r="AA134" i="1"/>
  <c r="Z134" i="1"/>
  <c r="Y134" i="1"/>
  <c r="X134" i="1"/>
  <c r="AK134" i="1" s="1"/>
  <c r="W134" i="1"/>
  <c r="V134" i="1"/>
  <c r="AI134" i="1" s="1"/>
  <c r="U134" i="1"/>
  <c r="I134" i="1"/>
  <c r="T134" i="1" s="1"/>
  <c r="H134" i="1"/>
  <c r="S134" i="1" s="1"/>
  <c r="AO125" i="1"/>
  <c r="AN125" i="1"/>
  <c r="AB125" i="1"/>
  <c r="AA125" i="1"/>
  <c r="Z125" i="1"/>
  <c r="Y125" i="1"/>
  <c r="X125" i="1"/>
  <c r="AK125" i="1" s="1"/>
  <c r="W125" i="1"/>
  <c r="V125" i="1"/>
  <c r="AI125" i="1" s="1"/>
  <c r="U125" i="1"/>
  <c r="I125" i="1"/>
  <c r="T125" i="1" s="1"/>
  <c r="H125" i="1"/>
  <c r="S125" i="1" s="1"/>
  <c r="AO124" i="1"/>
  <c r="AN124" i="1"/>
  <c r="AB124" i="1"/>
  <c r="AA124" i="1"/>
  <c r="Z124" i="1"/>
  <c r="Y124" i="1"/>
  <c r="X124" i="1"/>
  <c r="AK124" i="1" s="1"/>
  <c r="W124" i="1"/>
  <c r="V124" i="1"/>
  <c r="AI124" i="1" s="1"/>
  <c r="U124" i="1"/>
  <c r="I124" i="1"/>
  <c r="T124" i="1" s="1"/>
  <c r="H124" i="1"/>
  <c r="S124" i="1" s="1"/>
  <c r="AN8" i="1"/>
  <c r="AB8" i="1"/>
  <c r="AA8" i="1"/>
  <c r="Z8" i="1"/>
  <c r="Y8" i="1"/>
  <c r="X8" i="1"/>
  <c r="AK8" i="1" s="1"/>
  <c r="W8" i="1"/>
  <c r="V8" i="1"/>
  <c r="U8" i="1"/>
  <c r="I8" i="1"/>
  <c r="T8" i="1" s="1"/>
  <c r="H8" i="1"/>
  <c r="S8" i="1" s="1"/>
  <c r="AN13" i="1"/>
  <c r="AB13" i="1"/>
  <c r="AA13" i="1"/>
  <c r="Z13" i="1"/>
  <c r="Y13" i="1"/>
  <c r="X13" i="1"/>
  <c r="AK13" i="1" s="1"/>
  <c r="W13" i="1"/>
  <c r="V13" i="1"/>
  <c r="AI13" i="1" s="1"/>
  <c r="U13" i="1"/>
  <c r="I13" i="1"/>
  <c r="T13" i="1" s="1"/>
  <c r="H13" i="1"/>
  <c r="S13" i="1" s="1"/>
  <c r="AN12" i="1"/>
  <c r="AB12" i="1"/>
  <c r="AA12" i="1"/>
  <c r="Z12" i="1"/>
  <c r="Y12" i="1"/>
  <c r="X12" i="1"/>
  <c r="AK12" i="1" s="1"/>
  <c r="W12" i="1"/>
  <c r="V12" i="1"/>
  <c r="AI12" i="1" s="1"/>
  <c r="U12" i="1"/>
  <c r="I12" i="1"/>
  <c r="T12" i="1" s="1"/>
  <c r="H12" i="1"/>
  <c r="S12" i="1" s="1"/>
  <c r="I3" i="1"/>
  <c r="T3" i="1" s="1"/>
  <c r="I4" i="1"/>
  <c r="T4" i="1" s="1"/>
  <c r="I5" i="1"/>
  <c r="T5" i="1" s="1"/>
  <c r="I6" i="1"/>
  <c r="T6" i="1" s="1"/>
  <c r="I7" i="1"/>
  <c r="T7" i="1" s="1"/>
  <c r="I9" i="1"/>
  <c r="T9" i="1" s="1"/>
  <c r="I10" i="1"/>
  <c r="T10" i="1" s="1"/>
  <c r="I11" i="1"/>
  <c r="T11" i="1" s="1"/>
  <c r="I14" i="1"/>
  <c r="T14" i="1" s="1"/>
  <c r="I15" i="1"/>
  <c r="T15" i="1" s="1"/>
  <c r="I16" i="1"/>
  <c r="T16" i="1" s="1"/>
  <c r="I17" i="1"/>
  <c r="T17" i="1" s="1"/>
  <c r="I19" i="1"/>
  <c r="T19" i="1" s="1"/>
  <c r="I20" i="1"/>
  <c r="T20" i="1" s="1"/>
  <c r="I21" i="1"/>
  <c r="T21" i="1" s="1"/>
  <c r="I22" i="1"/>
  <c r="T22" i="1" s="1"/>
  <c r="I23" i="1"/>
  <c r="T23" i="1" s="1"/>
  <c r="I24" i="1"/>
  <c r="T24" i="1" s="1"/>
  <c r="I26" i="1"/>
  <c r="T26" i="1" s="1"/>
  <c r="I27" i="1"/>
  <c r="T27" i="1" s="1"/>
  <c r="I28" i="1"/>
  <c r="T28" i="1" s="1"/>
  <c r="I29" i="1"/>
  <c r="T29" i="1" s="1"/>
  <c r="I30" i="1"/>
  <c r="T30" i="1" s="1"/>
  <c r="I31" i="1"/>
  <c r="T31" i="1" s="1"/>
  <c r="I32" i="1"/>
  <c r="T32" i="1" s="1"/>
  <c r="I34" i="1"/>
  <c r="T34" i="1" s="1"/>
  <c r="I35" i="1"/>
  <c r="T35" i="1" s="1"/>
  <c r="I36" i="1"/>
  <c r="T36" i="1" s="1"/>
  <c r="I37" i="1"/>
  <c r="T37" i="1" s="1"/>
  <c r="I38" i="1"/>
  <c r="T38" i="1" s="1"/>
  <c r="I39" i="1"/>
  <c r="T39" i="1" s="1"/>
  <c r="I40" i="1"/>
  <c r="T40" i="1" s="1"/>
  <c r="I42" i="1"/>
  <c r="T42" i="1" s="1"/>
  <c r="I43" i="1"/>
  <c r="T43" i="1" s="1"/>
  <c r="I44" i="1"/>
  <c r="T44" i="1" s="1"/>
  <c r="I45" i="1"/>
  <c r="T45" i="1" s="1"/>
  <c r="I46" i="1"/>
  <c r="T46" i="1" s="1"/>
  <c r="I47" i="1"/>
  <c r="T47" i="1" s="1"/>
  <c r="I48" i="1"/>
  <c r="T48" i="1" s="1"/>
  <c r="I50" i="1"/>
  <c r="T50" i="1" s="1"/>
  <c r="I51" i="1"/>
  <c r="T51" i="1" s="1"/>
  <c r="I52" i="1"/>
  <c r="T52" i="1" s="1"/>
  <c r="I53" i="1"/>
  <c r="T53" i="1" s="1"/>
  <c r="I55" i="1"/>
  <c r="T55" i="1" s="1"/>
  <c r="I83" i="1"/>
  <c r="T83" i="1" s="1"/>
  <c r="I84" i="1"/>
  <c r="T84" i="1" s="1"/>
  <c r="I85" i="1"/>
  <c r="T85" i="1" s="1"/>
  <c r="I86" i="1"/>
  <c r="T86" i="1" s="1"/>
  <c r="I87" i="1"/>
  <c r="T87" i="1" s="1"/>
  <c r="I88" i="1"/>
  <c r="T88" i="1" s="1"/>
  <c r="I90" i="1"/>
  <c r="T90" i="1" s="1"/>
  <c r="I91" i="1"/>
  <c r="T91" i="1" s="1"/>
  <c r="I92" i="1"/>
  <c r="T92" i="1" s="1"/>
  <c r="I93" i="1"/>
  <c r="T93" i="1" s="1"/>
  <c r="I99" i="1"/>
  <c r="T99" i="1" s="1"/>
  <c r="I100" i="1"/>
  <c r="T100" i="1" s="1"/>
  <c r="I101" i="1"/>
  <c r="T101" i="1" s="1"/>
  <c r="I102" i="1"/>
  <c r="T102" i="1" s="1"/>
  <c r="I103" i="1"/>
  <c r="T103" i="1" s="1"/>
  <c r="I104" i="1"/>
  <c r="T104" i="1" s="1"/>
  <c r="I106" i="1"/>
  <c r="T106" i="1" s="1"/>
  <c r="I107" i="1"/>
  <c r="T107" i="1" s="1"/>
  <c r="I108" i="1"/>
  <c r="T108" i="1" s="1"/>
  <c r="I109" i="1"/>
  <c r="T109" i="1" s="1"/>
  <c r="I110" i="1"/>
  <c r="T110" i="1" s="1"/>
  <c r="I112" i="1"/>
  <c r="T112" i="1" s="1"/>
  <c r="I113" i="1"/>
  <c r="T113" i="1" s="1"/>
  <c r="I114" i="1"/>
  <c r="T114" i="1" s="1"/>
  <c r="I115" i="1"/>
  <c r="T115" i="1" s="1"/>
  <c r="I117" i="1"/>
  <c r="T117" i="1" s="1"/>
  <c r="I118" i="1"/>
  <c r="T118" i="1" s="1"/>
  <c r="I119" i="1"/>
  <c r="T119" i="1" s="1"/>
  <c r="I123" i="1"/>
  <c r="T123" i="1" s="1"/>
  <c r="I126" i="1"/>
  <c r="T126" i="1" s="1"/>
  <c r="I127" i="1"/>
  <c r="T127" i="1" s="1"/>
  <c r="I128" i="1"/>
  <c r="T128" i="1" s="1"/>
  <c r="I129" i="1"/>
  <c r="T129" i="1" s="1"/>
  <c r="I131" i="1"/>
  <c r="T131" i="1" s="1"/>
  <c r="I132" i="1"/>
  <c r="T132" i="1" s="1"/>
  <c r="I133" i="1"/>
  <c r="T133" i="1" s="1"/>
  <c r="I136" i="1"/>
  <c r="T136" i="1" s="1"/>
  <c r="I137" i="1"/>
  <c r="T137" i="1" s="1"/>
  <c r="I138" i="1"/>
  <c r="T138" i="1" s="1"/>
  <c r="I139" i="1"/>
  <c r="T139" i="1" s="1"/>
  <c r="I141" i="1"/>
  <c r="T141" i="1" s="1"/>
  <c r="I142" i="1"/>
  <c r="T142" i="1" s="1"/>
  <c r="I143" i="1"/>
  <c r="T143" i="1" s="1"/>
  <c r="I144" i="1"/>
  <c r="T144" i="1" s="1"/>
  <c r="I145" i="1"/>
  <c r="T145" i="1" s="1"/>
  <c r="I146" i="1"/>
  <c r="T146" i="1" s="1"/>
  <c r="I148" i="1"/>
  <c r="T148" i="1" s="1"/>
  <c r="I149" i="1"/>
  <c r="T149" i="1" s="1"/>
  <c r="I150" i="1"/>
  <c r="T150" i="1" s="1"/>
  <c r="I151" i="1"/>
  <c r="T151" i="1" s="1"/>
  <c r="I152" i="1"/>
  <c r="T152" i="1" s="1"/>
  <c r="I153" i="1"/>
  <c r="T153" i="1" s="1"/>
  <c r="I154" i="1"/>
  <c r="T154" i="1" s="1"/>
  <c r="I156" i="1"/>
  <c r="T156" i="1" s="1"/>
  <c r="I157" i="1"/>
  <c r="T157" i="1" s="1"/>
  <c r="I158" i="1"/>
  <c r="T158" i="1" s="1"/>
  <c r="I159" i="1"/>
  <c r="T159" i="1" s="1"/>
  <c r="I160" i="1"/>
  <c r="T160" i="1" s="1"/>
  <c r="I161" i="1"/>
  <c r="T161" i="1" s="1"/>
  <c r="I162" i="1"/>
  <c r="T162" i="1" s="1"/>
  <c r="I164" i="1"/>
  <c r="T164" i="1" s="1"/>
  <c r="I165" i="1"/>
  <c r="T165" i="1" s="1"/>
  <c r="I166" i="1"/>
  <c r="T166" i="1" s="1"/>
  <c r="I167" i="1"/>
  <c r="T167" i="1" s="1"/>
  <c r="I168" i="1"/>
  <c r="T168" i="1" s="1"/>
  <c r="I169" i="1"/>
  <c r="T169" i="1" s="1"/>
  <c r="I170" i="1"/>
  <c r="T170" i="1" s="1"/>
  <c r="I172" i="1"/>
  <c r="T172" i="1" s="1"/>
  <c r="I173" i="1"/>
  <c r="T173" i="1" s="1"/>
  <c r="I174" i="1"/>
  <c r="T174" i="1" s="1"/>
  <c r="I175" i="1"/>
  <c r="T175" i="1" s="1"/>
  <c r="I177" i="1"/>
  <c r="T177" i="1" s="1"/>
  <c r="I179" i="1"/>
  <c r="T179" i="1" s="1"/>
  <c r="I200" i="1"/>
  <c r="T200" i="1" s="1"/>
  <c r="I201" i="1"/>
  <c r="T201" i="1" s="1"/>
  <c r="I202" i="1"/>
  <c r="T202" i="1" s="1"/>
  <c r="I204" i="1"/>
  <c r="T204" i="1" s="1"/>
  <c r="I205" i="1"/>
  <c r="T205" i="1" s="1"/>
  <c r="I206" i="1"/>
  <c r="T206" i="1" s="1"/>
  <c r="I207" i="1"/>
  <c r="T207" i="1" s="1"/>
  <c r="I208" i="1"/>
  <c r="T208" i="1" s="1"/>
  <c r="I209" i="1"/>
  <c r="T209" i="1" s="1"/>
  <c r="I210" i="1"/>
  <c r="T210" i="1" s="1"/>
  <c r="I212" i="1"/>
  <c r="T212" i="1" s="1"/>
  <c r="I213" i="1"/>
  <c r="T213" i="1" s="1"/>
  <c r="I214" i="1"/>
  <c r="T214" i="1" s="1"/>
  <c r="I215" i="1"/>
  <c r="T215" i="1" s="1"/>
  <c r="I216" i="1"/>
  <c r="T216" i="1" s="1"/>
  <c r="I217" i="1"/>
  <c r="T217" i="1" s="1"/>
  <c r="I218" i="1"/>
  <c r="T218" i="1" s="1"/>
  <c r="I220" i="1"/>
  <c r="T220" i="1" s="1"/>
  <c r="I221" i="1"/>
  <c r="T221" i="1" s="1"/>
  <c r="I222" i="1"/>
  <c r="T222" i="1" s="1"/>
  <c r="I223" i="1"/>
  <c r="T223" i="1" s="1"/>
  <c r="I224" i="1"/>
  <c r="T224" i="1" s="1"/>
  <c r="I225" i="1"/>
  <c r="T225" i="1" s="1"/>
  <c r="I226" i="1"/>
  <c r="T226" i="1" s="1"/>
  <c r="I228" i="1"/>
  <c r="T228" i="1" s="1"/>
  <c r="I229" i="1"/>
  <c r="T229" i="1" s="1"/>
  <c r="I230" i="1"/>
  <c r="T230" i="1" s="1"/>
  <c r="I231" i="1"/>
  <c r="T231" i="1" s="1"/>
  <c r="I232" i="1"/>
  <c r="T232" i="1" s="1"/>
  <c r="I234" i="1"/>
  <c r="T234" i="1" s="1"/>
  <c r="I235" i="1"/>
  <c r="T235" i="1" s="1"/>
  <c r="I236" i="1"/>
  <c r="T236" i="1" s="1"/>
  <c r="I237" i="1"/>
  <c r="T237" i="1" s="1"/>
  <c r="I239" i="1"/>
  <c r="T239" i="1" s="1"/>
  <c r="I240" i="1"/>
  <c r="T240" i="1" s="1"/>
  <c r="I241" i="1"/>
  <c r="T241" i="1" s="1"/>
  <c r="I243" i="1"/>
  <c r="T243" i="1" s="1"/>
  <c r="I245" i="1"/>
  <c r="T245" i="1" s="1"/>
  <c r="I2" i="1"/>
  <c r="T2" i="1" s="1"/>
  <c r="H3" i="1"/>
  <c r="S3" i="1" s="1"/>
  <c r="H4" i="1"/>
  <c r="S4" i="1" s="1"/>
  <c r="H5" i="1"/>
  <c r="S5" i="1" s="1"/>
  <c r="H6" i="1"/>
  <c r="S6" i="1" s="1"/>
  <c r="H7" i="1"/>
  <c r="S7" i="1" s="1"/>
  <c r="H9" i="1"/>
  <c r="S9" i="1" s="1"/>
  <c r="H10" i="1"/>
  <c r="S10" i="1" s="1"/>
  <c r="H11" i="1"/>
  <c r="S11" i="1" s="1"/>
  <c r="H14" i="1"/>
  <c r="S14" i="1" s="1"/>
  <c r="H15" i="1"/>
  <c r="S15" i="1" s="1"/>
  <c r="H16" i="1"/>
  <c r="S16" i="1" s="1"/>
  <c r="H17" i="1"/>
  <c r="S17" i="1" s="1"/>
  <c r="H19" i="1"/>
  <c r="S19" i="1" s="1"/>
  <c r="H20" i="1"/>
  <c r="S20" i="1" s="1"/>
  <c r="H21" i="1"/>
  <c r="S21" i="1" s="1"/>
  <c r="H22" i="1"/>
  <c r="S22" i="1" s="1"/>
  <c r="H23" i="1"/>
  <c r="S23" i="1" s="1"/>
  <c r="H24" i="1"/>
  <c r="S24" i="1" s="1"/>
  <c r="H26" i="1"/>
  <c r="S26" i="1" s="1"/>
  <c r="H27" i="1"/>
  <c r="S27" i="1" s="1"/>
  <c r="H28" i="1"/>
  <c r="S28" i="1" s="1"/>
  <c r="H29" i="1"/>
  <c r="S29" i="1" s="1"/>
  <c r="H30" i="1"/>
  <c r="S30" i="1" s="1"/>
  <c r="H31" i="1"/>
  <c r="S31" i="1" s="1"/>
  <c r="H32" i="1"/>
  <c r="S32" i="1" s="1"/>
  <c r="H34" i="1"/>
  <c r="S34" i="1" s="1"/>
  <c r="H35" i="1"/>
  <c r="S35" i="1" s="1"/>
  <c r="H36" i="1"/>
  <c r="S36" i="1" s="1"/>
  <c r="H37" i="1"/>
  <c r="S37" i="1" s="1"/>
  <c r="H38" i="1"/>
  <c r="S38" i="1" s="1"/>
  <c r="H39" i="1"/>
  <c r="S39" i="1" s="1"/>
  <c r="H40" i="1"/>
  <c r="S40" i="1" s="1"/>
  <c r="H42" i="1"/>
  <c r="S42" i="1" s="1"/>
  <c r="H43" i="1"/>
  <c r="S43" i="1" s="1"/>
  <c r="H44" i="1"/>
  <c r="S44" i="1" s="1"/>
  <c r="H45" i="1"/>
  <c r="S45" i="1" s="1"/>
  <c r="H46" i="1"/>
  <c r="S46" i="1" s="1"/>
  <c r="H47" i="1"/>
  <c r="S47" i="1" s="1"/>
  <c r="H48" i="1"/>
  <c r="S48" i="1" s="1"/>
  <c r="H50" i="1"/>
  <c r="S50" i="1" s="1"/>
  <c r="H51" i="1"/>
  <c r="S51" i="1" s="1"/>
  <c r="H52" i="1"/>
  <c r="S52" i="1" s="1"/>
  <c r="H53" i="1"/>
  <c r="S53" i="1" s="1"/>
  <c r="H55" i="1"/>
  <c r="S55" i="1" s="1"/>
  <c r="H83" i="1"/>
  <c r="S83" i="1" s="1"/>
  <c r="H84" i="1"/>
  <c r="S84" i="1" s="1"/>
  <c r="H85" i="1"/>
  <c r="S85" i="1" s="1"/>
  <c r="H86" i="1"/>
  <c r="S86" i="1" s="1"/>
  <c r="H87" i="1"/>
  <c r="S87" i="1" s="1"/>
  <c r="H88" i="1"/>
  <c r="S88" i="1" s="1"/>
  <c r="H90" i="1"/>
  <c r="S90" i="1" s="1"/>
  <c r="H91" i="1"/>
  <c r="S91" i="1" s="1"/>
  <c r="H92" i="1"/>
  <c r="S92" i="1" s="1"/>
  <c r="H93" i="1"/>
  <c r="S93" i="1" s="1"/>
  <c r="H99" i="1"/>
  <c r="S99" i="1" s="1"/>
  <c r="H100" i="1"/>
  <c r="S100" i="1" s="1"/>
  <c r="H101" i="1"/>
  <c r="S101" i="1" s="1"/>
  <c r="H102" i="1"/>
  <c r="S102" i="1" s="1"/>
  <c r="H103" i="1"/>
  <c r="S103" i="1" s="1"/>
  <c r="H104" i="1"/>
  <c r="S104" i="1" s="1"/>
  <c r="H106" i="1"/>
  <c r="S106" i="1" s="1"/>
  <c r="H107" i="1"/>
  <c r="S107" i="1" s="1"/>
  <c r="H108" i="1"/>
  <c r="S108" i="1" s="1"/>
  <c r="H109" i="1"/>
  <c r="S109" i="1" s="1"/>
  <c r="H110" i="1"/>
  <c r="S110" i="1" s="1"/>
  <c r="H112" i="1"/>
  <c r="S112" i="1" s="1"/>
  <c r="H113" i="1"/>
  <c r="S113" i="1" s="1"/>
  <c r="H114" i="1"/>
  <c r="S114" i="1" s="1"/>
  <c r="H115" i="1"/>
  <c r="S115" i="1" s="1"/>
  <c r="H117" i="1"/>
  <c r="S117" i="1" s="1"/>
  <c r="H118" i="1"/>
  <c r="S118" i="1" s="1"/>
  <c r="H119" i="1"/>
  <c r="S119" i="1" s="1"/>
  <c r="H123" i="1"/>
  <c r="S123" i="1" s="1"/>
  <c r="H126" i="1"/>
  <c r="S126" i="1" s="1"/>
  <c r="H127" i="1"/>
  <c r="S127" i="1" s="1"/>
  <c r="H128" i="1"/>
  <c r="S128" i="1" s="1"/>
  <c r="H129" i="1"/>
  <c r="S129" i="1" s="1"/>
  <c r="H131" i="1"/>
  <c r="S131" i="1" s="1"/>
  <c r="H132" i="1"/>
  <c r="S132" i="1" s="1"/>
  <c r="H133" i="1"/>
  <c r="S133" i="1" s="1"/>
  <c r="H136" i="1"/>
  <c r="S136" i="1" s="1"/>
  <c r="H137" i="1"/>
  <c r="S137" i="1" s="1"/>
  <c r="H138" i="1"/>
  <c r="S138" i="1" s="1"/>
  <c r="H139" i="1"/>
  <c r="S139" i="1" s="1"/>
  <c r="H141" i="1"/>
  <c r="S141" i="1" s="1"/>
  <c r="H142" i="1"/>
  <c r="S142" i="1" s="1"/>
  <c r="H143" i="1"/>
  <c r="S143" i="1" s="1"/>
  <c r="H144" i="1"/>
  <c r="S144" i="1" s="1"/>
  <c r="H145" i="1"/>
  <c r="S145" i="1" s="1"/>
  <c r="H146" i="1"/>
  <c r="S146" i="1" s="1"/>
  <c r="H148" i="1"/>
  <c r="S148" i="1" s="1"/>
  <c r="H149" i="1"/>
  <c r="S149" i="1" s="1"/>
  <c r="H150" i="1"/>
  <c r="S150" i="1" s="1"/>
  <c r="H151" i="1"/>
  <c r="S151" i="1" s="1"/>
  <c r="H152" i="1"/>
  <c r="S152" i="1" s="1"/>
  <c r="H153" i="1"/>
  <c r="S153" i="1" s="1"/>
  <c r="H154" i="1"/>
  <c r="S154" i="1" s="1"/>
  <c r="H156" i="1"/>
  <c r="S156" i="1" s="1"/>
  <c r="H157" i="1"/>
  <c r="S157" i="1" s="1"/>
  <c r="H158" i="1"/>
  <c r="S158" i="1" s="1"/>
  <c r="H159" i="1"/>
  <c r="S159" i="1" s="1"/>
  <c r="H160" i="1"/>
  <c r="S160" i="1" s="1"/>
  <c r="H161" i="1"/>
  <c r="S161" i="1" s="1"/>
  <c r="H162" i="1"/>
  <c r="S162" i="1" s="1"/>
  <c r="H164" i="1"/>
  <c r="S164" i="1" s="1"/>
  <c r="H165" i="1"/>
  <c r="S165" i="1" s="1"/>
  <c r="H166" i="1"/>
  <c r="S166" i="1" s="1"/>
  <c r="H167" i="1"/>
  <c r="S167" i="1" s="1"/>
  <c r="H168" i="1"/>
  <c r="S168" i="1" s="1"/>
  <c r="H169" i="1"/>
  <c r="S169" i="1" s="1"/>
  <c r="H170" i="1"/>
  <c r="S170" i="1" s="1"/>
  <c r="H172" i="1"/>
  <c r="S172" i="1" s="1"/>
  <c r="H173" i="1"/>
  <c r="S173" i="1" s="1"/>
  <c r="H174" i="1"/>
  <c r="S174" i="1" s="1"/>
  <c r="H175" i="1"/>
  <c r="S175" i="1" s="1"/>
  <c r="H177" i="1"/>
  <c r="S177" i="1" s="1"/>
  <c r="H179" i="1"/>
  <c r="S179" i="1" s="1"/>
  <c r="H200" i="1"/>
  <c r="S200" i="1" s="1"/>
  <c r="H201" i="1"/>
  <c r="S201" i="1" s="1"/>
  <c r="H202" i="1"/>
  <c r="S202" i="1" s="1"/>
  <c r="H204" i="1"/>
  <c r="S204" i="1" s="1"/>
  <c r="H205" i="1"/>
  <c r="S205" i="1" s="1"/>
  <c r="H206" i="1"/>
  <c r="S206" i="1" s="1"/>
  <c r="H207" i="1"/>
  <c r="S207" i="1" s="1"/>
  <c r="H208" i="1"/>
  <c r="S208" i="1" s="1"/>
  <c r="H209" i="1"/>
  <c r="S209" i="1" s="1"/>
  <c r="H210" i="1"/>
  <c r="S210" i="1" s="1"/>
  <c r="H212" i="1"/>
  <c r="S212" i="1" s="1"/>
  <c r="H213" i="1"/>
  <c r="S213" i="1" s="1"/>
  <c r="H214" i="1"/>
  <c r="S214" i="1" s="1"/>
  <c r="H215" i="1"/>
  <c r="S215" i="1" s="1"/>
  <c r="H216" i="1"/>
  <c r="S216" i="1" s="1"/>
  <c r="H217" i="1"/>
  <c r="S217" i="1" s="1"/>
  <c r="H218" i="1"/>
  <c r="S218" i="1" s="1"/>
  <c r="H220" i="1"/>
  <c r="S220" i="1" s="1"/>
  <c r="H221" i="1"/>
  <c r="S221" i="1" s="1"/>
  <c r="H222" i="1"/>
  <c r="S222" i="1" s="1"/>
  <c r="H223" i="1"/>
  <c r="S223" i="1" s="1"/>
  <c r="H224" i="1"/>
  <c r="S224" i="1" s="1"/>
  <c r="H225" i="1"/>
  <c r="S225" i="1" s="1"/>
  <c r="H226" i="1"/>
  <c r="S226" i="1" s="1"/>
  <c r="H228" i="1"/>
  <c r="S228" i="1" s="1"/>
  <c r="H229" i="1"/>
  <c r="S229" i="1" s="1"/>
  <c r="H230" i="1"/>
  <c r="S230" i="1" s="1"/>
  <c r="H231" i="1"/>
  <c r="S231" i="1" s="1"/>
  <c r="H232" i="1"/>
  <c r="S232" i="1" s="1"/>
  <c r="H234" i="1"/>
  <c r="S234" i="1" s="1"/>
  <c r="H235" i="1"/>
  <c r="S235" i="1" s="1"/>
  <c r="H236" i="1"/>
  <c r="S236" i="1" s="1"/>
  <c r="H237" i="1"/>
  <c r="S237" i="1" s="1"/>
  <c r="H239" i="1"/>
  <c r="S239" i="1" s="1"/>
  <c r="H240" i="1"/>
  <c r="S240" i="1" s="1"/>
  <c r="H241" i="1"/>
  <c r="S241" i="1" s="1"/>
  <c r="H243" i="1"/>
  <c r="S243" i="1" s="1"/>
  <c r="H245" i="1"/>
  <c r="S245" i="1" s="1"/>
  <c r="H2" i="1"/>
  <c r="S2" i="1" s="1"/>
  <c r="AN3" i="1"/>
  <c r="AB3" i="1"/>
  <c r="AA3" i="1"/>
  <c r="Z3" i="1"/>
  <c r="Y3" i="1"/>
  <c r="X3" i="1"/>
  <c r="AK3" i="1" s="1"/>
  <c r="W3" i="1"/>
  <c r="V3" i="1"/>
  <c r="AI3" i="1" s="1"/>
  <c r="U3" i="1"/>
  <c r="AN2" i="1"/>
  <c r="AB2" i="1"/>
  <c r="AA2" i="1"/>
  <c r="Z2" i="1"/>
  <c r="Y2" i="1"/>
  <c r="X2" i="1"/>
  <c r="AK2" i="1" s="1"/>
  <c r="W2" i="1"/>
  <c r="V2" i="1"/>
  <c r="U2" i="1"/>
  <c r="AO239" i="1"/>
  <c r="AN239" i="1"/>
  <c r="X239" i="1"/>
  <c r="AK239" i="1" s="1"/>
  <c r="W239" i="1"/>
  <c r="V239" i="1"/>
  <c r="AI239" i="1" s="1"/>
  <c r="U239" i="1"/>
  <c r="AO237" i="1"/>
  <c r="AN237" i="1"/>
  <c r="X237" i="1"/>
  <c r="AK237" i="1" s="1"/>
  <c r="W237" i="1"/>
  <c r="V237" i="1"/>
  <c r="AI237" i="1" s="1"/>
  <c r="U237" i="1"/>
  <c r="AO234" i="1"/>
  <c r="AN234" i="1"/>
  <c r="X234" i="1"/>
  <c r="AK234" i="1" s="1"/>
  <c r="W234" i="1"/>
  <c r="V234" i="1"/>
  <c r="AI234" i="1" s="1"/>
  <c r="U234" i="1"/>
  <c r="AO232" i="1"/>
  <c r="AN232" i="1"/>
  <c r="X232" i="1"/>
  <c r="AK232" i="1" s="1"/>
  <c r="W232" i="1"/>
  <c r="V232" i="1"/>
  <c r="AI232" i="1" s="1"/>
  <c r="U232" i="1"/>
  <c r="AO240" i="1"/>
  <c r="AN240" i="1"/>
  <c r="X240" i="1"/>
  <c r="AK240" i="1" s="1"/>
  <c r="W240" i="1"/>
  <c r="V240" i="1"/>
  <c r="AI240" i="1" s="1"/>
  <c r="U240" i="1"/>
  <c r="AO235" i="1"/>
  <c r="AN235" i="1"/>
  <c r="X235" i="1"/>
  <c r="AK235" i="1" s="1"/>
  <c r="W235" i="1"/>
  <c r="V235" i="1"/>
  <c r="AI235" i="1" s="1"/>
  <c r="U235" i="1"/>
  <c r="AO117" i="1"/>
  <c r="AN117" i="1"/>
  <c r="X117" i="1"/>
  <c r="AK117" i="1" s="1"/>
  <c r="W117" i="1"/>
  <c r="V117" i="1"/>
  <c r="AI117" i="1" s="1"/>
  <c r="U117" i="1"/>
  <c r="AO115" i="1"/>
  <c r="AN115" i="1"/>
  <c r="X115" i="1"/>
  <c r="AK115" i="1" s="1"/>
  <c r="W115" i="1"/>
  <c r="V115" i="1"/>
  <c r="AI115" i="1" s="1"/>
  <c r="U115" i="1"/>
  <c r="AO112" i="1"/>
  <c r="AN112" i="1"/>
  <c r="X112" i="1"/>
  <c r="AK112" i="1" s="1"/>
  <c r="W112" i="1"/>
  <c r="V112" i="1"/>
  <c r="AI112" i="1" s="1"/>
  <c r="U112" i="1"/>
  <c r="AO110" i="1"/>
  <c r="AN110" i="1"/>
  <c r="X110" i="1"/>
  <c r="AK110" i="1" s="1"/>
  <c r="W110" i="1"/>
  <c r="V110" i="1"/>
  <c r="AI110" i="1" s="1"/>
  <c r="U110" i="1"/>
  <c r="AO118" i="1"/>
  <c r="AN118" i="1"/>
  <c r="X118" i="1"/>
  <c r="AK118" i="1" s="1"/>
  <c r="W118" i="1"/>
  <c r="V118" i="1"/>
  <c r="AI118" i="1" s="1"/>
  <c r="U118" i="1"/>
  <c r="AO113" i="1"/>
  <c r="AN113" i="1"/>
  <c r="X113" i="1"/>
  <c r="AK113" i="1" s="1"/>
  <c r="W113" i="1"/>
  <c r="V113" i="1"/>
  <c r="AI113" i="1" s="1"/>
  <c r="U113" i="1"/>
  <c r="AO141" i="1"/>
  <c r="AN141" i="1"/>
  <c r="AB141" i="1"/>
  <c r="AA141" i="1"/>
  <c r="Z141" i="1"/>
  <c r="Y141" i="1"/>
  <c r="X141" i="1"/>
  <c r="AK141" i="1" s="1"/>
  <c r="W141" i="1"/>
  <c r="V141" i="1"/>
  <c r="AI141" i="1" s="1"/>
  <c r="U141" i="1"/>
  <c r="AO131" i="1"/>
  <c r="AN131" i="1"/>
  <c r="AB131" i="1"/>
  <c r="AA131" i="1"/>
  <c r="Z131" i="1"/>
  <c r="Y131" i="1"/>
  <c r="X131" i="1"/>
  <c r="AK131" i="1" s="1"/>
  <c r="W131" i="1"/>
  <c r="V131" i="1"/>
  <c r="AI131" i="1" s="1"/>
  <c r="U131" i="1"/>
  <c r="AN19" i="1"/>
  <c r="AB19" i="1"/>
  <c r="AA19" i="1"/>
  <c r="Z19" i="1"/>
  <c r="Y19" i="1"/>
  <c r="X19" i="1"/>
  <c r="AK19" i="1" s="1"/>
  <c r="W19" i="1"/>
  <c r="V19" i="1"/>
  <c r="U19" i="1"/>
  <c r="AN9" i="1"/>
  <c r="AB9" i="1"/>
  <c r="AA9" i="1"/>
  <c r="Z9" i="1"/>
  <c r="Y9" i="1"/>
  <c r="X9" i="1"/>
  <c r="AK9" i="1" s="1"/>
  <c r="W9" i="1"/>
  <c r="V9" i="1"/>
  <c r="AI9" i="1" s="1"/>
  <c r="U9" i="1"/>
  <c r="AC231" i="1"/>
  <c r="AC230" i="1"/>
  <c r="AC229" i="1"/>
  <c r="AC228" i="1"/>
  <c r="AC226" i="1"/>
  <c r="AC225" i="1"/>
  <c r="AC224" i="1"/>
  <c r="AC223" i="1"/>
  <c r="AC222" i="1"/>
  <c r="AC221" i="1"/>
  <c r="AC220" i="1"/>
  <c r="AC218" i="1"/>
  <c r="AC217" i="1"/>
  <c r="AC216" i="1"/>
  <c r="AC215" i="1"/>
  <c r="AC214" i="1"/>
  <c r="AC213" i="1"/>
  <c r="AC212" i="1"/>
  <c r="AC210" i="1"/>
  <c r="AC209" i="1"/>
  <c r="AC208" i="1"/>
  <c r="AC207" i="1"/>
  <c r="AC206" i="1"/>
  <c r="AC205" i="1"/>
  <c r="AC204" i="1"/>
  <c r="AC202" i="1"/>
  <c r="AC201" i="1"/>
  <c r="AC200" i="1"/>
  <c r="AC175" i="1"/>
  <c r="AC174" i="1"/>
  <c r="AC173" i="1"/>
  <c r="AC172" i="1"/>
  <c r="AC170" i="1"/>
  <c r="AC169" i="1"/>
  <c r="AC168" i="1"/>
  <c r="AC167" i="1"/>
  <c r="AC166" i="1"/>
  <c r="AC165" i="1"/>
  <c r="AC164" i="1"/>
  <c r="AC162" i="1"/>
  <c r="AC161" i="1"/>
  <c r="AC160" i="1"/>
  <c r="AC159" i="1"/>
  <c r="AC158" i="1"/>
  <c r="AC157" i="1"/>
  <c r="AC156" i="1"/>
  <c r="AC154" i="1"/>
  <c r="AC153" i="1"/>
  <c r="AC152" i="1"/>
  <c r="AC151" i="1"/>
  <c r="AC150" i="1"/>
  <c r="AC149" i="1"/>
  <c r="AC148" i="1"/>
  <c r="AC146" i="1"/>
  <c r="AC145" i="1"/>
  <c r="AC144" i="1"/>
  <c r="AN245" i="1"/>
  <c r="AN243" i="1"/>
  <c r="AN241" i="1"/>
  <c r="AN236" i="1"/>
  <c r="AN179" i="1"/>
  <c r="AN177" i="1"/>
  <c r="AN143" i="1"/>
  <c r="AN142" i="1"/>
  <c r="AN139" i="1"/>
  <c r="AN138" i="1"/>
  <c r="AN137" i="1"/>
  <c r="AN136" i="1"/>
  <c r="AN133" i="1"/>
  <c r="AN132" i="1"/>
  <c r="AN129" i="1"/>
  <c r="AN128" i="1"/>
  <c r="AN127" i="1"/>
  <c r="AN126" i="1"/>
  <c r="AN159" i="1"/>
  <c r="AN158" i="1"/>
  <c r="AN157" i="1"/>
  <c r="AN156" i="1"/>
  <c r="AN154" i="1"/>
  <c r="AN153" i="1"/>
  <c r="AN152" i="1"/>
  <c r="AN151" i="1"/>
  <c r="AN150" i="1"/>
  <c r="AN149" i="1"/>
  <c r="AN148" i="1"/>
  <c r="AN146" i="1"/>
  <c r="AN145" i="1"/>
  <c r="AN144" i="1"/>
  <c r="AO143" i="1"/>
  <c r="AO142" i="1"/>
  <c r="AO139" i="1"/>
  <c r="AO138" i="1"/>
  <c r="AO137" i="1"/>
  <c r="AO136" i="1"/>
  <c r="AO133" i="1"/>
  <c r="AO132" i="1"/>
  <c r="AO129" i="1"/>
  <c r="AO128" i="1"/>
  <c r="AO127" i="1"/>
  <c r="AO126" i="1"/>
  <c r="AO245" i="1"/>
  <c r="V245" i="1"/>
  <c r="AI245" i="1" s="1"/>
  <c r="X245" i="1"/>
  <c r="AK245" i="1" s="1"/>
  <c r="U245" i="1"/>
  <c r="W245" i="1"/>
  <c r="AO243" i="1"/>
  <c r="V243" i="1"/>
  <c r="AI243" i="1" s="1"/>
  <c r="X243" i="1"/>
  <c r="AK243" i="1" s="1"/>
  <c r="U243" i="1"/>
  <c r="W243" i="1"/>
  <c r="AO241" i="1"/>
  <c r="V241" i="1"/>
  <c r="AI241" i="1" s="1"/>
  <c r="AM241" i="1" s="1"/>
  <c r="X241" i="1"/>
  <c r="AK241" i="1" s="1"/>
  <c r="U241" i="1"/>
  <c r="W241" i="1"/>
  <c r="AO236" i="1"/>
  <c r="V236" i="1"/>
  <c r="AI236" i="1" s="1"/>
  <c r="X236" i="1"/>
  <c r="AK236" i="1" s="1"/>
  <c r="U236" i="1"/>
  <c r="W236" i="1"/>
  <c r="AO231" i="1"/>
  <c r="AN231" i="1"/>
  <c r="AD231" i="1"/>
  <c r="AF231" i="1"/>
  <c r="X231" i="1"/>
  <c r="AK231" i="1" s="1"/>
  <c r="AE231" i="1"/>
  <c r="W231" i="1"/>
  <c r="AO230" i="1"/>
  <c r="AN230" i="1"/>
  <c r="AD230" i="1"/>
  <c r="AF230" i="1"/>
  <c r="X230" i="1"/>
  <c r="AK230" i="1" s="1"/>
  <c r="AE230" i="1"/>
  <c r="W230" i="1"/>
  <c r="AO229" i="1"/>
  <c r="AN229" i="1"/>
  <c r="AD229" i="1"/>
  <c r="AF229" i="1"/>
  <c r="X229" i="1"/>
  <c r="AK229" i="1" s="1"/>
  <c r="AE229" i="1"/>
  <c r="W229" i="1"/>
  <c r="AO228" i="1"/>
  <c r="AN228" i="1"/>
  <c r="AD228" i="1"/>
  <c r="AI228" i="1" s="1"/>
  <c r="AF228" i="1"/>
  <c r="X228" i="1"/>
  <c r="AK228" i="1" s="1"/>
  <c r="AE228" i="1"/>
  <c r="W228" i="1"/>
  <c r="AO226" i="1"/>
  <c r="AN226" i="1"/>
  <c r="AD226" i="1"/>
  <c r="AF226" i="1"/>
  <c r="X226" i="1"/>
  <c r="AK226" i="1" s="1"/>
  <c r="AE226" i="1"/>
  <c r="W226" i="1"/>
  <c r="AO225" i="1"/>
  <c r="AN225" i="1"/>
  <c r="AD225" i="1"/>
  <c r="AF225" i="1"/>
  <c r="X225" i="1"/>
  <c r="AK225" i="1" s="1"/>
  <c r="AE225" i="1"/>
  <c r="W225" i="1"/>
  <c r="AO224" i="1"/>
  <c r="AN224" i="1"/>
  <c r="AD224" i="1"/>
  <c r="AF224" i="1"/>
  <c r="AI224" i="1" s="1"/>
  <c r="X224" i="1"/>
  <c r="AK224" i="1" s="1"/>
  <c r="AE224" i="1"/>
  <c r="W224" i="1"/>
  <c r="AO223" i="1"/>
  <c r="AN223" i="1"/>
  <c r="AD223" i="1"/>
  <c r="AF223" i="1"/>
  <c r="X223" i="1"/>
  <c r="AK223" i="1" s="1"/>
  <c r="AE223" i="1"/>
  <c r="W223" i="1"/>
  <c r="AO222" i="1"/>
  <c r="AN222" i="1"/>
  <c r="AD222" i="1"/>
  <c r="AF222" i="1"/>
  <c r="X222" i="1"/>
  <c r="AK222" i="1" s="1"/>
  <c r="AE222" i="1"/>
  <c r="W222" i="1"/>
  <c r="AO221" i="1"/>
  <c r="AN221" i="1"/>
  <c r="AD221" i="1"/>
  <c r="AF221" i="1"/>
  <c r="X221" i="1"/>
  <c r="AK221" i="1" s="1"/>
  <c r="AE221" i="1"/>
  <c r="W221" i="1"/>
  <c r="AO220" i="1"/>
  <c r="AN220" i="1"/>
  <c r="AD220" i="1"/>
  <c r="AF220" i="1"/>
  <c r="AI220" i="1" s="1"/>
  <c r="X220" i="1"/>
  <c r="AK220" i="1" s="1"/>
  <c r="AE220" i="1"/>
  <c r="W220" i="1"/>
  <c r="AO218" i="1"/>
  <c r="AN218" i="1"/>
  <c r="AD218" i="1"/>
  <c r="AF218" i="1"/>
  <c r="X218" i="1"/>
  <c r="AK218" i="1" s="1"/>
  <c r="AE218" i="1"/>
  <c r="W218" i="1"/>
  <c r="AO217" i="1"/>
  <c r="AN217" i="1"/>
  <c r="AD217" i="1"/>
  <c r="AF217" i="1"/>
  <c r="X217" i="1"/>
  <c r="AK217" i="1" s="1"/>
  <c r="AE217" i="1"/>
  <c r="W217" i="1"/>
  <c r="AO216" i="1"/>
  <c r="AN216" i="1"/>
  <c r="AD216" i="1"/>
  <c r="AF216" i="1"/>
  <c r="X216" i="1"/>
  <c r="AK216" i="1" s="1"/>
  <c r="AE216" i="1"/>
  <c r="W216" i="1"/>
  <c r="AN215" i="1"/>
  <c r="AD215" i="1"/>
  <c r="AF215" i="1"/>
  <c r="X215" i="1"/>
  <c r="AK215" i="1" s="1"/>
  <c r="AE215" i="1"/>
  <c r="W215" i="1"/>
  <c r="AN214" i="1"/>
  <c r="AD214" i="1"/>
  <c r="AF214" i="1"/>
  <c r="X214" i="1"/>
  <c r="AK214" i="1" s="1"/>
  <c r="AE214" i="1"/>
  <c r="W214" i="1"/>
  <c r="AJ214" i="1" s="1"/>
  <c r="AN213" i="1"/>
  <c r="AD213" i="1"/>
  <c r="AI213" i="1" s="1"/>
  <c r="AF213" i="1"/>
  <c r="X213" i="1"/>
  <c r="AK213" i="1" s="1"/>
  <c r="AE213" i="1"/>
  <c r="W213" i="1"/>
  <c r="AN212" i="1"/>
  <c r="AD212" i="1"/>
  <c r="AF212" i="1"/>
  <c r="X212" i="1"/>
  <c r="AK212" i="1" s="1"/>
  <c r="AE212" i="1"/>
  <c r="W212" i="1"/>
  <c r="AN210" i="1"/>
  <c r="AD210" i="1"/>
  <c r="AI210" i="1" s="1"/>
  <c r="AF210" i="1"/>
  <c r="X210" i="1"/>
  <c r="AK210" i="1" s="1"/>
  <c r="AE210" i="1"/>
  <c r="W210" i="1"/>
  <c r="AN209" i="1"/>
  <c r="AD209" i="1"/>
  <c r="AF209" i="1"/>
  <c r="X209" i="1"/>
  <c r="AK209" i="1" s="1"/>
  <c r="AE209" i="1"/>
  <c r="W209" i="1"/>
  <c r="AN208" i="1"/>
  <c r="AD208" i="1"/>
  <c r="AF208" i="1"/>
  <c r="X208" i="1"/>
  <c r="AK208" i="1" s="1"/>
  <c r="AE208" i="1"/>
  <c r="W208" i="1"/>
  <c r="AN207" i="1"/>
  <c r="AD207" i="1"/>
  <c r="AF207" i="1"/>
  <c r="X207" i="1"/>
  <c r="AK207" i="1" s="1"/>
  <c r="AE207" i="1"/>
  <c r="W207" i="1"/>
  <c r="AN206" i="1"/>
  <c r="AD206" i="1"/>
  <c r="AF206" i="1"/>
  <c r="X206" i="1"/>
  <c r="AK206" i="1" s="1"/>
  <c r="AE206" i="1"/>
  <c r="W206" i="1"/>
  <c r="AN205" i="1"/>
  <c r="AD205" i="1"/>
  <c r="AF205" i="1"/>
  <c r="X205" i="1"/>
  <c r="AK205" i="1" s="1"/>
  <c r="AE205" i="1"/>
  <c r="W205" i="1"/>
  <c r="AJ205" i="1" s="1"/>
  <c r="AN204" i="1"/>
  <c r="AD204" i="1"/>
  <c r="AF204" i="1"/>
  <c r="X204" i="1"/>
  <c r="AK204" i="1" s="1"/>
  <c r="AE204" i="1"/>
  <c r="W204" i="1"/>
  <c r="AN202" i="1"/>
  <c r="AD202" i="1"/>
  <c r="AF202" i="1"/>
  <c r="X202" i="1"/>
  <c r="AK202" i="1" s="1"/>
  <c r="AE202" i="1"/>
  <c r="W202" i="1"/>
  <c r="AN201" i="1"/>
  <c r="AD201" i="1"/>
  <c r="AF201" i="1"/>
  <c r="X201" i="1"/>
  <c r="AK201" i="1" s="1"/>
  <c r="AE201" i="1"/>
  <c r="W201" i="1"/>
  <c r="AN200" i="1"/>
  <c r="AD200" i="1"/>
  <c r="AF200" i="1"/>
  <c r="X200" i="1"/>
  <c r="AK200" i="1" s="1"/>
  <c r="AE200" i="1"/>
  <c r="W200" i="1"/>
  <c r="AO179" i="1"/>
  <c r="V179" i="1"/>
  <c r="AI179" i="1" s="1"/>
  <c r="X179" i="1"/>
  <c r="AK179" i="1" s="1"/>
  <c r="U179" i="1"/>
  <c r="W179" i="1"/>
  <c r="AO177" i="1"/>
  <c r="V177" i="1"/>
  <c r="AI177" i="1" s="1"/>
  <c r="X177" i="1"/>
  <c r="AK177" i="1" s="1"/>
  <c r="U177" i="1"/>
  <c r="W177" i="1"/>
  <c r="AO175" i="1"/>
  <c r="AN175" i="1"/>
  <c r="AD175" i="1"/>
  <c r="AF175" i="1"/>
  <c r="X175" i="1"/>
  <c r="AK175" i="1" s="1"/>
  <c r="AE175" i="1"/>
  <c r="W175" i="1"/>
  <c r="AO174" i="1"/>
  <c r="AN174" i="1"/>
  <c r="AD174" i="1"/>
  <c r="AF174" i="1"/>
  <c r="X174" i="1"/>
  <c r="AK174" i="1" s="1"/>
  <c r="AE174" i="1"/>
  <c r="W174" i="1"/>
  <c r="AO173" i="1"/>
  <c r="AN173" i="1"/>
  <c r="AD173" i="1"/>
  <c r="AF173" i="1"/>
  <c r="AI173" i="1" s="1"/>
  <c r="X173" i="1"/>
  <c r="AK173" i="1" s="1"/>
  <c r="AE173" i="1"/>
  <c r="W173" i="1"/>
  <c r="AO172" i="1"/>
  <c r="AN172" i="1"/>
  <c r="AD172" i="1"/>
  <c r="AF172" i="1"/>
  <c r="X172" i="1"/>
  <c r="AK172" i="1" s="1"/>
  <c r="AE172" i="1"/>
  <c r="W172" i="1"/>
  <c r="AO170" i="1"/>
  <c r="AN170" i="1"/>
  <c r="AD170" i="1"/>
  <c r="AF170" i="1"/>
  <c r="X170" i="1"/>
  <c r="AK170" i="1" s="1"/>
  <c r="AE170" i="1"/>
  <c r="W170" i="1"/>
  <c r="AO169" i="1"/>
  <c r="AN169" i="1"/>
  <c r="AD169" i="1"/>
  <c r="AF169" i="1"/>
  <c r="X169" i="1"/>
  <c r="AK169" i="1" s="1"/>
  <c r="AE169" i="1"/>
  <c r="W169" i="1"/>
  <c r="AO168" i="1"/>
  <c r="AN168" i="1"/>
  <c r="AD168" i="1"/>
  <c r="AF168" i="1"/>
  <c r="X168" i="1"/>
  <c r="AK168" i="1" s="1"/>
  <c r="AE168" i="1"/>
  <c r="W168" i="1"/>
  <c r="AO167" i="1"/>
  <c r="AN167" i="1"/>
  <c r="AD167" i="1"/>
  <c r="AF167" i="1"/>
  <c r="X167" i="1"/>
  <c r="AK167" i="1" s="1"/>
  <c r="AE167" i="1"/>
  <c r="W167" i="1"/>
  <c r="AO166" i="1"/>
  <c r="AN166" i="1"/>
  <c r="AD166" i="1"/>
  <c r="AF166" i="1"/>
  <c r="X166" i="1"/>
  <c r="AK166" i="1" s="1"/>
  <c r="AE166" i="1"/>
  <c r="W166" i="1"/>
  <c r="AO165" i="1"/>
  <c r="AN165" i="1"/>
  <c r="AD165" i="1"/>
  <c r="AF165" i="1"/>
  <c r="X165" i="1"/>
  <c r="AK165" i="1" s="1"/>
  <c r="AE165" i="1"/>
  <c r="W165" i="1"/>
  <c r="AO164" i="1"/>
  <c r="AN164" i="1"/>
  <c r="AD164" i="1"/>
  <c r="AF164" i="1"/>
  <c r="X164" i="1"/>
  <c r="AK164" i="1" s="1"/>
  <c r="AE164" i="1"/>
  <c r="W164" i="1"/>
  <c r="AO162" i="1"/>
  <c r="AN162" i="1"/>
  <c r="AD162" i="1"/>
  <c r="AF162" i="1"/>
  <c r="X162" i="1"/>
  <c r="AK162" i="1" s="1"/>
  <c r="AE162" i="1"/>
  <c r="W162" i="1"/>
  <c r="AO161" i="1"/>
  <c r="AN161" i="1"/>
  <c r="AD161" i="1"/>
  <c r="AF161" i="1"/>
  <c r="X161" i="1"/>
  <c r="AK161" i="1" s="1"/>
  <c r="AE161" i="1"/>
  <c r="W161" i="1"/>
  <c r="AO160" i="1"/>
  <c r="AN160" i="1"/>
  <c r="AD160" i="1"/>
  <c r="AF160" i="1"/>
  <c r="X160" i="1"/>
  <c r="AK160" i="1" s="1"/>
  <c r="AE160" i="1"/>
  <c r="W160" i="1"/>
  <c r="AD159" i="1"/>
  <c r="AF159" i="1"/>
  <c r="X159" i="1"/>
  <c r="AK159" i="1" s="1"/>
  <c r="AE159" i="1"/>
  <c r="W159" i="1"/>
  <c r="AD158" i="1"/>
  <c r="AF158" i="1"/>
  <c r="X158" i="1"/>
  <c r="AK158" i="1" s="1"/>
  <c r="AE158" i="1"/>
  <c r="W158" i="1"/>
  <c r="AD157" i="1"/>
  <c r="AF157" i="1"/>
  <c r="X157" i="1"/>
  <c r="AK157" i="1" s="1"/>
  <c r="AE157" i="1"/>
  <c r="W157" i="1"/>
  <c r="AD156" i="1"/>
  <c r="AF156" i="1"/>
  <c r="X156" i="1"/>
  <c r="AK156" i="1" s="1"/>
  <c r="AE156" i="1"/>
  <c r="W156" i="1"/>
  <c r="AD154" i="1"/>
  <c r="AF154" i="1"/>
  <c r="X154" i="1"/>
  <c r="AK154" i="1" s="1"/>
  <c r="AE154" i="1"/>
  <c r="W154" i="1"/>
  <c r="AD153" i="1"/>
  <c r="AF153" i="1"/>
  <c r="X153" i="1"/>
  <c r="AK153" i="1" s="1"/>
  <c r="AE153" i="1"/>
  <c r="W153" i="1"/>
  <c r="AD152" i="1"/>
  <c r="AF152" i="1"/>
  <c r="X152" i="1"/>
  <c r="AK152" i="1" s="1"/>
  <c r="AE152" i="1"/>
  <c r="W152" i="1"/>
  <c r="AD151" i="1"/>
  <c r="AF151" i="1"/>
  <c r="X151" i="1"/>
  <c r="AK151" i="1" s="1"/>
  <c r="AE151" i="1"/>
  <c r="W151" i="1"/>
  <c r="AD150" i="1"/>
  <c r="AF150" i="1"/>
  <c r="X150" i="1"/>
  <c r="AK150" i="1" s="1"/>
  <c r="AE150" i="1"/>
  <c r="W150" i="1"/>
  <c r="AD149" i="1"/>
  <c r="AF149" i="1"/>
  <c r="X149" i="1"/>
  <c r="AK149" i="1" s="1"/>
  <c r="AE149" i="1"/>
  <c r="W149" i="1"/>
  <c r="AD148" i="1"/>
  <c r="AF148" i="1"/>
  <c r="X148" i="1"/>
  <c r="AK148" i="1" s="1"/>
  <c r="AE148" i="1"/>
  <c r="W148" i="1"/>
  <c r="AD146" i="1"/>
  <c r="AF146" i="1"/>
  <c r="X146" i="1"/>
  <c r="AK146" i="1" s="1"/>
  <c r="AE146" i="1"/>
  <c r="W146" i="1"/>
  <c r="AJ146" i="1" s="1"/>
  <c r="AD145" i="1"/>
  <c r="AF145" i="1"/>
  <c r="X145" i="1"/>
  <c r="AK145" i="1" s="1"/>
  <c r="AE145" i="1"/>
  <c r="W145" i="1"/>
  <c r="AD144" i="1"/>
  <c r="AF144" i="1"/>
  <c r="X144" i="1"/>
  <c r="AK144" i="1" s="1"/>
  <c r="AE144" i="1"/>
  <c r="W144" i="1"/>
  <c r="V143" i="1"/>
  <c r="AI143" i="1" s="1"/>
  <c r="Z143" i="1"/>
  <c r="X143" i="1"/>
  <c r="AK143" i="1" s="1"/>
  <c r="AB143" i="1"/>
  <c r="U143" i="1"/>
  <c r="Y143" i="1"/>
  <c r="W143" i="1"/>
  <c r="AA143" i="1"/>
  <c r="V142" i="1"/>
  <c r="AI142" i="1" s="1"/>
  <c r="Z142" i="1"/>
  <c r="X142" i="1"/>
  <c r="AK142" i="1" s="1"/>
  <c r="AB142" i="1"/>
  <c r="U142" i="1"/>
  <c r="Y142" i="1"/>
  <c r="W142" i="1"/>
  <c r="AA142" i="1"/>
  <c r="V139" i="1"/>
  <c r="AI139" i="1" s="1"/>
  <c r="Z139" i="1"/>
  <c r="X139" i="1"/>
  <c r="AK139" i="1" s="1"/>
  <c r="AB139" i="1"/>
  <c r="U139" i="1"/>
  <c r="Y139" i="1"/>
  <c r="W139" i="1"/>
  <c r="AA139" i="1"/>
  <c r="V138" i="1"/>
  <c r="AI138" i="1" s="1"/>
  <c r="Z138" i="1"/>
  <c r="X138" i="1"/>
  <c r="AK138" i="1" s="1"/>
  <c r="AB138" i="1"/>
  <c r="U138" i="1"/>
  <c r="Y138" i="1"/>
  <c r="W138" i="1"/>
  <c r="AA138" i="1"/>
  <c r="V137" i="1"/>
  <c r="AI137" i="1" s="1"/>
  <c r="Z137" i="1"/>
  <c r="X137" i="1"/>
  <c r="AK137" i="1" s="1"/>
  <c r="AB137" i="1"/>
  <c r="U137" i="1"/>
  <c r="Y137" i="1"/>
  <c r="W137" i="1"/>
  <c r="AA137" i="1"/>
  <c r="V136" i="1"/>
  <c r="AI136" i="1" s="1"/>
  <c r="Z136" i="1"/>
  <c r="X136" i="1"/>
  <c r="AK136" i="1" s="1"/>
  <c r="AB136" i="1"/>
  <c r="U136" i="1"/>
  <c r="AH136" i="1" s="1"/>
  <c r="Y136" i="1"/>
  <c r="W136" i="1"/>
  <c r="AA136" i="1"/>
  <c r="V133" i="1"/>
  <c r="AI133" i="1" s="1"/>
  <c r="Z133" i="1"/>
  <c r="X133" i="1"/>
  <c r="AK133" i="1" s="1"/>
  <c r="AB133" i="1"/>
  <c r="U133" i="1"/>
  <c r="Y133" i="1"/>
  <c r="W133" i="1"/>
  <c r="AA133" i="1"/>
  <c r="V132" i="1"/>
  <c r="AI132" i="1" s="1"/>
  <c r="Z132" i="1"/>
  <c r="X132" i="1"/>
  <c r="AK132" i="1" s="1"/>
  <c r="AB132" i="1"/>
  <c r="U132" i="1"/>
  <c r="Y132" i="1"/>
  <c r="W132" i="1"/>
  <c r="AA132" i="1"/>
  <c r="V129" i="1"/>
  <c r="AI129" i="1" s="1"/>
  <c r="Z129" i="1"/>
  <c r="X129" i="1"/>
  <c r="AK129" i="1" s="1"/>
  <c r="AB129" i="1"/>
  <c r="U129" i="1"/>
  <c r="AH129" i="1" s="1"/>
  <c r="Y129" i="1"/>
  <c r="W129" i="1"/>
  <c r="AA129" i="1"/>
  <c r="V128" i="1"/>
  <c r="AI128" i="1" s="1"/>
  <c r="Z128" i="1"/>
  <c r="X128" i="1"/>
  <c r="AK128" i="1" s="1"/>
  <c r="AB128" i="1"/>
  <c r="U128" i="1"/>
  <c r="Y128" i="1"/>
  <c r="W128" i="1"/>
  <c r="AA128" i="1"/>
  <c r="V127" i="1"/>
  <c r="AI127" i="1" s="1"/>
  <c r="Z127" i="1"/>
  <c r="X127" i="1"/>
  <c r="AK127" i="1" s="1"/>
  <c r="AB127" i="1"/>
  <c r="U127" i="1"/>
  <c r="Y127" i="1"/>
  <c r="W127" i="1"/>
  <c r="AA127" i="1"/>
  <c r="V126" i="1"/>
  <c r="AI126" i="1" s="1"/>
  <c r="Z126" i="1"/>
  <c r="X126" i="1"/>
  <c r="AK126" i="1" s="1"/>
  <c r="AB126" i="1"/>
  <c r="U126" i="1"/>
  <c r="Y126" i="1"/>
  <c r="W126" i="1"/>
  <c r="AA126" i="1"/>
  <c r="AO123" i="1"/>
  <c r="AO121" i="1"/>
  <c r="AO55" i="1"/>
  <c r="AN55" i="1"/>
  <c r="AN123" i="1"/>
  <c r="AN121" i="1"/>
  <c r="AN21" i="1"/>
  <c r="AN20" i="1"/>
  <c r="AN17" i="1"/>
  <c r="AN16" i="1"/>
  <c r="AN15" i="1"/>
  <c r="AN14" i="1"/>
  <c r="AN11" i="1"/>
  <c r="AN10" i="1"/>
  <c r="AN7" i="1"/>
  <c r="AN6" i="1"/>
  <c r="AN5" i="1"/>
  <c r="AN4" i="1"/>
  <c r="V55" i="1"/>
  <c r="AI55" i="1" s="1"/>
  <c r="X55" i="1"/>
  <c r="AK55" i="1" s="1"/>
  <c r="U55" i="1"/>
  <c r="W55" i="1"/>
  <c r="AO119" i="1"/>
  <c r="AO114" i="1"/>
  <c r="AN119" i="1"/>
  <c r="AN114" i="1"/>
  <c r="AN93" i="1"/>
  <c r="AN92" i="1"/>
  <c r="AN91" i="1"/>
  <c r="AN90" i="1"/>
  <c r="AN88" i="1"/>
  <c r="AN87" i="1"/>
  <c r="AN86" i="1"/>
  <c r="AN85" i="1"/>
  <c r="AN84" i="1"/>
  <c r="AN83" i="1"/>
  <c r="AN37" i="1"/>
  <c r="AN36" i="1"/>
  <c r="AN35" i="1"/>
  <c r="AN34" i="1"/>
  <c r="AN32" i="1"/>
  <c r="AN31" i="1"/>
  <c r="AN30" i="1"/>
  <c r="AN29" i="1"/>
  <c r="AN28" i="1"/>
  <c r="AN27" i="1"/>
  <c r="AN26" i="1"/>
  <c r="AN24" i="1"/>
  <c r="AN23" i="1"/>
  <c r="AN22" i="1"/>
  <c r="AO109" i="1"/>
  <c r="AO108" i="1"/>
  <c r="AO107" i="1"/>
  <c r="AO106" i="1"/>
  <c r="AO104" i="1"/>
  <c r="AO103" i="1"/>
  <c r="AO102" i="1"/>
  <c r="AO101" i="1"/>
  <c r="AO100" i="1"/>
  <c r="AO99" i="1"/>
  <c r="AO53" i="1"/>
  <c r="AO52" i="1"/>
  <c r="AO51" i="1"/>
  <c r="AO50" i="1"/>
  <c r="AO48" i="1"/>
  <c r="AO47" i="1"/>
  <c r="AO46" i="1"/>
  <c r="AO45" i="1"/>
  <c r="AO44" i="1"/>
  <c r="AO43" i="1"/>
  <c r="AO42" i="1"/>
  <c r="AO40" i="1"/>
  <c r="AO39" i="1"/>
  <c r="AO38" i="1"/>
  <c r="AN109" i="1"/>
  <c r="AN108" i="1"/>
  <c r="AN107" i="1"/>
  <c r="AN106" i="1"/>
  <c r="AN104" i="1"/>
  <c r="AN103" i="1"/>
  <c r="AN102" i="1"/>
  <c r="AN101" i="1"/>
  <c r="AN100" i="1"/>
  <c r="AN99" i="1"/>
  <c r="AN53" i="1"/>
  <c r="AN52" i="1"/>
  <c r="AN51" i="1"/>
  <c r="AN50" i="1"/>
  <c r="AN48" i="1"/>
  <c r="AN47" i="1"/>
  <c r="AN46" i="1"/>
  <c r="AN45" i="1"/>
  <c r="AN44" i="1"/>
  <c r="AN43" i="1"/>
  <c r="AN42" i="1"/>
  <c r="AN40" i="1"/>
  <c r="AN39" i="1"/>
  <c r="AN38" i="1"/>
  <c r="AF45" i="1"/>
  <c r="X45" i="1"/>
  <c r="AK45" i="1" s="1"/>
  <c r="AE45" i="1"/>
  <c r="W45" i="1"/>
  <c r="AF44" i="1"/>
  <c r="X44" i="1"/>
  <c r="AK44" i="1" s="1"/>
  <c r="AE44" i="1"/>
  <c r="W44" i="1"/>
  <c r="AF43" i="1"/>
  <c r="X43" i="1"/>
  <c r="AK43" i="1" s="1"/>
  <c r="AE43" i="1"/>
  <c r="W43" i="1"/>
  <c r="AF42" i="1"/>
  <c r="X42" i="1"/>
  <c r="AK42" i="1" s="1"/>
  <c r="AE42" i="1"/>
  <c r="W42" i="1"/>
  <c r="AF40" i="1"/>
  <c r="X40" i="1"/>
  <c r="AK40" i="1" s="1"/>
  <c r="AE40" i="1"/>
  <c r="W40" i="1"/>
  <c r="AF39" i="1"/>
  <c r="X39" i="1"/>
  <c r="AK39" i="1" s="1"/>
  <c r="AE39" i="1"/>
  <c r="W39" i="1"/>
  <c r="AF38" i="1"/>
  <c r="X38" i="1"/>
  <c r="AK38" i="1" s="1"/>
  <c r="AE38" i="1"/>
  <c r="W38" i="1"/>
  <c r="V123" i="1"/>
  <c r="AI123" i="1" s="1"/>
  <c r="U123" i="1"/>
  <c r="V121" i="1"/>
  <c r="AI121" i="1" s="1"/>
  <c r="U121" i="1"/>
  <c r="V119" i="1"/>
  <c r="AI119" i="1" s="1"/>
  <c r="U119" i="1"/>
  <c r="V114" i="1"/>
  <c r="AI114" i="1" s="1"/>
  <c r="U114" i="1"/>
  <c r="X123" i="1"/>
  <c r="AK123" i="1" s="1"/>
  <c r="X121" i="1"/>
  <c r="AK121" i="1" s="1"/>
  <c r="X119" i="1"/>
  <c r="AK119" i="1" s="1"/>
  <c r="X114" i="1"/>
  <c r="AK114" i="1" s="1"/>
  <c r="W123" i="1"/>
  <c r="W121" i="1"/>
  <c r="W119" i="1"/>
  <c r="W114" i="1"/>
  <c r="X109" i="1"/>
  <c r="AK109" i="1" s="1"/>
  <c r="X108" i="1"/>
  <c r="AK108" i="1" s="1"/>
  <c r="X107" i="1"/>
  <c r="AK107" i="1" s="1"/>
  <c r="X106" i="1"/>
  <c r="AK106" i="1" s="1"/>
  <c r="X104" i="1"/>
  <c r="AK104" i="1" s="1"/>
  <c r="X103" i="1"/>
  <c r="AK103" i="1" s="1"/>
  <c r="X102" i="1"/>
  <c r="AK102" i="1" s="1"/>
  <c r="X101" i="1"/>
  <c r="AK101" i="1" s="1"/>
  <c r="X100" i="1"/>
  <c r="AK100" i="1" s="1"/>
  <c r="X99" i="1"/>
  <c r="AK99" i="1" s="1"/>
  <c r="X93" i="1"/>
  <c r="AK93" i="1" s="1"/>
  <c r="X92" i="1"/>
  <c r="AK92" i="1" s="1"/>
  <c r="X91" i="1"/>
  <c r="AK91" i="1" s="1"/>
  <c r="X90" i="1"/>
  <c r="AK90" i="1" s="1"/>
  <c r="X88" i="1"/>
  <c r="AK88" i="1" s="1"/>
  <c r="X87" i="1"/>
  <c r="AK87" i="1" s="1"/>
  <c r="X86" i="1"/>
  <c r="AK86" i="1" s="1"/>
  <c r="X85" i="1"/>
  <c r="AK85" i="1" s="1"/>
  <c r="X84" i="1"/>
  <c r="AK84" i="1" s="1"/>
  <c r="X83" i="1"/>
  <c r="AK83" i="1" s="1"/>
  <c r="X53" i="1"/>
  <c r="AK53" i="1" s="1"/>
  <c r="X52" i="1"/>
  <c r="AK52" i="1" s="1"/>
  <c r="X51" i="1"/>
  <c r="AK51" i="1" s="1"/>
  <c r="X50" i="1"/>
  <c r="AK50" i="1" s="1"/>
  <c r="X48" i="1"/>
  <c r="AK48" i="1" s="1"/>
  <c r="X47" i="1"/>
  <c r="AK47" i="1" s="1"/>
  <c r="X46" i="1"/>
  <c r="AK46" i="1" s="1"/>
  <c r="X37" i="1"/>
  <c r="AK37" i="1" s="1"/>
  <c r="X36" i="1"/>
  <c r="AK36" i="1" s="1"/>
  <c r="X35" i="1"/>
  <c r="AK35" i="1" s="1"/>
  <c r="X34" i="1"/>
  <c r="AK34" i="1" s="1"/>
  <c r="X32" i="1"/>
  <c r="AK32" i="1" s="1"/>
  <c r="X31" i="1"/>
  <c r="AK31" i="1" s="1"/>
  <c r="X30" i="1"/>
  <c r="AK30" i="1" s="1"/>
  <c r="X29" i="1"/>
  <c r="AK29" i="1" s="1"/>
  <c r="X28" i="1"/>
  <c r="AK28" i="1" s="1"/>
  <c r="X27" i="1"/>
  <c r="AK27" i="1" s="1"/>
  <c r="X26" i="1"/>
  <c r="AK26" i="1" s="1"/>
  <c r="X24" i="1"/>
  <c r="AK24" i="1" s="1"/>
  <c r="X23" i="1"/>
  <c r="AK23" i="1" s="1"/>
  <c r="X22" i="1"/>
  <c r="AK22" i="1" s="1"/>
  <c r="W109" i="1"/>
  <c r="W108" i="1"/>
  <c r="W107" i="1"/>
  <c r="W106" i="1"/>
  <c r="W104" i="1"/>
  <c r="W103" i="1"/>
  <c r="W102" i="1"/>
  <c r="W101" i="1"/>
  <c r="W100" i="1"/>
  <c r="W99" i="1"/>
  <c r="W93" i="1"/>
  <c r="W92" i="1"/>
  <c r="W91" i="1"/>
  <c r="W90" i="1"/>
  <c r="W88" i="1"/>
  <c r="W87" i="1"/>
  <c r="W86" i="1"/>
  <c r="W85" i="1"/>
  <c r="W84" i="1"/>
  <c r="W83" i="1"/>
  <c r="W53" i="1"/>
  <c r="W52" i="1"/>
  <c r="W51" i="1"/>
  <c r="W50" i="1"/>
  <c r="W48" i="1"/>
  <c r="W47" i="1"/>
  <c r="W46" i="1"/>
  <c r="W37" i="1"/>
  <c r="W36" i="1"/>
  <c r="W35" i="1"/>
  <c r="W34" i="1"/>
  <c r="W32" i="1"/>
  <c r="W31" i="1"/>
  <c r="W30" i="1"/>
  <c r="W29" i="1"/>
  <c r="W28" i="1"/>
  <c r="W27" i="1"/>
  <c r="W26" i="1"/>
  <c r="W24" i="1"/>
  <c r="AJ24" i="1" s="1"/>
  <c r="W23" i="1"/>
  <c r="W22" i="1"/>
  <c r="AF109" i="1"/>
  <c r="AF108" i="1"/>
  <c r="AF107" i="1"/>
  <c r="AF106" i="1"/>
  <c r="AF104" i="1"/>
  <c r="AF103" i="1"/>
  <c r="AF102" i="1"/>
  <c r="AF101" i="1"/>
  <c r="AF100" i="1"/>
  <c r="AF99" i="1"/>
  <c r="AF93" i="1"/>
  <c r="AF92" i="1"/>
  <c r="AF91" i="1"/>
  <c r="AF90" i="1"/>
  <c r="AF88" i="1"/>
  <c r="AF87" i="1"/>
  <c r="AF86" i="1"/>
  <c r="AF85" i="1"/>
  <c r="AF84" i="1"/>
  <c r="AF83" i="1"/>
  <c r="AF53" i="1"/>
  <c r="AF52" i="1"/>
  <c r="AF51" i="1"/>
  <c r="AF50" i="1"/>
  <c r="AF48" i="1"/>
  <c r="AF47" i="1"/>
  <c r="AF46" i="1"/>
  <c r="AF37" i="1"/>
  <c r="AF36" i="1"/>
  <c r="AF35" i="1"/>
  <c r="AF34" i="1"/>
  <c r="AF32" i="1"/>
  <c r="AF31" i="1"/>
  <c r="AF30" i="1"/>
  <c r="AF29" i="1"/>
  <c r="AF28" i="1"/>
  <c r="AF27" i="1"/>
  <c r="AF26" i="1"/>
  <c r="AF24" i="1"/>
  <c r="AF23" i="1"/>
  <c r="AF22" i="1"/>
  <c r="AE109" i="1"/>
  <c r="AE108" i="1"/>
  <c r="AE107" i="1"/>
  <c r="AE106" i="1"/>
  <c r="AE104" i="1"/>
  <c r="AE103" i="1"/>
  <c r="AE102" i="1"/>
  <c r="AE101" i="1"/>
  <c r="AE100" i="1"/>
  <c r="AE99" i="1"/>
  <c r="AE93" i="1"/>
  <c r="AE92" i="1"/>
  <c r="AE91" i="1"/>
  <c r="AE90" i="1"/>
  <c r="AE88" i="1"/>
  <c r="AE87" i="1"/>
  <c r="AE86" i="1"/>
  <c r="AE85" i="1"/>
  <c r="AE84" i="1"/>
  <c r="AE83" i="1"/>
  <c r="AE53" i="1"/>
  <c r="AE52" i="1"/>
  <c r="AE51" i="1"/>
  <c r="AE50" i="1"/>
  <c r="AE48" i="1"/>
  <c r="AE47" i="1"/>
  <c r="AE46" i="1"/>
  <c r="AE37" i="1"/>
  <c r="AE36" i="1"/>
  <c r="AE35" i="1"/>
  <c r="AE34" i="1"/>
  <c r="AE32" i="1"/>
  <c r="AE31" i="1"/>
  <c r="AE30" i="1"/>
  <c r="AE29" i="1"/>
  <c r="AE28" i="1"/>
  <c r="AE27" i="1"/>
  <c r="AE26" i="1"/>
  <c r="AE24" i="1"/>
  <c r="AE23" i="1"/>
  <c r="AE22" i="1"/>
  <c r="AD53" i="1"/>
  <c r="AD52" i="1"/>
  <c r="AD51" i="1"/>
  <c r="AD50" i="1"/>
  <c r="AD48" i="1"/>
  <c r="AD47" i="1"/>
  <c r="AD46" i="1"/>
  <c r="AD45" i="1"/>
  <c r="AD44" i="1"/>
  <c r="AD43" i="1"/>
  <c r="AD42" i="1"/>
  <c r="AD40" i="1"/>
  <c r="AD39" i="1"/>
  <c r="AD38" i="1"/>
  <c r="AC53" i="1"/>
  <c r="AC52" i="1"/>
  <c r="AC51" i="1"/>
  <c r="AC50" i="1"/>
  <c r="AC48" i="1"/>
  <c r="AC47" i="1"/>
  <c r="AC46" i="1"/>
  <c r="AC45" i="1"/>
  <c r="AC44" i="1"/>
  <c r="AC43" i="1"/>
  <c r="AC42" i="1"/>
  <c r="AC40" i="1"/>
  <c r="AC39" i="1"/>
  <c r="AC38" i="1"/>
  <c r="AD109" i="1"/>
  <c r="AD108" i="1"/>
  <c r="AD107" i="1"/>
  <c r="AD106" i="1"/>
  <c r="AD104" i="1"/>
  <c r="AD103" i="1"/>
  <c r="AD102" i="1"/>
  <c r="AD101" i="1"/>
  <c r="AD100" i="1"/>
  <c r="AD99" i="1"/>
  <c r="AD93" i="1"/>
  <c r="AD92" i="1"/>
  <c r="AD91" i="1"/>
  <c r="AD90" i="1"/>
  <c r="AD88" i="1"/>
  <c r="AD87" i="1"/>
  <c r="AD86" i="1"/>
  <c r="AD85" i="1"/>
  <c r="AD84" i="1"/>
  <c r="AD83" i="1"/>
  <c r="AD37" i="1"/>
  <c r="AD36" i="1"/>
  <c r="AD35" i="1"/>
  <c r="AD34" i="1"/>
  <c r="AD32" i="1"/>
  <c r="AD31" i="1"/>
  <c r="AD30" i="1"/>
  <c r="AD29" i="1"/>
  <c r="AD28" i="1"/>
  <c r="AD27" i="1"/>
  <c r="AD26" i="1"/>
  <c r="AD24" i="1"/>
  <c r="AD23" i="1"/>
  <c r="AD22" i="1"/>
  <c r="AC109" i="1"/>
  <c r="AC108" i="1"/>
  <c r="AC107" i="1"/>
  <c r="AC106" i="1"/>
  <c r="AC104" i="1"/>
  <c r="AC103" i="1"/>
  <c r="AC102" i="1"/>
  <c r="AC101" i="1"/>
  <c r="AC100" i="1"/>
  <c r="AC99" i="1"/>
  <c r="AC93" i="1"/>
  <c r="AC92" i="1"/>
  <c r="AC91" i="1"/>
  <c r="AC90" i="1"/>
  <c r="AC88" i="1"/>
  <c r="AC87" i="1"/>
  <c r="AC86" i="1"/>
  <c r="AC85" i="1"/>
  <c r="AC84" i="1"/>
  <c r="AC83" i="1"/>
  <c r="AC37" i="1"/>
  <c r="AC36" i="1"/>
  <c r="AC35" i="1"/>
  <c r="AC34" i="1"/>
  <c r="AC32" i="1"/>
  <c r="AC31" i="1"/>
  <c r="AC30" i="1"/>
  <c r="AC29" i="1"/>
  <c r="AC28" i="1"/>
  <c r="AC27" i="1"/>
  <c r="AC26" i="1"/>
  <c r="AC24" i="1"/>
  <c r="AC23" i="1"/>
  <c r="AC22" i="1"/>
  <c r="AB21" i="1"/>
  <c r="AA21" i="1"/>
  <c r="Z21" i="1"/>
  <c r="Y21" i="1"/>
  <c r="X21" i="1"/>
  <c r="AK21" i="1" s="1"/>
  <c r="W21" i="1"/>
  <c r="V21" i="1"/>
  <c r="AI21" i="1" s="1"/>
  <c r="U21" i="1"/>
  <c r="AB20" i="1"/>
  <c r="AA20" i="1"/>
  <c r="Z20" i="1"/>
  <c r="Y20" i="1"/>
  <c r="X20" i="1"/>
  <c r="AK20" i="1" s="1"/>
  <c r="W20" i="1"/>
  <c r="V20" i="1"/>
  <c r="U20" i="1"/>
  <c r="AB17" i="1"/>
  <c r="AA17" i="1"/>
  <c r="Z17" i="1"/>
  <c r="Y17" i="1"/>
  <c r="X17" i="1"/>
  <c r="W17" i="1"/>
  <c r="V17" i="1"/>
  <c r="AI17" i="1" s="1"/>
  <c r="U17" i="1"/>
  <c r="AB16" i="1"/>
  <c r="AA16" i="1"/>
  <c r="Z16" i="1"/>
  <c r="Y16" i="1"/>
  <c r="X16" i="1"/>
  <c r="AK16" i="1" s="1"/>
  <c r="W16" i="1"/>
  <c r="V16" i="1"/>
  <c r="AI16" i="1" s="1"/>
  <c r="U16" i="1"/>
  <c r="AB15" i="1"/>
  <c r="AA15" i="1"/>
  <c r="Z15" i="1"/>
  <c r="Y15" i="1"/>
  <c r="X15" i="1"/>
  <c r="AK15" i="1" s="1"/>
  <c r="W15" i="1"/>
  <c r="V15" i="1"/>
  <c r="AI15" i="1" s="1"/>
  <c r="U15" i="1"/>
  <c r="AB14" i="1"/>
  <c r="AA14" i="1"/>
  <c r="Z14" i="1"/>
  <c r="Y14" i="1"/>
  <c r="X14" i="1"/>
  <c r="AK14" i="1" s="1"/>
  <c r="W14" i="1"/>
  <c r="V14" i="1"/>
  <c r="U14" i="1"/>
  <c r="AB11" i="1"/>
  <c r="AA11" i="1"/>
  <c r="Z11" i="1"/>
  <c r="Y11" i="1"/>
  <c r="X11" i="1"/>
  <c r="AK11" i="1" s="1"/>
  <c r="W11" i="1"/>
  <c r="V11" i="1"/>
  <c r="U11" i="1"/>
  <c r="AB10" i="1"/>
  <c r="AA10" i="1"/>
  <c r="Z10" i="1"/>
  <c r="Y10" i="1"/>
  <c r="X10" i="1"/>
  <c r="AK10" i="1" s="1"/>
  <c r="W10" i="1"/>
  <c r="V10" i="1"/>
  <c r="AI10" i="1" s="1"/>
  <c r="U10" i="1"/>
  <c r="AB7" i="1"/>
  <c r="AA7" i="1"/>
  <c r="Z7" i="1"/>
  <c r="Y7" i="1"/>
  <c r="X7" i="1"/>
  <c r="AK7" i="1" s="1"/>
  <c r="W7" i="1"/>
  <c r="V7" i="1"/>
  <c r="U7" i="1"/>
  <c r="AB6" i="1"/>
  <c r="AA6" i="1"/>
  <c r="Z6" i="1"/>
  <c r="Y6" i="1"/>
  <c r="X6" i="1"/>
  <c r="W6" i="1"/>
  <c r="V6" i="1"/>
  <c r="AI6" i="1" s="1"/>
  <c r="U6" i="1"/>
  <c r="AB5" i="1"/>
  <c r="AA5" i="1"/>
  <c r="Z5" i="1"/>
  <c r="Y5" i="1"/>
  <c r="X5" i="1"/>
  <c r="AK5" i="1" s="1"/>
  <c r="W5" i="1"/>
  <c r="V5" i="1"/>
  <c r="U5" i="1"/>
  <c r="AB4" i="1"/>
  <c r="AA4" i="1"/>
  <c r="Z4" i="1"/>
  <c r="Y4" i="1"/>
  <c r="X4" i="1"/>
  <c r="AK4" i="1" s="1"/>
  <c r="W4" i="1"/>
  <c r="V4" i="1"/>
  <c r="AI4" i="1" s="1"/>
  <c r="U4" i="1"/>
  <c r="AL182" i="1" l="1"/>
  <c r="AL192" i="1"/>
  <c r="AL181" i="1"/>
  <c r="AL60" i="1"/>
  <c r="AL98" i="1"/>
  <c r="AL72" i="1"/>
  <c r="AL80" i="1"/>
  <c r="AL64" i="1"/>
  <c r="AL74" i="1"/>
  <c r="AL184" i="1"/>
  <c r="AL70" i="1"/>
  <c r="AL82" i="1"/>
  <c r="AL96" i="1"/>
  <c r="AL62" i="1"/>
  <c r="AL79" i="1"/>
  <c r="AL65" i="1"/>
  <c r="AL75" i="1"/>
  <c r="AL63" i="1"/>
  <c r="AJ236" i="1"/>
  <c r="AJ213" i="1"/>
  <c r="AL95" i="1"/>
  <c r="AL67" i="1"/>
  <c r="AL97" i="1"/>
  <c r="AL78" i="1"/>
  <c r="AL69" i="1"/>
  <c r="AL73" i="1"/>
  <c r="AH123" i="1"/>
  <c r="AJ152" i="1"/>
  <c r="AL94" i="1"/>
  <c r="AL59" i="1"/>
  <c r="AH222" i="1"/>
  <c r="AH110" i="1"/>
  <c r="AH115" i="1"/>
  <c r="AI85" i="1"/>
  <c r="AM85" i="1" s="1"/>
  <c r="AI103" i="1"/>
  <c r="AM103" i="1" s="1"/>
  <c r="AL57" i="1"/>
  <c r="AJ47" i="1"/>
  <c r="AL58" i="1"/>
  <c r="AH31" i="1"/>
  <c r="AI24" i="1"/>
  <c r="AM24" i="1" s="1"/>
  <c r="AI29" i="1"/>
  <c r="AM29" i="1" s="1"/>
  <c r="AJ50" i="1"/>
  <c r="AJ129" i="1"/>
  <c r="AH109" i="1"/>
  <c r="AH235" i="1"/>
  <c r="AM124" i="1"/>
  <c r="AH14" i="1"/>
  <c r="AJ83" i="1"/>
  <c r="AJ87" i="1"/>
  <c r="AM179" i="1"/>
  <c r="AI215" i="1"/>
  <c r="AI218" i="1"/>
  <c r="AI223" i="1"/>
  <c r="AH3" i="1"/>
  <c r="AK6" i="1"/>
  <c r="AM6" i="1" s="1"/>
  <c r="AK17" i="1"/>
  <c r="AM17" i="1" s="1"/>
  <c r="AH47" i="1"/>
  <c r="AJ93" i="1"/>
  <c r="AJ130" i="1"/>
  <c r="AI47" i="1"/>
  <c r="AM47" i="1" s="1"/>
  <c r="AJ6" i="1"/>
  <c r="AJ101" i="1"/>
  <c r="AJ29" i="1"/>
  <c r="AM13" i="1"/>
  <c r="AJ124" i="1"/>
  <c r="AH227" i="1"/>
  <c r="AJ111" i="1"/>
  <c r="AJ116" i="1"/>
  <c r="AM116" i="1"/>
  <c r="AM233" i="1"/>
  <c r="AJ238" i="1"/>
  <c r="AM238" i="1"/>
  <c r="AI52" i="1"/>
  <c r="AM52" i="1" s="1"/>
  <c r="AJ121" i="1"/>
  <c r="AM16" i="1"/>
  <c r="AM21" i="1"/>
  <c r="AH102" i="1"/>
  <c r="AM4" i="1"/>
  <c r="AJ11" i="1"/>
  <c r="AJ17" i="1"/>
  <c r="AI26" i="1"/>
  <c r="AM26" i="1" s="1"/>
  <c r="AI30" i="1"/>
  <c r="AM30" i="1" s="1"/>
  <c r="AI35" i="1"/>
  <c r="AM35" i="1" s="1"/>
  <c r="AI87" i="1"/>
  <c r="AM87" i="1" s="1"/>
  <c r="AJ22" i="1"/>
  <c r="AJ137" i="1"/>
  <c r="AI146" i="1"/>
  <c r="AM146" i="1" s="1"/>
  <c r="AH149" i="1"/>
  <c r="AI161" i="1"/>
  <c r="AM161" i="1" s="1"/>
  <c r="AI170" i="1"/>
  <c r="AM170" i="1" s="1"/>
  <c r="AJ179" i="1"/>
  <c r="AH208" i="1"/>
  <c r="AH213" i="1"/>
  <c r="AJ217" i="1"/>
  <c r="AI217" i="1"/>
  <c r="AM217" i="1" s="1"/>
  <c r="AI222" i="1"/>
  <c r="AJ226" i="1"/>
  <c r="AI226" i="1"/>
  <c r="AM226" i="1" s="1"/>
  <c r="AJ240" i="1"/>
  <c r="AJ230" i="1"/>
  <c r="AJ221" i="1"/>
  <c r="AJ158" i="1"/>
  <c r="AH13" i="1"/>
  <c r="AJ53" i="1"/>
  <c r="AJ38" i="1"/>
  <c r="AJ43" i="1"/>
  <c r="AH19" i="1"/>
  <c r="AH36" i="1"/>
  <c r="AJ51" i="1"/>
  <c r="AJ23" i="1"/>
  <c r="AI5" i="1"/>
  <c r="AM5" i="1" s="1"/>
  <c r="AJ5" i="1"/>
  <c r="AJ26" i="1"/>
  <c r="AJ30" i="1"/>
  <c r="AJ35" i="1"/>
  <c r="AJ10" i="1"/>
  <c r="AJ16" i="1"/>
  <c r="AH48" i="1"/>
  <c r="AH53" i="1"/>
  <c r="AH174" i="1"/>
  <c r="AH142" i="1"/>
  <c r="AH40" i="1"/>
  <c r="AJ216" i="1"/>
  <c r="AM117" i="1"/>
  <c r="AJ139" i="1"/>
  <c r="AJ14" i="1"/>
  <c r="AL14" i="1" s="1"/>
  <c r="AJ100" i="1"/>
  <c r="AI34" i="1"/>
  <c r="AM34" i="1" s="1"/>
  <c r="AJ134" i="1"/>
  <c r="AH165" i="1"/>
  <c r="AH169" i="1"/>
  <c r="AH26" i="1"/>
  <c r="AJ239" i="1"/>
  <c r="AJ224" i="1"/>
  <c r="AJ220" i="1"/>
  <c r="AJ201" i="1"/>
  <c r="AJ175" i="1"/>
  <c r="AJ170" i="1"/>
  <c r="AJ161" i="1"/>
  <c r="AH22" i="1"/>
  <c r="AJ2" i="1"/>
  <c r="AH119" i="1"/>
  <c r="AH237" i="1"/>
  <c r="AM142" i="1"/>
  <c r="AI202" i="1"/>
  <c r="AM202" i="1" s="1"/>
  <c r="AI221" i="1"/>
  <c r="AM221" i="1" s="1"/>
  <c r="AI225" i="1"/>
  <c r="AM225" i="1" s="1"/>
  <c r="AM245" i="1"/>
  <c r="AM9" i="1"/>
  <c r="AH12" i="1"/>
  <c r="AJ27" i="1"/>
  <c r="AM121" i="1"/>
  <c r="AI160" i="1"/>
  <c r="AM160" i="1" s="1"/>
  <c r="AH166" i="1"/>
  <c r="AI169" i="1"/>
  <c r="AM169" i="1" s="1"/>
  <c r="AH170" i="1"/>
  <c r="AM173" i="1"/>
  <c r="AI229" i="1"/>
  <c r="AM229" i="1" s="1"/>
  <c r="AH240" i="1"/>
  <c r="AH151" i="1"/>
  <c r="AH138" i="1"/>
  <c r="AH118" i="1"/>
  <c r="AH113" i="1"/>
  <c r="AH103" i="1"/>
  <c r="AH43" i="1"/>
  <c r="AH38" i="1"/>
  <c r="AH20" i="1"/>
  <c r="AJ228" i="1"/>
  <c r="AJ223" i="1"/>
  <c r="AM134" i="1"/>
  <c r="AJ166" i="1"/>
  <c r="AJ143" i="1"/>
  <c r="AJ127" i="1"/>
  <c r="AH16" i="1"/>
  <c r="AH21" i="1"/>
  <c r="AM123" i="1"/>
  <c r="AM55" i="1"/>
  <c r="AH128" i="1"/>
  <c r="AH133" i="1"/>
  <c r="AM138" i="1"/>
  <c r="AH139" i="1"/>
  <c r="AL139" i="1" s="1"/>
  <c r="AM139" i="1"/>
  <c r="AM143" i="1"/>
  <c r="AJ148" i="1"/>
  <c r="AJ157" i="1"/>
  <c r="AI158" i="1"/>
  <c r="AM158" i="1" s="1"/>
  <c r="AM131" i="1"/>
  <c r="AH232" i="1"/>
  <c r="AJ234" i="1"/>
  <c r="AH245" i="1"/>
  <c r="AH204" i="1"/>
  <c r="AH154" i="1"/>
  <c r="AH126" i="1"/>
  <c r="AH117" i="1"/>
  <c r="AH85" i="1"/>
  <c r="AH55" i="1"/>
  <c r="AJ135" i="1"/>
  <c r="AM122" i="1"/>
  <c r="AM242" i="1"/>
  <c r="AM244" i="1"/>
  <c r="AJ147" i="1"/>
  <c r="AJ31" i="1"/>
  <c r="AL31" i="1" s="1"/>
  <c r="AH104" i="1"/>
  <c r="AH44" i="1"/>
  <c r="AJ85" i="1"/>
  <c r="AJ90" i="1"/>
  <c r="AJ99" i="1"/>
  <c r="AJ103" i="1"/>
  <c r="AJ108" i="1"/>
  <c r="AH114" i="1"/>
  <c r="AJ113" i="1"/>
  <c r="AH220" i="1"/>
  <c r="AH172" i="1"/>
  <c r="AH6" i="1"/>
  <c r="AJ202" i="1"/>
  <c r="AJ177" i="1"/>
  <c r="AJ172" i="1"/>
  <c r="AJ167" i="1"/>
  <c r="AJ162" i="1"/>
  <c r="AJ149" i="1"/>
  <c r="AJ144" i="1"/>
  <c r="AJ104" i="1"/>
  <c r="AJ91" i="1"/>
  <c r="AJ46" i="1"/>
  <c r="AJ37" i="1"/>
  <c r="AJ32" i="1"/>
  <c r="AJ20" i="1"/>
  <c r="AJ9" i="1"/>
  <c r="AH127" i="1"/>
  <c r="AH5" i="1"/>
  <c r="AH121" i="1"/>
  <c r="AI152" i="1"/>
  <c r="AM152" i="1" s="1"/>
  <c r="AH160" i="1"/>
  <c r="AI164" i="1"/>
  <c r="AM164" i="1" s="1"/>
  <c r="AI205" i="1"/>
  <c r="AM205" i="1" s="1"/>
  <c r="AJ36" i="1"/>
  <c r="AL36" i="1" s="1"/>
  <c r="AJ18" i="1"/>
  <c r="AH107" i="1"/>
  <c r="AI23" i="1"/>
  <c r="AM23" i="1" s="1"/>
  <c r="AI28" i="1"/>
  <c r="AM28" i="1" s="1"/>
  <c r="AI32" i="1"/>
  <c r="AM32" i="1" s="1"/>
  <c r="AI37" i="1"/>
  <c r="AM37" i="1" s="1"/>
  <c r="AI39" i="1"/>
  <c r="AM39" i="1" s="1"/>
  <c r="AI88" i="1"/>
  <c r="AM88" i="1" s="1"/>
  <c r="AJ119" i="1"/>
  <c r="AJ128" i="1"/>
  <c r="AJ132" i="1"/>
  <c r="AJ133" i="1"/>
  <c r="AI149" i="1"/>
  <c r="AM149" i="1" s="1"/>
  <c r="AJ153" i="1"/>
  <c r="AI162" i="1"/>
  <c r="AM162" i="1" s="1"/>
  <c r="AI167" i="1"/>
  <c r="AM167" i="1" s="1"/>
  <c r="AI206" i="1"/>
  <c r="AM206" i="1" s="1"/>
  <c r="AI19" i="1"/>
  <c r="AM19" i="1" s="1"/>
  <c r="AH131" i="1"/>
  <c r="AM113" i="1"/>
  <c r="AM110" i="1"/>
  <c r="AJ88" i="1"/>
  <c r="AJ84" i="1"/>
  <c r="AJ13" i="1"/>
  <c r="AM125" i="1"/>
  <c r="AH135" i="1"/>
  <c r="AJ120" i="1"/>
  <c r="AJ122" i="1"/>
  <c r="AI219" i="1"/>
  <c r="AM219" i="1" s="1"/>
  <c r="AI89" i="1"/>
  <c r="AM89" i="1" s="1"/>
  <c r="AI105" i="1"/>
  <c r="AM105" i="1" s="1"/>
  <c r="AH224" i="1"/>
  <c r="AH132" i="1"/>
  <c r="AJ114" i="1"/>
  <c r="AH146" i="1"/>
  <c r="AL146" i="1" s="1"/>
  <c r="AH156" i="1"/>
  <c r="AI168" i="1"/>
  <c r="AM168" i="1" s="1"/>
  <c r="AH145" i="1"/>
  <c r="AJ243" i="1"/>
  <c r="AJ40" i="1"/>
  <c r="AH90" i="1"/>
  <c r="AI83" i="1"/>
  <c r="AM83" i="1" s="1"/>
  <c r="AI92" i="1"/>
  <c r="AM92" i="1" s="1"/>
  <c r="AI101" i="1"/>
  <c r="AM101" i="1" s="1"/>
  <c r="AI106" i="1"/>
  <c r="AM106" i="1" s="1"/>
  <c r="AI40" i="1"/>
  <c r="AM40" i="1" s="1"/>
  <c r="AI45" i="1"/>
  <c r="AM45" i="1" s="1"/>
  <c r="AH162" i="1"/>
  <c r="AH167" i="1"/>
  <c r="AJ206" i="1"/>
  <c r="AJ215" i="1"/>
  <c r="AH9" i="1"/>
  <c r="AJ118" i="1"/>
  <c r="AM235" i="1"/>
  <c r="AM237" i="1"/>
  <c r="AH217" i="1"/>
  <c r="AJ173" i="1"/>
  <c r="AJ164" i="1"/>
  <c r="AJ154" i="1"/>
  <c r="AJ150" i="1"/>
  <c r="AJ145" i="1"/>
  <c r="AJ136" i="1"/>
  <c r="AL136" i="1" s="1"/>
  <c r="AJ123" i="1"/>
  <c r="AH124" i="1"/>
  <c r="AL124" i="1" s="1"/>
  <c r="AI33" i="1"/>
  <c r="AM33" i="1" s="1"/>
  <c r="AH179" i="1"/>
  <c r="AH215" i="1"/>
  <c r="AM118" i="1"/>
  <c r="AJ237" i="1"/>
  <c r="AH210" i="1"/>
  <c r="AJ55" i="1"/>
  <c r="AJ45" i="1"/>
  <c r="AI14" i="1"/>
  <c r="AM14" i="1" s="1"/>
  <c r="AM234" i="1"/>
  <c r="AH152" i="1"/>
  <c r="AJ106" i="1"/>
  <c r="AH86" i="1"/>
  <c r="AH100" i="1"/>
  <c r="AI84" i="1"/>
  <c r="AM84" i="1" s="1"/>
  <c r="AI93" i="1"/>
  <c r="AM93" i="1" s="1"/>
  <c r="AI102" i="1"/>
  <c r="AM102" i="1" s="1"/>
  <c r="AI107" i="1"/>
  <c r="AM107" i="1" s="1"/>
  <c r="AI50" i="1"/>
  <c r="AM50" i="1" s="1"/>
  <c r="AI150" i="1"/>
  <c r="AM150" i="1" s="1"/>
  <c r="AI151" i="1"/>
  <c r="AM151" i="1" s="1"/>
  <c r="AI153" i="1"/>
  <c r="AM153" i="1" s="1"/>
  <c r="AI159" i="1"/>
  <c r="AM159" i="1" s="1"/>
  <c r="AI209" i="1"/>
  <c r="AM209" i="1" s="1"/>
  <c r="AI212" i="1"/>
  <c r="AM212" i="1" s="1"/>
  <c r="AI216" i="1"/>
  <c r="AM216" i="1" s="1"/>
  <c r="AJ231" i="1"/>
  <c r="AJ109" i="1"/>
  <c r="AJ8" i="1"/>
  <c r="AH122" i="1"/>
  <c r="AH242" i="1"/>
  <c r="AH244" i="1"/>
  <c r="AI147" i="1"/>
  <c r="AM147" i="1" s="1"/>
  <c r="AH155" i="1"/>
  <c r="AJ211" i="1"/>
  <c r="AI211" i="1"/>
  <c r="AM211" i="1" s="1"/>
  <c r="AH41" i="1"/>
  <c r="AH116" i="1"/>
  <c r="AL116" i="1" s="1"/>
  <c r="AJ15" i="1"/>
  <c r="AH24" i="1"/>
  <c r="AL24" i="1" s="1"/>
  <c r="AI46" i="1"/>
  <c r="AM46" i="1" s="1"/>
  <c r="AI51" i="1"/>
  <c r="AM51" i="1" s="1"/>
  <c r="AJ159" i="1"/>
  <c r="AI201" i="1"/>
  <c r="AM201" i="1" s="1"/>
  <c r="AI204" i="1"/>
  <c r="AM204" i="1" s="1"/>
  <c r="AI207" i="1"/>
  <c r="AM207" i="1" s="1"/>
  <c r="AH243" i="1"/>
  <c r="AL243" i="1" s="1"/>
  <c r="AM232" i="1"/>
  <c r="AH226" i="1"/>
  <c r="AH130" i="1"/>
  <c r="AH140" i="1"/>
  <c r="AJ155" i="1"/>
  <c r="AJ227" i="1"/>
  <c r="AI227" i="1"/>
  <c r="AM227" i="1" s="1"/>
  <c r="AJ41" i="1"/>
  <c r="AJ89" i="1"/>
  <c r="AJ163" i="1"/>
  <c r="AI163" i="1"/>
  <c r="AM163" i="1" s="1"/>
  <c r="AI171" i="1"/>
  <c r="AM171" i="1" s="1"/>
  <c r="AM111" i="1"/>
  <c r="AH233" i="1"/>
  <c r="AH238" i="1"/>
  <c r="AI11" i="1"/>
  <c r="AM11" i="1" s="1"/>
  <c r="AH35" i="1"/>
  <c r="AH42" i="1"/>
  <c r="AJ168" i="1"/>
  <c r="AJ232" i="1"/>
  <c r="AH225" i="1"/>
  <c r="AH207" i="1"/>
  <c r="AJ131" i="1"/>
  <c r="AM115" i="1"/>
  <c r="AJ3" i="1"/>
  <c r="AH29" i="1"/>
  <c r="AI90" i="1"/>
  <c r="AM90" i="1" s="1"/>
  <c r="AI99" i="1"/>
  <c r="AM99" i="1" s="1"/>
  <c r="AI108" i="1"/>
  <c r="AM108" i="1" s="1"/>
  <c r="AH50" i="1"/>
  <c r="AI42" i="1"/>
  <c r="AM42" i="1" s="1"/>
  <c r="AH23" i="1"/>
  <c r="AH32" i="1"/>
  <c r="AI48" i="1"/>
  <c r="AM48" i="1" s="1"/>
  <c r="AI53" i="1"/>
  <c r="AM53" i="1" s="1"/>
  <c r="AM119" i="1"/>
  <c r="AH39" i="1"/>
  <c r="AJ42" i="1"/>
  <c r="AM128" i="1"/>
  <c r="AL129" i="1"/>
  <c r="AM137" i="1"/>
  <c r="AH158" i="1"/>
  <c r="AM141" i="1"/>
  <c r="AM112" i="1"/>
  <c r="AM240" i="1"/>
  <c r="AM239" i="1"/>
  <c r="AI2" i="1"/>
  <c r="AM2" i="1" s="1"/>
  <c r="AM3" i="1"/>
  <c r="AH228" i="1"/>
  <c r="AH218" i="1"/>
  <c r="AH200" i="1"/>
  <c r="AH153" i="1"/>
  <c r="AH144" i="1"/>
  <c r="AH141" i="1"/>
  <c r="AH112" i="1"/>
  <c r="AH108" i="1"/>
  <c r="AH91" i="1"/>
  <c r="AH52" i="1"/>
  <c r="AH27" i="1"/>
  <c r="AJ210" i="1"/>
  <c r="AJ207" i="1"/>
  <c r="AJ107" i="1"/>
  <c r="AJ102" i="1"/>
  <c r="AJ86" i="1"/>
  <c r="AJ48" i="1"/>
  <c r="AJ44" i="1"/>
  <c r="AJ28" i="1"/>
  <c r="AJ12" i="1"/>
  <c r="AM12" i="1"/>
  <c r="AH125" i="1"/>
  <c r="AM120" i="1"/>
  <c r="AJ242" i="1"/>
  <c r="AJ244" i="1"/>
  <c r="AH25" i="1"/>
  <c r="AI155" i="1"/>
  <c r="AM155" i="1" s="1"/>
  <c r="AH11" i="1"/>
  <c r="AM15" i="1"/>
  <c r="AH17" i="1"/>
  <c r="AH84" i="1"/>
  <c r="AH88" i="1"/>
  <c r="AH51" i="1"/>
  <c r="AM133" i="1"/>
  <c r="AI144" i="1"/>
  <c r="AM144" i="1" s="1"/>
  <c r="AH148" i="1"/>
  <c r="AI156" i="1"/>
  <c r="AM156" i="1" s="1"/>
  <c r="AI157" i="1"/>
  <c r="AM157" i="1" s="1"/>
  <c r="AI172" i="1"/>
  <c r="AM172" i="1" s="1"/>
  <c r="AI174" i="1"/>
  <c r="AM174" i="1" s="1"/>
  <c r="AI175" i="1"/>
  <c r="AM175" i="1" s="1"/>
  <c r="AH177" i="1"/>
  <c r="AH230" i="1"/>
  <c r="AL230" i="1" s="1"/>
  <c r="AI230" i="1"/>
  <c r="AM230" i="1" s="1"/>
  <c r="AI231" i="1"/>
  <c r="AM231" i="1" s="1"/>
  <c r="AH239" i="1"/>
  <c r="AL239" i="1" s="1"/>
  <c r="AH221" i="1"/>
  <c r="AH212" i="1"/>
  <c r="AJ125" i="1"/>
  <c r="AJ25" i="1"/>
  <c r="AI203" i="1"/>
  <c r="AM203" i="1" s="1"/>
  <c r="AI7" i="1"/>
  <c r="AM7" i="1" s="1"/>
  <c r="AJ126" i="1"/>
  <c r="AH143" i="1"/>
  <c r="AJ208" i="1"/>
  <c r="AM210" i="1"/>
  <c r="AJ212" i="1"/>
  <c r="AH241" i="1"/>
  <c r="AJ49" i="1"/>
  <c r="AJ105" i="1"/>
  <c r="AH101" i="1"/>
  <c r="AI36" i="1"/>
  <c r="AM36" i="1" s="1"/>
  <c r="AH87" i="1"/>
  <c r="AH45" i="1"/>
  <c r="AH10" i="1"/>
  <c r="AJ115" i="1"/>
  <c r="AH92" i="1"/>
  <c r="AI22" i="1"/>
  <c r="AM22" i="1" s="1"/>
  <c r="AI31" i="1"/>
  <c r="AM31" i="1" s="1"/>
  <c r="AM132" i="1"/>
  <c r="AH231" i="1"/>
  <c r="AH83" i="1"/>
  <c r="AI27" i="1"/>
  <c r="AM27" i="1" s="1"/>
  <c r="AM10" i="1"/>
  <c r="AH4" i="1"/>
  <c r="AH30" i="1"/>
  <c r="AI86" i="1"/>
  <c r="AM86" i="1" s="1"/>
  <c r="AI91" i="1"/>
  <c r="AM91" i="1" s="1"/>
  <c r="AI100" i="1"/>
  <c r="AM100" i="1" s="1"/>
  <c r="AI104" i="1"/>
  <c r="AM104" i="1" s="1"/>
  <c r="AI109" i="1"/>
  <c r="AM109" i="1" s="1"/>
  <c r="AI43" i="1"/>
  <c r="AM43" i="1" s="1"/>
  <c r="AM114" i="1"/>
  <c r="AM136" i="1"/>
  <c r="AI148" i="1"/>
  <c r="AM148" i="1" s="1"/>
  <c r="AI200" i="1"/>
  <c r="AM200" i="1" s="1"/>
  <c r="AM220" i="1"/>
  <c r="AM223" i="1"/>
  <c r="AM224" i="1"/>
  <c r="AH202" i="1"/>
  <c r="AH99" i="1"/>
  <c r="AH34" i="1"/>
  <c r="AJ39" i="1"/>
  <c r="AJ233" i="1"/>
  <c r="AI20" i="1"/>
  <c r="AM20" i="1" s="1"/>
  <c r="AI44" i="1"/>
  <c r="AM44" i="1" s="1"/>
  <c r="AI38" i="1"/>
  <c r="AM38" i="1" s="1"/>
  <c r="AM129" i="1"/>
  <c r="AI145" i="1"/>
  <c r="AM145" i="1" s="1"/>
  <c r="AI154" i="1"/>
  <c r="AM154" i="1" s="1"/>
  <c r="AM215" i="1"/>
  <c r="AM218" i="1"/>
  <c r="AH223" i="1"/>
  <c r="AH214" i="1"/>
  <c r="AL214" i="1" s="1"/>
  <c r="AH205" i="1"/>
  <c r="AL205" i="1" s="1"/>
  <c r="AJ203" i="1"/>
  <c r="AM213" i="1"/>
  <c r="AM127" i="1"/>
  <c r="AI208" i="1"/>
  <c r="AM208" i="1" s="1"/>
  <c r="AH216" i="1"/>
  <c r="AJ21" i="1"/>
  <c r="AH147" i="1"/>
  <c r="AL147" i="1" s="1"/>
  <c r="AM243" i="1"/>
  <c r="AJ245" i="1"/>
  <c r="AH201" i="1"/>
  <c r="AH206" i="1"/>
  <c r="AH234" i="1"/>
  <c r="AH157" i="1"/>
  <c r="AH137" i="1"/>
  <c r="AJ229" i="1"/>
  <c r="AJ225" i="1"/>
  <c r="AJ222" i="1"/>
  <c r="AJ218" i="1"/>
  <c r="AJ209" i="1"/>
  <c r="AJ204" i="1"/>
  <c r="AJ200" i="1"/>
  <c r="AJ174" i="1"/>
  <c r="AJ169" i="1"/>
  <c r="AJ165" i="1"/>
  <c r="AJ160" i="1"/>
  <c r="AJ156" i="1"/>
  <c r="AJ151" i="1"/>
  <c r="AJ142" i="1"/>
  <c r="AJ138" i="1"/>
  <c r="AH134" i="1"/>
  <c r="AL134" i="1" s="1"/>
  <c r="AM135" i="1"/>
  <c r="AM130" i="1"/>
  <c r="AJ140" i="1"/>
  <c r="AH120" i="1"/>
  <c r="AL120" i="1" s="1"/>
  <c r="AH219" i="1"/>
  <c r="AH203" i="1"/>
  <c r="AI49" i="1"/>
  <c r="AM49" i="1" s="1"/>
  <c r="AH163" i="1"/>
  <c r="AH171" i="1"/>
  <c r="AI165" i="1"/>
  <c r="AM165" i="1" s="1"/>
  <c r="AI166" i="1"/>
  <c r="AM166" i="1" s="1"/>
  <c r="AM177" i="1"/>
  <c r="AI214" i="1"/>
  <c r="AM214" i="1" s="1"/>
  <c r="AM236" i="1"/>
  <c r="AH2" i="1"/>
  <c r="AH168" i="1"/>
  <c r="AH159" i="1"/>
  <c r="AH106" i="1"/>
  <c r="AI8" i="1"/>
  <c r="AM8" i="1" s="1"/>
  <c r="AI25" i="1"/>
  <c r="AM25" i="1" s="1"/>
  <c r="AH33" i="1"/>
  <c r="AI41" i="1"/>
  <c r="AM41" i="1" s="1"/>
  <c r="AH89" i="1"/>
  <c r="AH105" i="1"/>
  <c r="AH229" i="1"/>
  <c r="AH7" i="1"/>
  <c r="AJ241" i="1"/>
  <c r="AJ92" i="1"/>
  <c r="AJ34" i="1"/>
  <c r="AM140" i="1"/>
  <c r="AJ33" i="1"/>
  <c r="AJ219" i="1"/>
  <c r="AH211" i="1"/>
  <c r="AH49" i="1"/>
  <c r="AH209" i="1"/>
  <c r="AM222" i="1"/>
  <c r="AH161" i="1"/>
  <c r="AH46" i="1"/>
  <c r="AH37" i="1"/>
  <c r="AH28" i="1"/>
  <c r="AH15" i="1"/>
  <c r="AJ235" i="1"/>
  <c r="AL235" i="1" s="1"/>
  <c r="AM228" i="1"/>
  <c r="AH150" i="1"/>
  <c r="AH173" i="1"/>
  <c r="AH164" i="1"/>
  <c r="AJ19" i="1"/>
  <c r="AJ7" i="1"/>
  <c r="AM126" i="1"/>
  <c r="AH236" i="1"/>
  <c r="AL236" i="1" s="1"/>
  <c r="AH175" i="1"/>
  <c r="AH93" i="1"/>
  <c r="AJ117" i="1"/>
  <c r="AJ110" i="1"/>
  <c r="AJ52" i="1"/>
  <c r="AJ141" i="1"/>
  <c r="AJ112" i="1"/>
  <c r="AH18" i="1"/>
  <c r="AM18" i="1"/>
  <c r="AJ4" i="1"/>
  <c r="AH8" i="1"/>
  <c r="AJ171" i="1"/>
  <c r="AH111" i="1"/>
  <c r="AL99" i="1" l="1"/>
  <c r="AL222" i="1"/>
  <c r="AL131" i="1"/>
  <c r="AL110" i="1"/>
  <c r="AL84" i="1"/>
  <c r="AL152" i="1"/>
  <c r="AL132" i="1"/>
  <c r="AL213" i="1"/>
  <c r="AL206" i="1"/>
  <c r="AL119" i="1"/>
  <c r="AL137" i="1"/>
  <c r="AL123" i="1"/>
  <c r="AL87" i="1"/>
  <c r="AL208" i="1"/>
  <c r="AL221" i="1"/>
  <c r="AL151" i="1"/>
  <c r="AL115" i="1"/>
  <c r="AL53" i="1"/>
  <c r="AL149" i="1"/>
  <c r="AL22" i="1"/>
  <c r="AL26" i="1"/>
  <c r="AL174" i="1"/>
  <c r="AL126" i="1"/>
  <c r="AL220" i="1"/>
  <c r="AL226" i="1"/>
  <c r="AL17" i="1"/>
  <c r="AL35" i="1"/>
  <c r="AL109" i="1"/>
  <c r="AL83" i="1"/>
  <c r="AL47" i="1"/>
  <c r="AL51" i="1"/>
  <c r="AL50" i="1"/>
  <c r="AL6" i="1"/>
  <c r="AL38" i="1"/>
  <c r="AL102" i="1"/>
  <c r="AL245" i="1"/>
  <c r="AL3" i="1"/>
  <c r="AL227" i="1"/>
  <c r="AL217" i="1"/>
  <c r="AL49" i="1"/>
  <c r="AL10" i="1"/>
  <c r="AL101" i="1"/>
  <c r="AL18" i="1"/>
  <c r="AL117" i="1"/>
  <c r="AL161" i="1"/>
  <c r="AL93" i="1"/>
  <c r="AL169" i="1"/>
  <c r="AL216" i="1"/>
  <c r="AL158" i="1"/>
  <c r="AL5" i="1"/>
  <c r="AL113" i="1"/>
  <c r="AL103" i="1"/>
  <c r="AL163" i="1"/>
  <c r="AL130" i="1"/>
  <c r="AL162" i="1"/>
  <c r="AL164" i="1"/>
  <c r="AL27" i="1"/>
  <c r="AL19" i="1"/>
  <c r="AL37" i="1"/>
  <c r="AL11" i="1"/>
  <c r="AL44" i="1"/>
  <c r="AL32" i="1"/>
  <c r="AL238" i="1"/>
  <c r="AL13" i="1"/>
  <c r="AL133" i="1"/>
  <c r="AL16" i="1"/>
  <c r="AL240" i="1"/>
  <c r="AL111" i="1"/>
  <c r="AL91" i="1"/>
  <c r="AL100" i="1"/>
  <c r="AL237" i="1"/>
  <c r="AL179" i="1"/>
  <c r="AL9" i="1"/>
  <c r="AL234" i="1"/>
  <c r="AL43" i="1"/>
  <c r="AL166" i="1"/>
  <c r="AL170" i="1"/>
  <c r="AL201" i="1"/>
  <c r="AL29" i="1"/>
  <c r="AL140" i="1"/>
  <c r="AL52" i="1"/>
  <c r="AL150" i="1"/>
  <c r="AL142" i="1"/>
  <c r="AL204" i="1"/>
  <c r="AL21" i="1"/>
  <c r="AL202" i="1"/>
  <c r="AL177" i="1"/>
  <c r="AL210" i="1"/>
  <c r="AL135" i="1"/>
  <c r="AL128" i="1"/>
  <c r="AL107" i="1"/>
  <c r="AL121" i="1"/>
  <c r="AL20" i="1"/>
  <c r="AL85" i="1"/>
  <c r="AL45" i="1"/>
  <c r="AL40" i="1"/>
  <c r="AL39" i="1"/>
  <c r="AL30" i="1"/>
  <c r="AL48" i="1"/>
  <c r="AL23" i="1"/>
  <c r="AL157" i="1"/>
  <c r="AL12" i="1"/>
  <c r="AL224" i="1"/>
  <c r="AL122" i="1"/>
  <c r="AL104" i="1"/>
  <c r="AL154" i="1"/>
  <c r="AL148" i="1"/>
  <c r="AL46" i="1"/>
  <c r="AL165" i="1"/>
  <c r="AL155" i="1"/>
  <c r="AL242" i="1"/>
  <c r="AL55" i="1"/>
  <c r="AL118" i="1"/>
  <c r="AL167" i="1"/>
  <c r="AL127" i="1"/>
  <c r="AL168" i="1"/>
  <c r="AL223" i="1"/>
  <c r="AL114" i="1"/>
  <c r="AL172" i="1"/>
  <c r="AL4" i="1"/>
  <c r="AL225" i="1"/>
  <c r="AL86" i="1"/>
  <c r="AL108" i="1"/>
  <c r="AL89" i="1"/>
  <c r="AL88" i="1"/>
  <c r="AL175" i="1"/>
  <c r="AL211" i="1"/>
  <c r="AL229" i="1"/>
  <c r="AL2" i="1"/>
  <c r="AL231" i="1"/>
  <c r="AL207" i="1"/>
  <c r="AL233" i="1"/>
  <c r="AL156" i="1"/>
  <c r="AL209" i="1"/>
  <c r="AL105" i="1"/>
  <c r="AL138" i="1"/>
  <c r="AL160" i="1"/>
  <c r="AL143" i="1"/>
  <c r="AL244" i="1"/>
  <c r="AL232" i="1"/>
  <c r="AL215" i="1"/>
  <c r="AL42" i="1"/>
  <c r="AL15" i="1"/>
  <c r="AL219" i="1"/>
  <c r="AL144" i="1"/>
  <c r="AL228" i="1"/>
  <c r="AL90" i="1"/>
  <c r="AL145" i="1"/>
  <c r="AL112" i="1"/>
  <c r="AL141" i="1"/>
  <c r="AL28" i="1"/>
  <c r="AL106" i="1"/>
  <c r="AL218" i="1"/>
  <c r="AL8" i="1"/>
  <c r="AL173" i="1"/>
  <c r="AL159" i="1"/>
  <c r="AL200" i="1"/>
  <c r="AL212" i="1"/>
  <c r="AL153" i="1"/>
  <c r="AL33" i="1"/>
  <c r="AL7" i="1"/>
  <c r="AL41" i="1"/>
  <c r="AL241" i="1"/>
  <c r="AL92" i="1"/>
  <c r="AL25" i="1"/>
  <c r="AL125" i="1"/>
  <c r="AL203" i="1"/>
  <c r="AL34" i="1"/>
  <c r="AL171" i="1"/>
</calcChain>
</file>

<file path=xl/sharedStrings.xml><?xml version="1.0" encoding="utf-8"?>
<sst xmlns="http://schemas.openxmlformats.org/spreadsheetml/2006/main" count="1505" uniqueCount="53">
  <si>
    <t>N</t>
  </si>
  <si>
    <t>CARTYPE</t>
  </si>
  <si>
    <t>NBENT</t>
  </si>
  <si>
    <t>DOOR</t>
  </si>
  <si>
    <t>OP</t>
  </si>
  <si>
    <t>CWT</t>
  </si>
  <si>
    <t>HW_MIN</t>
  </si>
  <si>
    <t>HW_MAX</t>
  </si>
  <si>
    <t>HD_MIN</t>
  </si>
  <si>
    <t>HD_MAX</t>
  </si>
  <si>
    <t>TLD</t>
  </si>
  <si>
    <t>CLD</t>
  </si>
  <si>
    <t>WOSAF</t>
  </si>
  <si>
    <t>08D</t>
  </si>
  <si>
    <t>13D</t>
  </si>
  <si>
    <t>13W</t>
  </si>
  <si>
    <t>V</t>
  </si>
  <si>
    <t>05W</t>
  </si>
  <si>
    <t>YES</t>
  </si>
  <si>
    <t>NO</t>
  </si>
  <si>
    <t>13X</t>
  </si>
  <si>
    <t>DIM2</t>
  </si>
  <si>
    <t>DIM3</t>
  </si>
  <si>
    <t>CW</t>
  </si>
  <si>
    <t>CD</t>
  </si>
  <si>
    <t>K4</t>
  </si>
  <si>
    <t>DBG_CWT</t>
  </si>
  <si>
    <t>H_CAR_RAIL</t>
  </si>
  <si>
    <t>H_CWT_RAIL</t>
  </si>
  <si>
    <t>HW1_DOOR_MIN</t>
  </si>
  <si>
    <t>HW2_DOOR_MIN</t>
  </si>
  <si>
    <t>HW1_A_MIN</t>
  </si>
  <si>
    <t>HW1_A_MAX</t>
  </si>
  <si>
    <t>HW2_A_MIN</t>
  </si>
  <si>
    <t>HW2_A_MAX</t>
  </si>
  <si>
    <t>HW1_B_MIN</t>
  </si>
  <si>
    <t>HW1_B_MAX</t>
  </si>
  <si>
    <t>HW2_B_MIN</t>
  </si>
  <si>
    <t>HW2_B_MAX</t>
  </si>
  <si>
    <t>HW1_C_MIN</t>
  </si>
  <si>
    <t>HW1_C_MAX</t>
  </si>
  <si>
    <t>HW1_D_MIN</t>
  </si>
  <si>
    <t>HW1_D_MAX</t>
  </si>
  <si>
    <t>HW1_MIN</t>
  </si>
  <si>
    <t>HW1_MAX</t>
  </si>
  <si>
    <t>HW2_MIN</t>
  </si>
  <si>
    <t>HW2_MAX</t>
  </si>
  <si>
    <t>X</t>
  </si>
  <si>
    <t>08X</t>
  </si>
  <si>
    <t>WSAFE</t>
  </si>
  <si>
    <t>DOP</t>
  </si>
  <si>
    <t>DOP_YES_NO</t>
  </si>
  <si>
    <t>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</si>
</sst>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 Cyr"/>
      <charset val="204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2" xfId="0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Fill="1" applyBorder="1"/>
    <xf numFmtId="0" fontId="0" fillId="0" borderId="3" xfId="0" applyBorder="1"/>
    <xf numFmtId="0" fontId="0" fillId="0" borderId="3" xfId="0" applyFill="1" applyBorder="1"/>
    <xf numFmtId="0" fontId="0" fillId="2" borderId="4" xfId="0" applyFill="1" applyBorder="1" applyAlignment="1">
      <alignment horizontal="center" vertical="center"/>
    </xf>
    <xf numFmtId="0" fontId="1" fillId="0" borderId="0" xfId="0" applyFont="1" applyFill="1" applyBorder="1"/>
    <xf numFmtId="164" fontId="0" fillId="0" borderId="0" xfId="0" applyNumberFormat="1"/>
    <xf numFmtId="164" fontId="0" fillId="0" borderId="1" xfId="0" applyNumberFormat="1" applyBorder="1"/>
    <xf numFmtId="0" fontId="1" fillId="0" borderId="0" xfId="0" applyFont="1" applyBorder="1"/>
    <xf numFmtId="164" fontId="0" fillId="0" borderId="3" xfId="0" applyNumberFormat="1" applyBorder="1"/>
    <xf numFmtId="164" fontId="0" fillId="0" borderId="0" xfId="0" applyNumberFormat="1" applyBorder="1"/>
    <xf numFmtId="0" fontId="0" fillId="0" borderId="5" xfId="0" applyBorder="1"/>
    <xf numFmtId="164" fontId="0" fillId="0" borderId="5" xfId="0" applyNumberFormat="1" applyBorder="1"/>
    <xf numFmtId="0" fontId="0" fillId="0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17"/>
  <sheetViews>
    <sheetView tabSelected="1" topLeftCell="Q1" workbookViewId="0">
      <pane ySplit="1245" topLeftCell="A16" activePane="bottomLeft"/>
      <selection activeCell="J1" sqref="J1"/>
      <selection pane="bottomLeft" activeCell="AN22" sqref="AN22"/>
    </sheetView>
  </sheetViews>
  <sheetFormatPr defaultRowHeight="12.75" x14ac:dyDescent="0.2"/>
  <cols>
    <col min="2" max="2" width="10.7109375" customWidth="1"/>
    <col min="10" max="10" width="9.28515625" customWidth="1"/>
    <col min="15" max="15" width="11.28515625" customWidth="1"/>
    <col min="16" max="16" width="15" customWidth="1"/>
    <col min="17" max="17" width="13.5703125" customWidth="1"/>
    <col min="18" max="18" width="4.5703125" customWidth="1"/>
    <col min="19" max="19" width="15" customWidth="1"/>
    <col min="20" max="20" width="15.28515625" customWidth="1"/>
    <col min="21" max="21" width="10.5703125" customWidth="1"/>
    <col min="22" max="22" width="11.28515625" customWidth="1"/>
    <col min="23" max="23" width="10.42578125" customWidth="1"/>
    <col min="24" max="24" width="12" customWidth="1"/>
    <col min="25" max="25" width="10.28515625" customWidth="1"/>
    <col min="26" max="26" width="10.85546875" customWidth="1"/>
    <col min="27" max="27" width="10.140625" customWidth="1"/>
    <col min="28" max="28" width="10.28515625" customWidth="1"/>
    <col min="29" max="29" width="10.5703125" customWidth="1"/>
    <col min="30" max="31" width="11" customWidth="1"/>
    <col min="32" max="32" width="10.7109375" customWidth="1"/>
  </cols>
  <sheetData>
    <row r="1" spans="1:41" s="3" customFormat="1" ht="50.1" customHeight="1" thickTop="1" thickBot="1" x14ac:dyDescent="0.25">
      <c r="A1" s="3" t="s">
        <v>0</v>
      </c>
      <c r="B1" s="3" t="s">
        <v>1</v>
      </c>
      <c r="C1" s="3" t="s">
        <v>2</v>
      </c>
      <c r="D1" s="3" t="s">
        <v>5</v>
      </c>
      <c r="E1" s="3" t="s">
        <v>16</v>
      </c>
      <c r="F1" s="3" t="s">
        <v>3</v>
      </c>
      <c r="G1" s="3" t="s">
        <v>4</v>
      </c>
      <c r="H1" s="3" t="s">
        <v>21</v>
      </c>
      <c r="I1" s="3" t="s">
        <v>22</v>
      </c>
      <c r="J1" s="8" t="s">
        <v>51</v>
      </c>
      <c r="K1" s="8" t="s">
        <v>50</v>
      </c>
      <c r="L1" s="3" t="s">
        <v>23</v>
      </c>
      <c r="M1" s="3" t="s">
        <v>24</v>
      </c>
      <c r="N1" s="3" t="s">
        <v>25</v>
      </c>
      <c r="O1" s="3" t="s">
        <v>26</v>
      </c>
      <c r="P1" s="8" t="s">
        <v>27</v>
      </c>
      <c r="Q1" s="8" t="s">
        <v>28</v>
      </c>
      <c r="R1" s="8" t="s">
        <v>47</v>
      </c>
      <c r="S1" s="8" t="s">
        <v>29</v>
      </c>
      <c r="T1" s="8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8" t="s">
        <v>39</v>
      </c>
      <c r="AD1" s="8" t="s">
        <v>40</v>
      </c>
      <c r="AE1" s="8" t="s">
        <v>41</v>
      </c>
      <c r="AF1" s="8" t="s">
        <v>42</v>
      </c>
      <c r="AG1" s="8" t="s">
        <v>47</v>
      </c>
      <c r="AH1" s="8" t="s">
        <v>43</v>
      </c>
      <c r="AI1" s="8" t="s">
        <v>44</v>
      </c>
      <c r="AJ1" s="8" t="s">
        <v>45</v>
      </c>
      <c r="AK1" s="8" t="s">
        <v>46</v>
      </c>
      <c r="AL1" s="3" t="s">
        <v>6</v>
      </c>
      <c r="AM1" s="3" t="s">
        <v>7</v>
      </c>
      <c r="AN1" s="3" t="s">
        <v>8</v>
      </c>
      <c r="AO1" s="3" t="s">
        <v>9</v>
      </c>
    </row>
    <row r="2" spans="1:41" s="2" customFormat="1" ht="13.5" thickTop="1" x14ac:dyDescent="0.2">
      <c r="A2">
        <v>1</v>
      </c>
      <c r="B2" t="s">
        <v>17</v>
      </c>
      <c r="C2">
        <v>1</v>
      </c>
      <c r="D2" t="s">
        <v>12</v>
      </c>
      <c r="E2" s="10">
        <v>1</v>
      </c>
      <c r="F2" t="s">
        <v>10</v>
      </c>
      <c r="G2">
        <v>650</v>
      </c>
      <c r="H2" s="2">
        <f>G2/2+IF(F2="CLD",65,55)</f>
        <v>380</v>
      </c>
      <c r="I2" s="2">
        <f>IF(F2="CLD",G2/2+65,150)</f>
        <v>150</v>
      </c>
      <c r="J2" s="2" t="s">
        <v>18</v>
      </c>
      <c r="K2" s="2">
        <v>30</v>
      </c>
      <c r="L2" s="2">
        <v>1100</v>
      </c>
      <c r="M2" s="2">
        <v>950</v>
      </c>
      <c r="N2" s="4">
        <v>720</v>
      </c>
      <c r="O2" s="4">
        <v>780</v>
      </c>
      <c r="P2" s="4">
        <v>68</v>
      </c>
      <c r="Q2" s="4">
        <v>45</v>
      </c>
      <c r="R2" s="2" t="s">
        <v>47</v>
      </c>
      <c r="S2" s="2">
        <f>(-K2+G2/2+H2+10)</f>
        <v>685</v>
      </c>
      <c r="T2" s="2">
        <f>(K2+G2/2+I2+10)</f>
        <v>515</v>
      </c>
      <c r="U2" s="4">
        <f>(L2/2+40+P2+42)</f>
        <v>700</v>
      </c>
      <c r="V2" s="4">
        <f>(L2/2+40+P2+402)</f>
        <v>1060</v>
      </c>
      <c r="W2" s="4">
        <f>(L2/2+40+P2+42)</f>
        <v>700</v>
      </c>
      <c r="X2" s="4">
        <f>(L2/2+40+P2+402)</f>
        <v>1060</v>
      </c>
      <c r="Y2" s="4">
        <f>(O2/2+Q2+50)</f>
        <v>485</v>
      </c>
      <c r="Z2">
        <f>(O2/2+Q2+425)</f>
        <v>860</v>
      </c>
      <c r="AA2" s="4">
        <f>(O2/2+Q2+50)</f>
        <v>485</v>
      </c>
      <c r="AB2" s="4">
        <f>(O2/2+Q2+425)</f>
        <v>860</v>
      </c>
      <c r="AG2" s="2" t="s">
        <v>47</v>
      </c>
      <c r="AH2" s="2">
        <f>MAX(S2,U2,Y2)</f>
        <v>700</v>
      </c>
      <c r="AI2" s="2">
        <f>MIN(V2,Z2)</f>
        <v>860</v>
      </c>
      <c r="AJ2" s="2">
        <f>MAX(T2,W2,AA2)</f>
        <v>700</v>
      </c>
      <c r="AK2" s="2">
        <f>MIN(X2,AB2)</f>
        <v>860</v>
      </c>
      <c r="AL2" s="4">
        <f t="shared" ref="AL2:AM4" si="0">(AH2+AJ2)</f>
        <v>1400</v>
      </c>
      <c r="AM2" s="4">
        <f t="shared" si="0"/>
        <v>1720</v>
      </c>
      <c r="AN2" s="4">
        <f>(N2+665+130)</f>
        <v>1515</v>
      </c>
      <c r="AO2" s="4">
        <v>3520</v>
      </c>
    </row>
    <row r="3" spans="1:41" s="2" customFormat="1" x14ac:dyDescent="0.2">
      <c r="A3">
        <f t="shared" ref="A3:A88" si="1">A2+1</f>
        <v>2</v>
      </c>
      <c r="B3" t="s">
        <v>17</v>
      </c>
      <c r="C3">
        <v>1</v>
      </c>
      <c r="D3" t="s">
        <v>12</v>
      </c>
      <c r="E3" s="10">
        <v>1</v>
      </c>
      <c r="F3" t="s">
        <v>10</v>
      </c>
      <c r="G3">
        <v>650</v>
      </c>
      <c r="H3" s="2">
        <f t="shared" ref="H3:H99" si="2">G3/2+IF(F3="CLD",65,55)</f>
        <v>380</v>
      </c>
      <c r="I3" s="2">
        <f t="shared" ref="I3:I99" si="3">IF(F3="CLD",G3/2+65,150)</f>
        <v>150</v>
      </c>
      <c r="J3" s="2" t="s">
        <v>19</v>
      </c>
      <c r="K3" s="2">
        <v>0</v>
      </c>
      <c r="L3" s="2">
        <v>1100</v>
      </c>
      <c r="M3" s="2">
        <v>950</v>
      </c>
      <c r="N3" s="4">
        <v>720</v>
      </c>
      <c r="O3" s="4">
        <v>780</v>
      </c>
      <c r="P3" s="4">
        <v>68</v>
      </c>
      <c r="Q3" s="4">
        <v>45</v>
      </c>
      <c r="R3" s="2" t="s">
        <v>47</v>
      </c>
      <c r="S3" s="2">
        <f>(-K3+G3/2+H3+10)</f>
        <v>715</v>
      </c>
      <c r="T3" s="2">
        <f>(K3+G3/2+I3+10)</f>
        <v>485</v>
      </c>
      <c r="U3" s="4">
        <f>(L3/2+40+P3+42)</f>
        <v>700</v>
      </c>
      <c r="V3" s="4">
        <f>(L3/2+40+P3+402)</f>
        <v>1060</v>
      </c>
      <c r="W3" s="4">
        <f>(L3/2+40+P3+42)</f>
        <v>700</v>
      </c>
      <c r="X3" s="4">
        <f>(L3/2+40+P3+402)</f>
        <v>1060</v>
      </c>
      <c r="Y3" s="4">
        <f>(O3/2+Q3+50)</f>
        <v>485</v>
      </c>
      <c r="Z3">
        <f>(O3/2+Q3+425)</f>
        <v>860</v>
      </c>
      <c r="AA3" s="4">
        <f>(O3/2+Q3+50)</f>
        <v>485</v>
      </c>
      <c r="AB3" s="4">
        <f>(O3/2+Q3+425)</f>
        <v>860</v>
      </c>
      <c r="AG3" s="2" t="s">
        <v>47</v>
      </c>
      <c r="AH3" s="2">
        <f>MAX(S3,U3,Y3)</f>
        <v>715</v>
      </c>
      <c r="AI3" s="2">
        <f>MIN(V3,Z3)</f>
        <v>860</v>
      </c>
      <c r="AJ3" s="2">
        <f>MAX(T3,W3,AA3)</f>
        <v>700</v>
      </c>
      <c r="AK3" s="2">
        <f>MIN(X3,AB3)</f>
        <v>860</v>
      </c>
      <c r="AL3" s="4">
        <f t="shared" si="0"/>
        <v>1415</v>
      </c>
      <c r="AM3" s="4">
        <f t="shared" si="0"/>
        <v>1720</v>
      </c>
      <c r="AN3" s="4">
        <f>(N3+665+130)</f>
        <v>1515</v>
      </c>
      <c r="AO3" s="4">
        <v>3520</v>
      </c>
    </row>
    <row r="4" spans="1:41" s="2" customFormat="1" x14ac:dyDescent="0.2">
      <c r="A4">
        <f t="shared" si="1"/>
        <v>3</v>
      </c>
      <c r="B4" t="s">
        <v>17</v>
      </c>
      <c r="C4">
        <v>1</v>
      </c>
      <c r="D4" t="s">
        <v>12</v>
      </c>
      <c r="E4" s="10">
        <v>1</v>
      </c>
      <c r="F4" t="s">
        <v>10</v>
      </c>
      <c r="G4">
        <v>700</v>
      </c>
      <c r="H4" s="2">
        <f t="shared" si="2"/>
        <v>405</v>
      </c>
      <c r="I4" s="2">
        <f t="shared" si="3"/>
        <v>150</v>
      </c>
      <c r="J4" s="2" t="s">
        <v>18</v>
      </c>
      <c r="K4" s="2">
        <v>100</v>
      </c>
      <c r="L4" s="2">
        <v>1100</v>
      </c>
      <c r="M4" s="2">
        <v>950</v>
      </c>
      <c r="N4" s="4">
        <v>720</v>
      </c>
      <c r="O4" s="4">
        <v>780</v>
      </c>
      <c r="P4" s="4">
        <v>68</v>
      </c>
      <c r="Q4" s="4">
        <v>45</v>
      </c>
      <c r="R4" s="2" t="s">
        <v>47</v>
      </c>
      <c r="S4" s="2">
        <f>(-K4+G4/2+H4+10)</f>
        <v>665</v>
      </c>
      <c r="T4" s="2">
        <f>(K4+G4/2+I4+10)</f>
        <v>610</v>
      </c>
      <c r="U4" s="4">
        <f>(L4/2+40+P4+42)</f>
        <v>700</v>
      </c>
      <c r="V4" s="4">
        <f>(L4/2+40+P4+402)</f>
        <v>1060</v>
      </c>
      <c r="W4" s="4">
        <f>(L4/2+40+P4+42)</f>
        <v>700</v>
      </c>
      <c r="X4" s="4">
        <f>(L4/2+40+P4+402)</f>
        <v>1060</v>
      </c>
      <c r="Y4" s="4">
        <f>(O4/2+Q4+50)</f>
        <v>485</v>
      </c>
      <c r="Z4">
        <f>(O4/2+Q4+425)</f>
        <v>860</v>
      </c>
      <c r="AA4" s="4">
        <f>(O4/2+Q4+50)</f>
        <v>485</v>
      </c>
      <c r="AB4" s="4">
        <f>(O4/2+Q4+425)</f>
        <v>860</v>
      </c>
      <c r="AG4" s="2" t="s">
        <v>47</v>
      </c>
      <c r="AH4" s="2">
        <f>MAX(S4,U4,Y4)</f>
        <v>700</v>
      </c>
      <c r="AI4" s="2">
        <f>MIN(V4,Z4)</f>
        <v>860</v>
      </c>
      <c r="AJ4" s="2">
        <f>MAX(T4,W4,AA4)</f>
        <v>700</v>
      </c>
      <c r="AK4" s="2">
        <f>MIN(X4,AB4)</f>
        <v>860</v>
      </c>
      <c r="AL4" s="4">
        <f t="shared" si="0"/>
        <v>1400</v>
      </c>
      <c r="AM4" s="4">
        <f t="shared" si="0"/>
        <v>1720</v>
      </c>
      <c r="AN4" s="4">
        <f>(N4+665+130)</f>
        <v>1515</v>
      </c>
      <c r="AO4" s="4">
        <v>3520</v>
      </c>
    </row>
    <row r="5" spans="1:41" s="2" customFormat="1" x14ac:dyDescent="0.2">
      <c r="A5">
        <f t="shared" si="1"/>
        <v>4</v>
      </c>
      <c r="B5" t="s">
        <v>17</v>
      </c>
      <c r="C5">
        <v>1</v>
      </c>
      <c r="D5" t="s">
        <v>12</v>
      </c>
      <c r="E5" s="10">
        <v>1</v>
      </c>
      <c r="F5" t="s">
        <v>10</v>
      </c>
      <c r="G5">
        <v>700</v>
      </c>
      <c r="H5" s="2">
        <f t="shared" si="2"/>
        <v>405</v>
      </c>
      <c r="I5" s="2">
        <f t="shared" si="3"/>
        <v>150</v>
      </c>
      <c r="J5" s="2" t="s">
        <v>19</v>
      </c>
      <c r="K5" s="2">
        <v>0</v>
      </c>
      <c r="L5" s="2">
        <v>1100</v>
      </c>
      <c r="M5" s="2">
        <v>950</v>
      </c>
      <c r="N5" s="4">
        <v>720</v>
      </c>
      <c r="O5" s="4">
        <v>780</v>
      </c>
      <c r="P5" s="4">
        <v>68</v>
      </c>
      <c r="Q5" s="4">
        <v>45</v>
      </c>
      <c r="R5" s="2" t="s">
        <v>47</v>
      </c>
      <c r="S5" s="2">
        <f t="shared" ref="S5:S106" si="4">(-K5+G5/2+H5+10)</f>
        <v>765</v>
      </c>
      <c r="T5" s="2">
        <f t="shared" ref="T5:T106" si="5">(K5+G5/2+I5+10)</f>
        <v>510</v>
      </c>
      <c r="U5" s="4">
        <f t="shared" ref="U5:U21" si="6">(L5/2+40+P5+42)</f>
        <v>700</v>
      </c>
      <c r="V5" s="4">
        <f t="shared" ref="V5:V21" si="7">(L5/2+40+P5+402)</f>
        <v>1060</v>
      </c>
      <c r="W5" s="4">
        <f t="shared" ref="W5:W106" si="8">(L5/2+40+P5+42)</f>
        <v>700</v>
      </c>
      <c r="X5" s="4">
        <f t="shared" ref="X5:X106" si="9">(L5/2+40+P5+402)</f>
        <v>1060</v>
      </c>
      <c r="Y5" s="4">
        <f t="shared" ref="Y5:Y21" si="10">(O5/2+Q5+50)</f>
        <v>485</v>
      </c>
      <c r="Z5">
        <f t="shared" ref="Z5:Z21" si="11">(O5/2+Q5+425)</f>
        <v>860</v>
      </c>
      <c r="AA5" s="4">
        <f t="shared" ref="AA5:AA21" si="12">(O5/2+Q5+50)</f>
        <v>485</v>
      </c>
      <c r="AB5" s="4">
        <f t="shared" ref="AB5:AB21" si="13">(O5/2+Q5+425)</f>
        <v>860</v>
      </c>
      <c r="AG5" s="2" t="s">
        <v>47</v>
      </c>
      <c r="AH5" s="2">
        <f t="shared" ref="AH5:AH21" si="14">MAX(S5,U5,Y5)</f>
        <v>765</v>
      </c>
      <c r="AI5" s="2">
        <f t="shared" ref="AI5:AI21" si="15">MIN(V5,Z5)</f>
        <v>860</v>
      </c>
      <c r="AJ5" s="2">
        <f t="shared" ref="AJ5:AJ21" si="16">MAX(T5,W5,AA5)</f>
        <v>700</v>
      </c>
      <c r="AK5" s="2">
        <f t="shared" ref="AK5:AK21" si="17">MIN(X5,AB5)</f>
        <v>860</v>
      </c>
      <c r="AL5" s="4">
        <f t="shared" ref="AL5:AL21" si="18">(AH5+AJ5)</f>
        <v>1465</v>
      </c>
      <c r="AM5" s="4">
        <f t="shared" ref="AM5:AM21" si="19">(AI5+AK5)</f>
        <v>1720</v>
      </c>
      <c r="AN5" s="4">
        <f t="shared" ref="AN5:AN21" si="20">(N5+665+130)</f>
        <v>1515</v>
      </c>
      <c r="AO5" s="4">
        <v>3520</v>
      </c>
    </row>
    <row r="6" spans="1:41" s="2" customFormat="1" x14ac:dyDescent="0.2">
      <c r="A6">
        <f t="shared" si="1"/>
        <v>5</v>
      </c>
      <c r="B6" t="s">
        <v>17</v>
      </c>
      <c r="C6">
        <v>1</v>
      </c>
      <c r="D6" t="s">
        <v>12</v>
      </c>
      <c r="E6" s="10">
        <v>1</v>
      </c>
      <c r="F6" t="s">
        <v>10</v>
      </c>
      <c r="G6">
        <v>800</v>
      </c>
      <c r="H6" s="2">
        <f t="shared" si="2"/>
        <v>455</v>
      </c>
      <c r="I6" s="2">
        <f t="shared" si="3"/>
        <v>150</v>
      </c>
      <c r="J6" s="2" t="s">
        <v>18</v>
      </c>
      <c r="K6" s="2">
        <v>30</v>
      </c>
      <c r="L6" s="2">
        <v>1100</v>
      </c>
      <c r="M6" s="2">
        <v>950</v>
      </c>
      <c r="N6" s="4">
        <v>720</v>
      </c>
      <c r="O6" s="4">
        <v>780</v>
      </c>
      <c r="P6" s="4">
        <v>68</v>
      </c>
      <c r="Q6" s="4">
        <v>45</v>
      </c>
      <c r="R6" s="2" t="s">
        <v>47</v>
      </c>
      <c r="S6" s="2">
        <f t="shared" si="4"/>
        <v>835</v>
      </c>
      <c r="T6" s="2">
        <f t="shared" si="5"/>
        <v>590</v>
      </c>
      <c r="U6" s="4">
        <f t="shared" si="6"/>
        <v>700</v>
      </c>
      <c r="V6" s="4">
        <f t="shared" si="7"/>
        <v>1060</v>
      </c>
      <c r="W6" s="4">
        <f t="shared" si="8"/>
        <v>700</v>
      </c>
      <c r="X6" s="4">
        <f t="shared" si="9"/>
        <v>1060</v>
      </c>
      <c r="Y6" s="4">
        <f t="shared" si="10"/>
        <v>485</v>
      </c>
      <c r="Z6">
        <f t="shared" si="11"/>
        <v>860</v>
      </c>
      <c r="AA6" s="4">
        <f t="shared" si="12"/>
        <v>485</v>
      </c>
      <c r="AB6" s="4">
        <f t="shared" si="13"/>
        <v>860</v>
      </c>
      <c r="AG6" s="2" t="s">
        <v>47</v>
      </c>
      <c r="AH6" s="2">
        <f t="shared" si="14"/>
        <v>835</v>
      </c>
      <c r="AI6" s="2">
        <f t="shared" si="15"/>
        <v>860</v>
      </c>
      <c r="AJ6" s="2">
        <f t="shared" si="16"/>
        <v>700</v>
      </c>
      <c r="AK6" s="2">
        <f t="shared" si="17"/>
        <v>860</v>
      </c>
      <c r="AL6" s="4">
        <f t="shared" si="18"/>
        <v>1535</v>
      </c>
      <c r="AM6" s="4">
        <f t="shared" si="19"/>
        <v>1720</v>
      </c>
      <c r="AN6" s="4">
        <f t="shared" si="20"/>
        <v>1515</v>
      </c>
      <c r="AO6" s="4">
        <v>3520</v>
      </c>
    </row>
    <row r="7" spans="1:41" s="2" customFormat="1" x14ac:dyDescent="0.2">
      <c r="A7">
        <f t="shared" si="1"/>
        <v>6</v>
      </c>
      <c r="B7" t="s">
        <v>17</v>
      </c>
      <c r="C7">
        <v>1</v>
      </c>
      <c r="D7" t="s">
        <v>12</v>
      </c>
      <c r="E7" s="10">
        <v>1</v>
      </c>
      <c r="F7" t="s">
        <v>10</v>
      </c>
      <c r="G7">
        <v>800</v>
      </c>
      <c r="H7" s="2">
        <f t="shared" si="2"/>
        <v>455</v>
      </c>
      <c r="I7" s="2">
        <f t="shared" si="3"/>
        <v>150</v>
      </c>
      <c r="J7" s="2" t="s">
        <v>19</v>
      </c>
      <c r="K7" s="4">
        <v>0</v>
      </c>
      <c r="L7" s="2">
        <v>1100</v>
      </c>
      <c r="M7" s="2">
        <v>950</v>
      </c>
      <c r="N7" s="4">
        <v>720</v>
      </c>
      <c r="O7" s="4">
        <v>780</v>
      </c>
      <c r="P7" s="4">
        <v>68</v>
      </c>
      <c r="Q7" s="4">
        <v>45</v>
      </c>
      <c r="R7" s="2" t="s">
        <v>47</v>
      </c>
      <c r="S7" s="2">
        <f t="shared" si="4"/>
        <v>865</v>
      </c>
      <c r="T7" s="2">
        <f t="shared" si="5"/>
        <v>560</v>
      </c>
      <c r="U7" s="4">
        <f t="shared" si="6"/>
        <v>700</v>
      </c>
      <c r="V7" s="4">
        <f t="shared" si="7"/>
        <v>1060</v>
      </c>
      <c r="W7" s="4">
        <f t="shared" si="8"/>
        <v>700</v>
      </c>
      <c r="X7" s="4">
        <f t="shared" si="9"/>
        <v>1060</v>
      </c>
      <c r="Y7" s="4">
        <f t="shared" si="10"/>
        <v>485</v>
      </c>
      <c r="Z7">
        <f t="shared" si="11"/>
        <v>860</v>
      </c>
      <c r="AA7" s="4">
        <f t="shared" si="12"/>
        <v>485</v>
      </c>
      <c r="AB7" s="4">
        <f t="shared" si="13"/>
        <v>860</v>
      </c>
      <c r="AG7" s="2" t="s">
        <v>47</v>
      </c>
      <c r="AH7" s="2">
        <f t="shared" si="14"/>
        <v>865</v>
      </c>
      <c r="AI7" s="2">
        <f t="shared" si="15"/>
        <v>860</v>
      </c>
      <c r="AJ7" s="2">
        <f t="shared" si="16"/>
        <v>700</v>
      </c>
      <c r="AK7" s="2">
        <f t="shared" si="17"/>
        <v>860</v>
      </c>
      <c r="AL7" s="4">
        <f t="shared" si="18"/>
        <v>1565</v>
      </c>
      <c r="AM7" s="4">
        <f t="shared" si="19"/>
        <v>1720</v>
      </c>
      <c r="AN7" s="4">
        <f t="shared" si="20"/>
        <v>1515</v>
      </c>
      <c r="AO7" s="4">
        <v>3520</v>
      </c>
    </row>
    <row r="8" spans="1:41" s="2" customFormat="1" x14ac:dyDescent="0.2">
      <c r="A8">
        <f t="shared" si="1"/>
        <v>7</v>
      </c>
      <c r="B8" t="s">
        <v>17</v>
      </c>
      <c r="C8">
        <v>1</v>
      </c>
      <c r="D8" t="s">
        <v>12</v>
      </c>
      <c r="E8" s="10">
        <v>1</v>
      </c>
      <c r="F8" t="s">
        <v>10</v>
      </c>
      <c r="G8">
        <v>900</v>
      </c>
      <c r="H8" s="2">
        <f>G8/2+IF(F8="CLD",65,55)</f>
        <v>505</v>
      </c>
      <c r="I8" s="2">
        <f>IF(F8="CLD",G8/2+65,150)</f>
        <v>150</v>
      </c>
      <c r="J8" s="2" t="s">
        <v>18</v>
      </c>
      <c r="K8" s="4">
        <v>50</v>
      </c>
      <c r="L8" s="2">
        <v>1100</v>
      </c>
      <c r="M8" s="2">
        <v>950</v>
      </c>
      <c r="N8" s="4">
        <v>720</v>
      </c>
      <c r="O8" s="4">
        <v>780</v>
      </c>
      <c r="P8" s="4">
        <v>68</v>
      </c>
      <c r="Q8" s="4">
        <v>45</v>
      </c>
      <c r="R8" s="2" t="s">
        <v>47</v>
      </c>
      <c r="S8" s="2">
        <f>(-K8+G8/2+H8+10)</f>
        <v>915</v>
      </c>
      <c r="T8" s="2">
        <f>(K8+G8/2+I8+10)</f>
        <v>660</v>
      </c>
      <c r="U8" s="4">
        <f>(L8/2+40+P8+42)</f>
        <v>700</v>
      </c>
      <c r="V8" s="4">
        <f>(L8/2+40+P8+402)</f>
        <v>1060</v>
      </c>
      <c r="W8" s="4">
        <f>(L8/2+40+P8+42)</f>
        <v>700</v>
      </c>
      <c r="X8" s="4">
        <f>(L8/2+40+P8+402)</f>
        <v>1060</v>
      </c>
      <c r="Y8" s="4">
        <f>(O8/2+Q8+50)</f>
        <v>485</v>
      </c>
      <c r="Z8">
        <f>(O8/2+Q8+425)</f>
        <v>860</v>
      </c>
      <c r="AA8" s="4">
        <f>(O8/2+Q8+50)</f>
        <v>485</v>
      </c>
      <c r="AB8" s="4">
        <f>(O8/2+Q8+425)</f>
        <v>860</v>
      </c>
      <c r="AG8" s="2" t="s">
        <v>47</v>
      </c>
      <c r="AH8" s="2">
        <f>MAX(S8,U8,Y8)</f>
        <v>915</v>
      </c>
      <c r="AI8" s="2">
        <f>MIN(V8,Z8)</f>
        <v>860</v>
      </c>
      <c r="AJ8" s="2">
        <f>MAX(T8,W8,AA8)</f>
        <v>700</v>
      </c>
      <c r="AK8" s="2">
        <f>MIN(X8,AB8)</f>
        <v>860</v>
      </c>
      <c r="AL8" s="4">
        <f>(AH8+AJ8)</f>
        <v>1615</v>
      </c>
      <c r="AM8" s="4">
        <f>(AI8+AK8)</f>
        <v>1720</v>
      </c>
      <c r="AN8" s="4">
        <f>(N8+665+130)</f>
        <v>1515</v>
      </c>
      <c r="AO8" s="4">
        <v>3520</v>
      </c>
    </row>
    <row r="9" spans="1:41" s="2" customFormat="1" x14ac:dyDescent="0.2">
      <c r="A9">
        <f t="shared" si="1"/>
        <v>8</v>
      </c>
      <c r="B9" t="s">
        <v>17</v>
      </c>
      <c r="C9">
        <v>1</v>
      </c>
      <c r="D9" t="s">
        <v>12</v>
      </c>
      <c r="E9" s="10">
        <v>1</v>
      </c>
      <c r="F9" t="s">
        <v>10</v>
      </c>
      <c r="G9">
        <v>1000</v>
      </c>
      <c r="H9" s="2">
        <f t="shared" si="2"/>
        <v>555</v>
      </c>
      <c r="I9" s="2">
        <f t="shared" si="3"/>
        <v>150</v>
      </c>
      <c r="J9" s="2" t="s">
        <v>18</v>
      </c>
      <c r="K9" s="4">
        <v>30</v>
      </c>
      <c r="L9" s="2">
        <v>1100</v>
      </c>
      <c r="M9" s="2">
        <v>950</v>
      </c>
      <c r="N9" s="4">
        <v>720</v>
      </c>
      <c r="O9" s="4">
        <v>780</v>
      </c>
      <c r="P9" s="4">
        <v>68</v>
      </c>
      <c r="Q9" s="4">
        <v>45</v>
      </c>
      <c r="R9" s="2" t="s">
        <v>47</v>
      </c>
      <c r="S9" s="2">
        <f>(-K9+G9/2+H9+10)</f>
        <v>1035</v>
      </c>
      <c r="T9" s="2">
        <f>(K9+G9/2+I9+10)</f>
        <v>690</v>
      </c>
      <c r="U9" s="4">
        <f>(L9/2+40+P9+42)</f>
        <v>700</v>
      </c>
      <c r="V9" s="4">
        <f>(L9/2+40+P9+402)</f>
        <v>1060</v>
      </c>
      <c r="W9" s="4">
        <f>(L9/2+40+P9+42)</f>
        <v>700</v>
      </c>
      <c r="X9" s="4">
        <f>(L9/2+40+P9+402)</f>
        <v>1060</v>
      </c>
      <c r="Y9" s="4">
        <f>(O9/2+Q9+50)</f>
        <v>485</v>
      </c>
      <c r="Z9">
        <f>(O9/2+Q9+425)</f>
        <v>860</v>
      </c>
      <c r="AA9" s="4">
        <f>(O9/2+Q9+50)</f>
        <v>485</v>
      </c>
      <c r="AB9" s="4">
        <f>(O9/2+Q9+425)</f>
        <v>860</v>
      </c>
      <c r="AG9" s="2" t="s">
        <v>47</v>
      </c>
      <c r="AH9" s="2">
        <f>MAX(S9,U9,Y9)</f>
        <v>1035</v>
      </c>
      <c r="AI9" s="2">
        <f>MIN(V9,Z9)</f>
        <v>860</v>
      </c>
      <c r="AJ9" s="2">
        <f>MAX(T9,W9,AA9)</f>
        <v>700</v>
      </c>
      <c r="AK9" s="2">
        <f>MIN(X9,AB9)</f>
        <v>860</v>
      </c>
      <c r="AL9" s="4">
        <f>(AH9+AJ9)</f>
        <v>1735</v>
      </c>
      <c r="AM9" s="4">
        <f>(AI9+AK9)</f>
        <v>1720</v>
      </c>
      <c r="AN9" s="4">
        <f>(N9+665+130)</f>
        <v>1515</v>
      </c>
      <c r="AO9" s="4">
        <v>3520</v>
      </c>
    </row>
    <row r="10" spans="1:41" s="2" customFormat="1" x14ac:dyDescent="0.2">
      <c r="A10">
        <f t="shared" si="1"/>
        <v>9</v>
      </c>
      <c r="B10" t="s">
        <v>17</v>
      </c>
      <c r="C10">
        <v>1</v>
      </c>
      <c r="D10" t="s">
        <v>12</v>
      </c>
      <c r="E10" s="10">
        <v>1</v>
      </c>
      <c r="F10" t="s">
        <v>11</v>
      </c>
      <c r="G10">
        <v>700</v>
      </c>
      <c r="H10" s="2">
        <f t="shared" si="2"/>
        <v>415</v>
      </c>
      <c r="I10" s="2">
        <f t="shared" si="3"/>
        <v>415</v>
      </c>
      <c r="J10" s="2" t="s">
        <v>19</v>
      </c>
      <c r="K10" s="4">
        <v>0</v>
      </c>
      <c r="L10" s="2">
        <v>1100</v>
      </c>
      <c r="M10" s="2">
        <v>950</v>
      </c>
      <c r="N10" s="4">
        <v>720</v>
      </c>
      <c r="O10" s="4">
        <v>780</v>
      </c>
      <c r="P10" s="4">
        <v>68</v>
      </c>
      <c r="Q10" s="4">
        <v>45</v>
      </c>
      <c r="R10" s="2" t="s">
        <v>47</v>
      </c>
      <c r="S10" s="2">
        <f t="shared" si="4"/>
        <v>775</v>
      </c>
      <c r="T10" s="2">
        <f t="shared" si="5"/>
        <v>775</v>
      </c>
      <c r="U10" s="4">
        <f t="shared" si="6"/>
        <v>700</v>
      </c>
      <c r="V10" s="4">
        <f t="shared" si="7"/>
        <v>1060</v>
      </c>
      <c r="W10" s="4">
        <f t="shared" si="8"/>
        <v>700</v>
      </c>
      <c r="X10" s="4">
        <f t="shared" si="9"/>
        <v>1060</v>
      </c>
      <c r="Y10" s="4">
        <f t="shared" si="10"/>
        <v>485</v>
      </c>
      <c r="Z10">
        <f t="shared" si="11"/>
        <v>860</v>
      </c>
      <c r="AA10" s="4">
        <f t="shared" si="12"/>
        <v>485</v>
      </c>
      <c r="AB10" s="4">
        <f t="shared" si="13"/>
        <v>860</v>
      </c>
      <c r="AG10" s="2" t="s">
        <v>47</v>
      </c>
      <c r="AH10" s="2">
        <f t="shared" si="14"/>
        <v>775</v>
      </c>
      <c r="AI10" s="2">
        <f t="shared" si="15"/>
        <v>860</v>
      </c>
      <c r="AJ10" s="2">
        <f t="shared" si="16"/>
        <v>775</v>
      </c>
      <c r="AK10" s="2">
        <f t="shared" si="17"/>
        <v>860</v>
      </c>
      <c r="AL10" s="4">
        <f t="shared" si="18"/>
        <v>1550</v>
      </c>
      <c r="AM10" s="4">
        <f t="shared" si="19"/>
        <v>1720</v>
      </c>
      <c r="AN10" s="4">
        <f t="shared" si="20"/>
        <v>1515</v>
      </c>
      <c r="AO10" s="4">
        <v>3520</v>
      </c>
    </row>
    <row r="11" spans="1:41" s="1" customFormat="1" x14ac:dyDescent="0.2">
      <c r="A11">
        <f t="shared" si="1"/>
        <v>10</v>
      </c>
      <c r="B11" s="1" t="s">
        <v>17</v>
      </c>
      <c r="C11" s="1">
        <v>1</v>
      </c>
      <c r="D11" s="1" t="s">
        <v>12</v>
      </c>
      <c r="E11" s="11">
        <v>1</v>
      </c>
      <c r="F11" s="1" t="s">
        <v>11</v>
      </c>
      <c r="G11" s="1">
        <v>800</v>
      </c>
      <c r="H11" s="2">
        <f t="shared" si="2"/>
        <v>465</v>
      </c>
      <c r="I11" s="2">
        <f t="shared" si="3"/>
        <v>465</v>
      </c>
      <c r="J11" s="1" t="s">
        <v>19</v>
      </c>
      <c r="K11" s="1">
        <v>0</v>
      </c>
      <c r="L11" s="1">
        <v>1100</v>
      </c>
      <c r="M11" s="1">
        <v>950</v>
      </c>
      <c r="N11" s="5">
        <v>720</v>
      </c>
      <c r="O11" s="4">
        <v>780</v>
      </c>
      <c r="P11" s="5">
        <v>68</v>
      </c>
      <c r="Q11" s="5">
        <v>45</v>
      </c>
      <c r="R11" s="2" t="s">
        <v>47</v>
      </c>
      <c r="S11" s="1">
        <f t="shared" si="4"/>
        <v>875</v>
      </c>
      <c r="T11" s="1">
        <f t="shared" si="5"/>
        <v>875</v>
      </c>
      <c r="U11" s="5">
        <f t="shared" si="6"/>
        <v>700</v>
      </c>
      <c r="V11" s="5">
        <f t="shared" si="7"/>
        <v>1060</v>
      </c>
      <c r="W11" s="5">
        <f t="shared" si="8"/>
        <v>700</v>
      </c>
      <c r="X11" s="5">
        <f t="shared" si="9"/>
        <v>1060</v>
      </c>
      <c r="Y11" s="5">
        <f t="shared" si="10"/>
        <v>485</v>
      </c>
      <c r="Z11" s="1">
        <f t="shared" si="11"/>
        <v>860</v>
      </c>
      <c r="AA11" s="5">
        <f t="shared" si="12"/>
        <v>485</v>
      </c>
      <c r="AB11" s="5">
        <f t="shared" si="13"/>
        <v>860</v>
      </c>
      <c r="AG11" s="2" t="s">
        <v>47</v>
      </c>
      <c r="AH11" s="1">
        <f t="shared" si="14"/>
        <v>875</v>
      </c>
      <c r="AI11" s="1">
        <f t="shared" si="15"/>
        <v>860</v>
      </c>
      <c r="AJ11" s="1">
        <f t="shared" si="16"/>
        <v>875</v>
      </c>
      <c r="AK11" s="1">
        <f t="shared" si="17"/>
        <v>860</v>
      </c>
      <c r="AL11" s="5">
        <f t="shared" si="18"/>
        <v>1750</v>
      </c>
      <c r="AM11" s="5">
        <f t="shared" si="19"/>
        <v>1720</v>
      </c>
      <c r="AN11" s="4">
        <f t="shared" si="20"/>
        <v>1515</v>
      </c>
      <c r="AO11" s="4">
        <v>3520</v>
      </c>
    </row>
    <row r="12" spans="1:41" s="2" customFormat="1" x14ac:dyDescent="0.2">
      <c r="A12">
        <f t="shared" si="1"/>
        <v>11</v>
      </c>
      <c r="B12" t="s">
        <v>17</v>
      </c>
      <c r="C12">
        <v>1</v>
      </c>
      <c r="D12" t="s">
        <v>12</v>
      </c>
      <c r="E12" s="10">
        <v>1.6</v>
      </c>
      <c r="F12" t="s">
        <v>10</v>
      </c>
      <c r="G12">
        <v>650</v>
      </c>
      <c r="H12" s="2">
        <f>G12/2+IF(F12="CLD",65,55)</f>
        <v>380</v>
      </c>
      <c r="I12" s="2">
        <f>IF(F12="CLD",G12/2+65,150)</f>
        <v>150</v>
      </c>
      <c r="J12" s="2" t="s">
        <v>18</v>
      </c>
      <c r="K12" s="4">
        <v>30</v>
      </c>
      <c r="L12" s="2">
        <v>1100</v>
      </c>
      <c r="M12" s="2">
        <v>950</v>
      </c>
      <c r="N12" s="4">
        <v>720</v>
      </c>
      <c r="O12" s="4">
        <v>780</v>
      </c>
      <c r="P12" s="4">
        <v>68</v>
      </c>
      <c r="Q12" s="4">
        <v>45</v>
      </c>
      <c r="R12" s="2" t="s">
        <v>47</v>
      </c>
      <c r="S12" s="2">
        <f>(-K12+G12/2+H12+10)</f>
        <v>685</v>
      </c>
      <c r="T12" s="2">
        <f>(K12+G12/2+I12+10)</f>
        <v>515</v>
      </c>
      <c r="U12" s="4">
        <f>(L12/2+40+P12+42)</f>
        <v>700</v>
      </c>
      <c r="V12" s="4">
        <f>(L12/2+40+P12+402)</f>
        <v>1060</v>
      </c>
      <c r="W12" s="4">
        <f>(L12/2+40+P12+42)</f>
        <v>700</v>
      </c>
      <c r="X12" s="4">
        <f>(L12/2+40+P12+402)</f>
        <v>1060</v>
      </c>
      <c r="Y12" s="4">
        <f>(O12/2+Q12+50)</f>
        <v>485</v>
      </c>
      <c r="Z12">
        <f>(O12/2+Q12+425)</f>
        <v>860</v>
      </c>
      <c r="AA12" s="4">
        <f>(O12/2+Q12+50)</f>
        <v>485</v>
      </c>
      <c r="AB12" s="4">
        <f>(O12/2+Q12+425)</f>
        <v>860</v>
      </c>
      <c r="AG12" s="2" t="s">
        <v>47</v>
      </c>
      <c r="AH12" s="2">
        <f>MAX(S12,U12,Y12)</f>
        <v>700</v>
      </c>
      <c r="AI12" s="2">
        <f>MIN(V12,Z12)</f>
        <v>860</v>
      </c>
      <c r="AJ12" s="2">
        <f>MAX(T12,W12,AA12)</f>
        <v>700</v>
      </c>
      <c r="AK12" s="2">
        <f>MIN(X12,AB12)</f>
        <v>860</v>
      </c>
      <c r="AL12" s="4">
        <f>(AH12+AJ12)</f>
        <v>1400</v>
      </c>
      <c r="AM12" s="4">
        <f>(AI12+AK12)</f>
        <v>1720</v>
      </c>
      <c r="AN12" s="4">
        <f>(N12+665+130)</f>
        <v>1515</v>
      </c>
      <c r="AO12" s="4">
        <v>3520</v>
      </c>
    </row>
    <row r="13" spans="1:41" s="2" customFormat="1" x14ac:dyDescent="0.2">
      <c r="A13">
        <f t="shared" si="1"/>
        <v>12</v>
      </c>
      <c r="B13" t="s">
        <v>17</v>
      </c>
      <c r="C13">
        <v>1</v>
      </c>
      <c r="D13" t="s">
        <v>12</v>
      </c>
      <c r="E13" s="10">
        <v>1.6</v>
      </c>
      <c r="F13" t="s">
        <v>10</v>
      </c>
      <c r="G13">
        <v>650</v>
      </c>
      <c r="H13" s="2">
        <f>G13/2+IF(F13="CLD",65,55)</f>
        <v>380</v>
      </c>
      <c r="I13" s="2">
        <f>IF(F13="CLD",G13/2+65,150)</f>
        <v>150</v>
      </c>
      <c r="J13" s="2" t="s">
        <v>19</v>
      </c>
      <c r="K13" s="4">
        <v>0</v>
      </c>
      <c r="L13" s="2">
        <v>1100</v>
      </c>
      <c r="M13" s="2">
        <v>950</v>
      </c>
      <c r="N13" s="4">
        <v>720</v>
      </c>
      <c r="O13" s="4">
        <v>780</v>
      </c>
      <c r="P13" s="4">
        <v>68</v>
      </c>
      <c r="Q13" s="4">
        <v>45</v>
      </c>
      <c r="R13" s="2" t="s">
        <v>47</v>
      </c>
      <c r="S13" s="2">
        <f>(-K13+G13/2+H13+10)</f>
        <v>715</v>
      </c>
      <c r="T13" s="2">
        <f>(K13+G13/2+I13+10)</f>
        <v>485</v>
      </c>
      <c r="U13" s="4">
        <f>(L13/2+40+P13+42)</f>
        <v>700</v>
      </c>
      <c r="V13" s="4">
        <f>(L13/2+40+P13+402)</f>
        <v>1060</v>
      </c>
      <c r="W13" s="4">
        <f>(L13/2+40+P13+42)</f>
        <v>700</v>
      </c>
      <c r="X13" s="4">
        <f>(L13/2+40+P13+402)</f>
        <v>1060</v>
      </c>
      <c r="Y13" s="4">
        <f>(O13/2+Q13+50)</f>
        <v>485</v>
      </c>
      <c r="Z13">
        <f>(O13/2+Q13+425)</f>
        <v>860</v>
      </c>
      <c r="AA13" s="4">
        <f>(O13/2+Q13+50)</f>
        <v>485</v>
      </c>
      <c r="AB13" s="4">
        <f>(O13/2+Q13+425)</f>
        <v>860</v>
      </c>
      <c r="AG13" s="2" t="s">
        <v>47</v>
      </c>
      <c r="AH13" s="2">
        <f>MAX(S13,U13,Y13)</f>
        <v>715</v>
      </c>
      <c r="AI13" s="2">
        <f>MIN(V13,Z13)</f>
        <v>860</v>
      </c>
      <c r="AJ13" s="2">
        <f>MAX(T13,W13,AA13)</f>
        <v>700</v>
      </c>
      <c r="AK13" s="2">
        <f>MIN(X13,AB13)</f>
        <v>860</v>
      </c>
      <c r="AL13" s="4">
        <f>(AH13+AJ13)</f>
        <v>1415</v>
      </c>
      <c r="AM13" s="4">
        <f>(AI13+AK13)</f>
        <v>1720</v>
      </c>
      <c r="AN13" s="4">
        <f>(N13+665+130)</f>
        <v>1515</v>
      </c>
      <c r="AO13" s="4">
        <v>3520</v>
      </c>
    </row>
    <row r="14" spans="1:41" s="2" customFormat="1" x14ac:dyDescent="0.2">
      <c r="A14">
        <f t="shared" si="1"/>
        <v>13</v>
      </c>
      <c r="B14" t="s">
        <v>17</v>
      </c>
      <c r="C14">
        <v>1</v>
      </c>
      <c r="D14" t="s">
        <v>12</v>
      </c>
      <c r="E14" s="10">
        <v>1.6</v>
      </c>
      <c r="F14" t="s">
        <v>10</v>
      </c>
      <c r="G14">
        <v>700</v>
      </c>
      <c r="H14" s="2">
        <f t="shared" si="2"/>
        <v>405</v>
      </c>
      <c r="I14" s="2">
        <f t="shared" si="3"/>
        <v>150</v>
      </c>
      <c r="J14" s="2" t="s">
        <v>18</v>
      </c>
      <c r="K14" s="4">
        <v>100</v>
      </c>
      <c r="L14" s="2">
        <v>1100</v>
      </c>
      <c r="M14" s="2">
        <v>950</v>
      </c>
      <c r="N14" s="4">
        <v>720</v>
      </c>
      <c r="O14" s="4">
        <v>780</v>
      </c>
      <c r="P14" s="4">
        <v>68</v>
      </c>
      <c r="Q14" s="4">
        <v>45</v>
      </c>
      <c r="R14" s="2" t="s">
        <v>47</v>
      </c>
      <c r="S14" s="2">
        <f t="shared" si="4"/>
        <v>665</v>
      </c>
      <c r="T14" s="2">
        <f t="shared" si="5"/>
        <v>610</v>
      </c>
      <c r="U14" s="4">
        <f t="shared" si="6"/>
        <v>700</v>
      </c>
      <c r="V14" s="4">
        <f t="shared" si="7"/>
        <v>1060</v>
      </c>
      <c r="W14" s="4">
        <f t="shared" si="8"/>
        <v>700</v>
      </c>
      <c r="X14" s="4">
        <f t="shared" si="9"/>
        <v>1060</v>
      </c>
      <c r="Y14" s="4">
        <f t="shared" si="10"/>
        <v>485</v>
      </c>
      <c r="Z14">
        <f t="shared" si="11"/>
        <v>860</v>
      </c>
      <c r="AA14" s="4">
        <f t="shared" si="12"/>
        <v>485</v>
      </c>
      <c r="AB14" s="4">
        <f t="shared" si="13"/>
        <v>860</v>
      </c>
      <c r="AG14" s="2" t="s">
        <v>47</v>
      </c>
      <c r="AH14" s="2">
        <f t="shared" si="14"/>
        <v>700</v>
      </c>
      <c r="AI14" s="2">
        <f t="shared" si="15"/>
        <v>860</v>
      </c>
      <c r="AJ14" s="2">
        <f t="shared" si="16"/>
        <v>700</v>
      </c>
      <c r="AK14" s="2">
        <f t="shared" si="17"/>
        <v>860</v>
      </c>
      <c r="AL14" s="4">
        <f t="shared" si="18"/>
        <v>1400</v>
      </c>
      <c r="AM14" s="4">
        <f t="shared" si="19"/>
        <v>1720</v>
      </c>
      <c r="AN14" s="4">
        <f t="shared" si="20"/>
        <v>1515</v>
      </c>
      <c r="AO14" s="4">
        <v>3520</v>
      </c>
    </row>
    <row r="15" spans="1:41" s="2" customFormat="1" x14ac:dyDescent="0.2">
      <c r="A15">
        <f t="shared" si="1"/>
        <v>14</v>
      </c>
      <c r="B15" t="s">
        <v>17</v>
      </c>
      <c r="C15">
        <v>1</v>
      </c>
      <c r="D15" t="s">
        <v>12</v>
      </c>
      <c r="E15" s="10">
        <v>1.6</v>
      </c>
      <c r="F15" t="s">
        <v>10</v>
      </c>
      <c r="G15">
        <v>700</v>
      </c>
      <c r="H15" s="2">
        <f t="shared" si="2"/>
        <v>405</v>
      </c>
      <c r="I15" s="2">
        <f t="shared" si="3"/>
        <v>150</v>
      </c>
      <c r="J15" s="2" t="s">
        <v>19</v>
      </c>
      <c r="K15" s="4">
        <v>0</v>
      </c>
      <c r="L15" s="2">
        <v>1100</v>
      </c>
      <c r="M15" s="2">
        <v>950</v>
      </c>
      <c r="N15" s="4">
        <v>720</v>
      </c>
      <c r="O15" s="4">
        <v>780</v>
      </c>
      <c r="P15" s="4">
        <v>68</v>
      </c>
      <c r="Q15" s="4">
        <v>45</v>
      </c>
      <c r="R15" s="2" t="s">
        <v>47</v>
      </c>
      <c r="S15" s="2">
        <f t="shared" si="4"/>
        <v>765</v>
      </c>
      <c r="T15" s="2">
        <f t="shared" si="5"/>
        <v>510</v>
      </c>
      <c r="U15" s="4">
        <f t="shared" si="6"/>
        <v>700</v>
      </c>
      <c r="V15" s="4">
        <f t="shared" si="7"/>
        <v>1060</v>
      </c>
      <c r="W15" s="4">
        <f t="shared" si="8"/>
        <v>700</v>
      </c>
      <c r="X15" s="4">
        <f t="shared" si="9"/>
        <v>1060</v>
      </c>
      <c r="Y15" s="4">
        <f t="shared" si="10"/>
        <v>485</v>
      </c>
      <c r="Z15">
        <f t="shared" si="11"/>
        <v>860</v>
      </c>
      <c r="AA15" s="4">
        <f t="shared" si="12"/>
        <v>485</v>
      </c>
      <c r="AB15" s="4">
        <f t="shared" si="13"/>
        <v>860</v>
      </c>
      <c r="AG15" s="2" t="s">
        <v>47</v>
      </c>
      <c r="AH15" s="2">
        <f t="shared" si="14"/>
        <v>765</v>
      </c>
      <c r="AI15" s="2">
        <f t="shared" si="15"/>
        <v>860</v>
      </c>
      <c r="AJ15" s="2">
        <f t="shared" si="16"/>
        <v>700</v>
      </c>
      <c r="AK15" s="2">
        <f t="shared" si="17"/>
        <v>860</v>
      </c>
      <c r="AL15" s="4">
        <f t="shared" si="18"/>
        <v>1465</v>
      </c>
      <c r="AM15" s="4">
        <f t="shared" si="19"/>
        <v>1720</v>
      </c>
      <c r="AN15" s="4">
        <f t="shared" si="20"/>
        <v>1515</v>
      </c>
      <c r="AO15" s="4">
        <v>3520</v>
      </c>
    </row>
    <row r="16" spans="1:41" s="2" customFormat="1" x14ac:dyDescent="0.2">
      <c r="A16">
        <f t="shared" si="1"/>
        <v>15</v>
      </c>
      <c r="B16" t="s">
        <v>17</v>
      </c>
      <c r="C16">
        <v>1</v>
      </c>
      <c r="D16" t="s">
        <v>12</v>
      </c>
      <c r="E16" s="10">
        <v>1.6</v>
      </c>
      <c r="F16" t="s">
        <v>10</v>
      </c>
      <c r="G16">
        <v>800</v>
      </c>
      <c r="H16" s="2">
        <f t="shared" si="2"/>
        <v>455</v>
      </c>
      <c r="I16" s="2">
        <f t="shared" si="3"/>
        <v>150</v>
      </c>
      <c r="J16" s="2" t="s">
        <v>18</v>
      </c>
      <c r="K16" s="4">
        <v>30</v>
      </c>
      <c r="L16" s="2">
        <v>1100</v>
      </c>
      <c r="M16" s="2">
        <v>950</v>
      </c>
      <c r="N16" s="4">
        <v>720</v>
      </c>
      <c r="O16" s="4">
        <v>780</v>
      </c>
      <c r="P16" s="4">
        <v>68</v>
      </c>
      <c r="Q16" s="4">
        <v>45</v>
      </c>
      <c r="R16" s="2" t="s">
        <v>47</v>
      </c>
      <c r="S16" s="2">
        <f t="shared" si="4"/>
        <v>835</v>
      </c>
      <c r="T16" s="2">
        <f t="shared" si="5"/>
        <v>590</v>
      </c>
      <c r="U16" s="4">
        <f t="shared" si="6"/>
        <v>700</v>
      </c>
      <c r="V16" s="4">
        <f t="shared" si="7"/>
        <v>1060</v>
      </c>
      <c r="W16" s="4">
        <f t="shared" si="8"/>
        <v>700</v>
      </c>
      <c r="X16" s="4">
        <f t="shared" si="9"/>
        <v>1060</v>
      </c>
      <c r="Y16" s="4">
        <f t="shared" si="10"/>
        <v>485</v>
      </c>
      <c r="Z16">
        <f t="shared" si="11"/>
        <v>860</v>
      </c>
      <c r="AA16" s="4">
        <f t="shared" si="12"/>
        <v>485</v>
      </c>
      <c r="AB16" s="4">
        <f t="shared" si="13"/>
        <v>860</v>
      </c>
      <c r="AG16" s="2" t="s">
        <v>47</v>
      </c>
      <c r="AH16" s="2">
        <f t="shared" si="14"/>
        <v>835</v>
      </c>
      <c r="AI16" s="2">
        <f t="shared" si="15"/>
        <v>860</v>
      </c>
      <c r="AJ16" s="2">
        <f t="shared" si="16"/>
        <v>700</v>
      </c>
      <c r="AK16" s="2">
        <f t="shared" si="17"/>
        <v>860</v>
      </c>
      <c r="AL16" s="4">
        <f t="shared" si="18"/>
        <v>1535</v>
      </c>
      <c r="AM16" s="4">
        <f t="shared" si="19"/>
        <v>1720</v>
      </c>
      <c r="AN16" s="4">
        <f t="shared" si="20"/>
        <v>1515</v>
      </c>
      <c r="AO16" s="4">
        <v>3520</v>
      </c>
    </row>
    <row r="17" spans="1:41" s="2" customFormat="1" x14ac:dyDescent="0.2">
      <c r="A17">
        <f t="shared" si="1"/>
        <v>16</v>
      </c>
      <c r="B17" t="s">
        <v>17</v>
      </c>
      <c r="C17">
        <v>1</v>
      </c>
      <c r="D17" t="s">
        <v>12</v>
      </c>
      <c r="E17" s="10">
        <v>1.6</v>
      </c>
      <c r="F17" t="s">
        <v>10</v>
      </c>
      <c r="G17">
        <v>800</v>
      </c>
      <c r="H17" s="2">
        <f t="shared" si="2"/>
        <v>455</v>
      </c>
      <c r="I17" s="2">
        <f t="shared" si="3"/>
        <v>150</v>
      </c>
      <c r="J17" s="2" t="s">
        <v>19</v>
      </c>
      <c r="K17" s="4">
        <v>0</v>
      </c>
      <c r="L17" s="2">
        <v>1100</v>
      </c>
      <c r="M17" s="2">
        <v>950</v>
      </c>
      <c r="N17" s="4">
        <v>720</v>
      </c>
      <c r="O17" s="4">
        <v>780</v>
      </c>
      <c r="P17" s="4">
        <v>68</v>
      </c>
      <c r="Q17" s="4">
        <v>45</v>
      </c>
      <c r="R17" s="2" t="s">
        <v>47</v>
      </c>
      <c r="S17" s="2">
        <f t="shared" si="4"/>
        <v>865</v>
      </c>
      <c r="T17" s="2">
        <f t="shared" si="5"/>
        <v>560</v>
      </c>
      <c r="U17" s="4">
        <f t="shared" si="6"/>
        <v>700</v>
      </c>
      <c r="V17" s="4">
        <f t="shared" si="7"/>
        <v>1060</v>
      </c>
      <c r="W17" s="4">
        <f t="shared" si="8"/>
        <v>700</v>
      </c>
      <c r="X17" s="4">
        <f t="shared" si="9"/>
        <v>1060</v>
      </c>
      <c r="Y17" s="4">
        <f t="shared" si="10"/>
        <v>485</v>
      </c>
      <c r="Z17">
        <f t="shared" si="11"/>
        <v>860</v>
      </c>
      <c r="AA17" s="4">
        <f t="shared" si="12"/>
        <v>485</v>
      </c>
      <c r="AB17" s="4">
        <f t="shared" si="13"/>
        <v>860</v>
      </c>
      <c r="AG17" s="2" t="s">
        <v>47</v>
      </c>
      <c r="AH17" s="2">
        <f t="shared" si="14"/>
        <v>865</v>
      </c>
      <c r="AI17" s="2">
        <f t="shared" si="15"/>
        <v>860</v>
      </c>
      <c r="AJ17" s="2">
        <f t="shared" si="16"/>
        <v>700</v>
      </c>
      <c r="AK17" s="2">
        <f t="shared" si="17"/>
        <v>860</v>
      </c>
      <c r="AL17" s="4">
        <f t="shared" si="18"/>
        <v>1565</v>
      </c>
      <c r="AM17" s="4">
        <f t="shared" si="19"/>
        <v>1720</v>
      </c>
      <c r="AN17" s="4">
        <f t="shared" si="20"/>
        <v>1515</v>
      </c>
      <c r="AO17" s="4">
        <v>3520</v>
      </c>
    </row>
    <row r="18" spans="1:41" s="2" customFormat="1" x14ac:dyDescent="0.2">
      <c r="A18">
        <f t="shared" si="1"/>
        <v>17</v>
      </c>
      <c r="B18" t="s">
        <v>17</v>
      </c>
      <c r="C18">
        <v>1</v>
      </c>
      <c r="D18" t="s">
        <v>12</v>
      </c>
      <c r="E18" s="10">
        <v>1.6</v>
      </c>
      <c r="F18" t="s">
        <v>10</v>
      </c>
      <c r="G18">
        <v>900</v>
      </c>
      <c r="H18" s="2">
        <f>G18/2+IF(F18="CLD",65,55)</f>
        <v>505</v>
      </c>
      <c r="I18" s="2">
        <f>IF(F18="CLD",G18/2+65,150)</f>
        <v>150</v>
      </c>
      <c r="J18" s="2" t="s">
        <v>18</v>
      </c>
      <c r="K18" s="4">
        <v>50</v>
      </c>
      <c r="L18" s="2">
        <v>1100</v>
      </c>
      <c r="M18" s="2">
        <v>950</v>
      </c>
      <c r="N18" s="4">
        <v>720</v>
      </c>
      <c r="O18" s="4">
        <v>780</v>
      </c>
      <c r="P18" s="4">
        <v>68</v>
      </c>
      <c r="Q18" s="4">
        <v>45</v>
      </c>
      <c r="R18" s="2" t="s">
        <v>47</v>
      </c>
      <c r="S18" s="2">
        <f>(-K18+G18/2+H18+10)</f>
        <v>915</v>
      </c>
      <c r="T18" s="2">
        <f>(K18+G18/2+I18+10)</f>
        <v>660</v>
      </c>
      <c r="U18" s="4">
        <f>(L18/2+40+P18+42)</f>
        <v>700</v>
      </c>
      <c r="V18" s="4">
        <f>(L18/2+40+P18+402)</f>
        <v>1060</v>
      </c>
      <c r="W18" s="4">
        <f>(L18/2+40+P18+42)</f>
        <v>700</v>
      </c>
      <c r="X18" s="4">
        <f>(L18/2+40+P18+402)</f>
        <v>1060</v>
      </c>
      <c r="Y18" s="4">
        <f>(O18/2+Q18+50)</f>
        <v>485</v>
      </c>
      <c r="Z18">
        <f>(O18/2+Q18+425)</f>
        <v>860</v>
      </c>
      <c r="AA18" s="4">
        <f>(O18/2+Q18+50)</f>
        <v>485</v>
      </c>
      <c r="AB18" s="4">
        <f>(O18/2+Q18+425)</f>
        <v>860</v>
      </c>
      <c r="AG18" s="2" t="s">
        <v>47</v>
      </c>
      <c r="AH18" s="2">
        <f>MAX(S18,U18,Y18)</f>
        <v>915</v>
      </c>
      <c r="AI18" s="2">
        <f>MIN(V18,Z18)</f>
        <v>860</v>
      </c>
      <c r="AJ18" s="2">
        <f>MAX(T18,W18,AA18)</f>
        <v>700</v>
      </c>
      <c r="AK18" s="2">
        <f>MIN(X18,AB18)</f>
        <v>860</v>
      </c>
      <c r="AL18" s="4">
        <f>(AH18+AJ18)</f>
        <v>1615</v>
      </c>
      <c r="AM18" s="4">
        <f>(AI18+AK18)</f>
        <v>1720</v>
      </c>
      <c r="AN18" s="4">
        <f>(N18+665+130)</f>
        <v>1515</v>
      </c>
      <c r="AO18" s="4">
        <v>3520</v>
      </c>
    </row>
    <row r="19" spans="1:41" s="2" customFormat="1" x14ac:dyDescent="0.2">
      <c r="A19">
        <f t="shared" si="1"/>
        <v>18</v>
      </c>
      <c r="B19" t="s">
        <v>17</v>
      </c>
      <c r="C19">
        <v>1</v>
      </c>
      <c r="D19" t="s">
        <v>12</v>
      </c>
      <c r="E19" s="10">
        <v>1.6</v>
      </c>
      <c r="F19" t="s">
        <v>10</v>
      </c>
      <c r="G19">
        <v>1000</v>
      </c>
      <c r="H19" s="2">
        <f t="shared" si="2"/>
        <v>555</v>
      </c>
      <c r="I19" s="2">
        <f t="shared" si="3"/>
        <v>150</v>
      </c>
      <c r="J19" s="2" t="s">
        <v>18</v>
      </c>
      <c r="K19" s="4">
        <v>30</v>
      </c>
      <c r="L19" s="2">
        <v>1100</v>
      </c>
      <c r="M19" s="2">
        <v>950</v>
      </c>
      <c r="N19" s="4">
        <v>720</v>
      </c>
      <c r="O19" s="4">
        <v>780</v>
      </c>
      <c r="P19" s="4">
        <v>68</v>
      </c>
      <c r="Q19" s="4">
        <v>45</v>
      </c>
      <c r="R19" s="2" t="s">
        <v>47</v>
      </c>
      <c r="S19" s="2">
        <f>(-K19+G19/2+H19+10)</f>
        <v>1035</v>
      </c>
      <c r="T19" s="2">
        <f>(K19+G19/2+I19+10)</f>
        <v>690</v>
      </c>
      <c r="U19" s="4">
        <f>(L19/2+40+P19+42)</f>
        <v>700</v>
      </c>
      <c r="V19" s="4">
        <f>(L19/2+40+P19+402)</f>
        <v>1060</v>
      </c>
      <c r="W19" s="4">
        <f>(L19/2+40+P19+42)</f>
        <v>700</v>
      </c>
      <c r="X19" s="4">
        <f>(L19/2+40+P19+402)</f>
        <v>1060</v>
      </c>
      <c r="Y19" s="4">
        <f>(O19/2+Q19+50)</f>
        <v>485</v>
      </c>
      <c r="Z19">
        <f>(O19/2+Q19+425)</f>
        <v>860</v>
      </c>
      <c r="AA19" s="4">
        <f>(O19/2+Q19+50)</f>
        <v>485</v>
      </c>
      <c r="AB19" s="4">
        <f>(O19/2+Q19+425)</f>
        <v>860</v>
      </c>
      <c r="AG19" s="2" t="s">
        <v>47</v>
      </c>
      <c r="AH19" s="2">
        <f>MAX(S19,U19,Y19)</f>
        <v>1035</v>
      </c>
      <c r="AI19" s="2">
        <f>MIN(V19,Z19)</f>
        <v>860</v>
      </c>
      <c r="AJ19" s="2">
        <f>MAX(T19,W19,AA19)</f>
        <v>700</v>
      </c>
      <c r="AK19" s="2">
        <f>MIN(X19,AB19)</f>
        <v>860</v>
      </c>
      <c r="AL19" s="4">
        <f>(AH19+AJ19)</f>
        <v>1735</v>
      </c>
      <c r="AM19" s="4">
        <f>(AI19+AK19)</f>
        <v>1720</v>
      </c>
      <c r="AN19" s="4">
        <f>(N19+665+130)</f>
        <v>1515</v>
      </c>
      <c r="AO19" s="4">
        <v>3520</v>
      </c>
    </row>
    <row r="20" spans="1:41" s="2" customFormat="1" x14ac:dyDescent="0.2">
      <c r="A20">
        <f t="shared" si="1"/>
        <v>19</v>
      </c>
      <c r="B20" t="s">
        <v>17</v>
      </c>
      <c r="C20">
        <v>1</v>
      </c>
      <c r="D20" t="s">
        <v>12</v>
      </c>
      <c r="E20" s="10">
        <v>1.6</v>
      </c>
      <c r="F20" t="s">
        <v>11</v>
      </c>
      <c r="G20">
        <v>700</v>
      </c>
      <c r="H20" s="2">
        <f t="shared" si="2"/>
        <v>415</v>
      </c>
      <c r="I20" s="2">
        <f t="shared" si="3"/>
        <v>415</v>
      </c>
      <c r="J20" s="2" t="s">
        <v>19</v>
      </c>
      <c r="K20" s="4">
        <v>0</v>
      </c>
      <c r="L20" s="2">
        <v>1100</v>
      </c>
      <c r="M20" s="2">
        <v>950</v>
      </c>
      <c r="N20" s="4">
        <v>720</v>
      </c>
      <c r="O20" s="4">
        <v>780</v>
      </c>
      <c r="P20" s="4">
        <v>68</v>
      </c>
      <c r="Q20" s="4">
        <v>45</v>
      </c>
      <c r="R20" s="2" t="s">
        <v>47</v>
      </c>
      <c r="S20" s="2">
        <f t="shared" si="4"/>
        <v>775</v>
      </c>
      <c r="T20" s="2">
        <f t="shared" si="5"/>
        <v>775</v>
      </c>
      <c r="U20" s="4">
        <f t="shared" si="6"/>
        <v>700</v>
      </c>
      <c r="V20" s="4">
        <f t="shared" si="7"/>
        <v>1060</v>
      </c>
      <c r="W20" s="4">
        <f t="shared" si="8"/>
        <v>700</v>
      </c>
      <c r="X20" s="4">
        <f t="shared" si="9"/>
        <v>1060</v>
      </c>
      <c r="Y20" s="4">
        <f t="shared" si="10"/>
        <v>485</v>
      </c>
      <c r="Z20">
        <f t="shared" si="11"/>
        <v>860</v>
      </c>
      <c r="AA20" s="4">
        <f t="shared" si="12"/>
        <v>485</v>
      </c>
      <c r="AB20" s="4">
        <f t="shared" si="13"/>
        <v>860</v>
      </c>
      <c r="AG20" s="2" t="s">
        <v>47</v>
      </c>
      <c r="AH20" s="2">
        <f t="shared" si="14"/>
        <v>775</v>
      </c>
      <c r="AI20" s="2">
        <f t="shared" si="15"/>
        <v>860</v>
      </c>
      <c r="AJ20" s="2">
        <f t="shared" si="16"/>
        <v>775</v>
      </c>
      <c r="AK20" s="2">
        <f t="shared" si="17"/>
        <v>860</v>
      </c>
      <c r="AL20" s="4">
        <f t="shared" si="18"/>
        <v>1550</v>
      </c>
      <c r="AM20" s="4">
        <f t="shared" si="19"/>
        <v>1720</v>
      </c>
      <c r="AN20" s="4">
        <f t="shared" si="20"/>
        <v>1515</v>
      </c>
      <c r="AO20" s="4">
        <v>3520</v>
      </c>
    </row>
    <row r="21" spans="1:41" s="6" customFormat="1" ht="13.5" thickBot="1" x14ac:dyDescent="0.25">
      <c r="A21">
        <f t="shared" si="1"/>
        <v>20</v>
      </c>
      <c r="B21" s="6" t="s">
        <v>17</v>
      </c>
      <c r="C21" s="6">
        <v>1</v>
      </c>
      <c r="D21" s="6" t="s">
        <v>12</v>
      </c>
      <c r="E21" s="13">
        <v>1.6</v>
      </c>
      <c r="F21" s="6" t="s">
        <v>11</v>
      </c>
      <c r="G21" s="6">
        <v>800</v>
      </c>
      <c r="H21" s="2">
        <f t="shared" si="2"/>
        <v>465</v>
      </c>
      <c r="I21" s="2">
        <f t="shared" si="3"/>
        <v>465</v>
      </c>
      <c r="J21" s="6" t="s">
        <v>19</v>
      </c>
      <c r="K21" s="6">
        <v>0</v>
      </c>
      <c r="L21" s="6">
        <v>1100</v>
      </c>
      <c r="M21" s="6">
        <v>950</v>
      </c>
      <c r="N21" s="7">
        <v>720</v>
      </c>
      <c r="O21" s="4">
        <v>780</v>
      </c>
      <c r="P21" s="7">
        <v>68</v>
      </c>
      <c r="Q21" s="7">
        <v>45</v>
      </c>
      <c r="R21" s="2" t="s">
        <v>47</v>
      </c>
      <c r="S21" s="6">
        <f t="shared" si="4"/>
        <v>875</v>
      </c>
      <c r="T21" s="6">
        <f t="shared" si="5"/>
        <v>875</v>
      </c>
      <c r="U21" s="7">
        <f t="shared" si="6"/>
        <v>700</v>
      </c>
      <c r="V21" s="7">
        <f t="shared" si="7"/>
        <v>1060</v>
      </c>
      <c r="W21" s="7">
        <f t="shared" si="8"/>
        <v>700</v>
      </c>
      <c r="X21" s="7">
        <f t="shared" si="9"/>
        <v>1060</v>
      </c>
      <c r="Y21" s="7">
        <f t="shared" si="10"/>
        <v>485</v>
      </c>
      <c r="Z21" s="6">
        <f t="shared" si="11"/>
        <v>860</v>
      </c>
      <c r="AA21" s="7">
        <f t="shared" si="12"/>
        <v>485</v>
      </c>
      <c r="AB21" s="7">
        <f t="shared" si="13"/>
        <v>860</v>
      </c>
      <c r="AG21" s="2" t="s">
        <v>47</v>
      </c>
      <c r="AH21" s="6">
        <f t="shared" si="14"/>
        <v>875</v>
      </c>
      <c r="AI21" s="6">
        <f t="shared" si="15"/>
        <v>860</v>
      </c>
      <c r="AJ21" s="6">
        <f t="shared" si="16"/>
        <v>875</v>
      </c>
      <c r="AK21" s="6">
        <f t="shared" si="17"/>
        <v>860</v>
      </c>
      <c r="AL21" s="7">
        <f t="shared" si="18"/>
        <v>1750</v>
      </c>
      <c r="AM21" s="7">
        <f t="shared" si="19"/>
        <v>1720</v>
      </c>
      <c r="AN21" s="4">
        <f t="shared" si="20"/>
        <v>1515</v>
      </c>
      <c r="AO21" s="4">
        <v>3520</v>
      </c>
    </row>
    <row r="22" spans="1:41" s="2" customFormat="1" x14ac:dyDescent="0.2">
      <c r="A22">
        <f t="shared" si="1"/>
        <v>21</v>
      </c>
      <c r="B22" t="s">
        <v>13</v>
      </c>
      <c r="C22">
        <v>1</v>
      </c>
      <c r="D22" t="s">
        <v>12</v>
      </c>
      <c r="E22" s="10">
        <v>1</v>
      </c>
      <c r="F22" t="s">
        <v>10</v>
      </c>
      <c r="G22" s="4">
        <v>700</v>
      </c>
      <c r="H22" s="2">
        <f t="shared" si="2"/>
        <v>405</v>
      </c>
      <c r="I22" s="2">
        <f t="shared" si="3"/>
        <v>150</v>
      </c>
      <c r="J22" s="4" t="s">
        <v>19</v>
      </c>
      <c r="K22" s="4">
        <v>0</v>
      </c>
      <c r="L22" s="2">
        <v>1100</v>
      </c>
      <c r="M22" s="4">
        <v>1400</v>
      </c>
      <c r="N22" s="4">
        <v>880</v>
      </c>
      <c r="O22" s="4">
        <v>780</v>
      </c>
      <c r="P22" s="4">
        <v>68</v>
      </c>
      <c r="Q22" s="4">
        <v>45</v>
      </c>
      <c r="R22" s="2" t="s">
        <v>47</v>
      </c>
      <c r="S22" s="2">
        <f t="shared" si="4"/>
        <v>765</v>
      </c>
      <c r="T22" s="2">
        <f t="shared" si="5"/>
        <v>510</v>
      </c>
      <c r="U22" s="4"/>
      <c r="V22" s="4"/>
      <c r="W22" s="4">
        <f t="shared" si="8"/>
        <v>700</v>
      </c>
      <c r="X22" s="4">
        <f t="shared" si="9"/>
        <v>1060</v>
      </c>
      <c r="Y22" s="4"/>
      <c r="AA22" s="4"/>
      <c r="AB22" s="4"/>
      <c r="AC22" s="2">
        <f>(740+130)</f>
        <v>870</v>
      </c>
      <c r="AD22" s="2">
        <f>(740+600)</f>
        <v>1340</v>
      </c>
      <c r="AE22" s="2">
        <f>(L22/2+40+P22+190)</f>
        <v>848</v>
      </c>
      <c r="AF22" s="2">
        <f>(L22/2+40+P22+459)</f>
        <v>1117</v>
      </c>
      <c r="AG22" s="2" t="s">
        <v>47</v>
      </c>
      <c r="AH22" s="4">
        <f>MAX(S22,AC22,AE22)</f>
        <v>870</v>
      </c>
      <c r="AI22" s="4">
        <f>MIN(AD22,AF22)</f>
        <v>1117</v>
      </c>
      <c r="AJ22" s="4">
        <f>MAX(T22,W22)</f>
        <v>700</v>
      </c>
      <c r="AK22" s="4">
        <f>X22</f>
        <v>1060</v>
      </c>
      <c r="AL22" s="4">
        <f>(AH22+AJ22)</f>
        <v>1570</v>
      </c>
      <c r="AM22" s="4">
        <f>(AI22+AK22)</f>
        <v>2177</v>
      </c>
      <c r="AN22" s="4">
        <f>(N22+535+O22/2+Q22+85)</f>
        <v>1935</v>
      </c>
      <c r="AO22" s="4">
        <v>3520</v>
      </c>
    </row>
    <row r="23" spans="1:41" s="2" customFormat="1" x14ac:dyDescent="0.2">
      <c r="A23">
        <f t="shared" si="1"/>
        <v>22</v>
      </c>
      <c r="B23" t="s">
        <v>13</v>
      </c>
      <c r="C23">
        <v>1</v>
      </c>
      <c r="D23" t="s">
        <v>12</v>
      </c>
      <c r="E23" s="10">
        <v>1</v>
      </c>
      <c r="F23" t="s">
        <v>10</v>
      </c>
      <c r="G23">
        <v>800</v>
      </c>
      <c r="H23" s="2">
        <f t="shared" si="2"/>
        <v>455</v>
      </c>
      <c r="I23" s="2">
        <f t="shared" si="3"/>
        <v>150</v>
      </c>
      <c r="J23" s="4" t="s">
        <v>18</v>
      </c>
      <c r="K23" s="4">
        <v>30</v>
      </c>
      <c r="L23" s="2">
        <v>1100</v>
      </c>
      <c r="M23" s="4">
        <v>1400</v>
      </c>
      <c r="N23" s="4">
        <v>880</v>
      </c>
      <c r="O23" s="4">
        <v>780</v>
      </c>
      <c r="P23" s="4">
        <v>68</v>
      </c>
      <c r="Q23" s="4">
        <v>45</v>
      </c>
      <c r="R23" s="2" t="s">
        <v>47</v>
      </c>
      <c r="S23" s="2">
        <f t="shared" si="4"/>
        <v>835</v>
      </c>
      <c r="T23" s="2">
        <f t="shared" si="5"/>
        <v>590</v>
      </c>
      <c r="U23" s="4"/>
      <c r="V23" s="4"/>
      <c r="W23" s="4">
        <f t="shared" si="8"/>
        <v>700</v>
      </c>
      <c r="X23" s="4">
        <f t="shared" si="9"/>
        <v>1060</v>
      </c>
      <c r="Y23" s="4"/>
      <c r="Z23"/>
      <c r="AA23" s="4"/>
      <c r="AB23" s="4"/>
      <c r="AC23" s="2">
        <f t="shared" ref="AC23:AC37" si="21">(740+130)</f>
        <v>870</v>
      </c>
      <c r="AD23" s="2">
        <f t="shared" ref="AD23:AD37" si="22">(740+600)</f>
        <v>1340</v>
      </c>
      <c r="AE23" s="2">
        <f t="shared" ref="AE23:AE109" si="23">(L23/2+40+P23+190)</f>
        <v>848</v>
      </c>
      <c r="AF23" s="2">
        <f t="shared" ref="AF23:AF109" si="24">(L23/2+40+P23+459)</f>
        <v>1117</v>
      </c>
      <c r="AG23" s="2" t="s">
        <v>47</v>
      </c>
      <c r="AH23" s="4">
        <f t="shared" ref="AH23:AH109" si="25">MAX(S23,AC23,AE23)</f>
        <v>870</v>
      </c>
      <c r="AI23" s="4">
        <f t="shared" ref="AI23:AI109" si="26">MIN(AD23,AF23)</f>
        <v>1117</v>
      </c>
      <c r="AJ23" s="4">
        <f t="shared" ref="AJ23:AJ109" si="27">MAX(T23,W23)</f>
        <v>700</v>
      </c>
      <c r="AK23" s="4">
        <f t="shared" ref="AK23:AK109" si="28">X23</f>
        <v>1060</v>
      </c>
      <c r="AL23" s="4">
        <f t="shared" ref="AL23:AL123" si="29">(AH23+AJ23)</f>
        <v>1570</v>
      </c>
      <c r="AM23" s="4">
        <f t="shared" ref="AM23:AM123" si="30">(AI23+AK23)</f>
        <v>2177</v>
      </c>
      <c r="AN23" s="4">
        <f t="shared" ref="AN23:AN37" si="31">(N23+535+O23/2+Q23+85)</f>
        <v>1935</v>
      </c>
      <c r="AO23" s="4">
        <v>3520</v>
      </c>
    </row>
    <row r="24" spans="1:41" s="2" customFormat="1" x14ac:dyDescent="0.2">
      <c r="A24">
        <f t="shared" si="1"/>
        <v>23</v>
      </c>
      <c r="B24" t="s">
        <v>13</v>
      </c>
      <c r="C24">
        <v>1</v>
      </c>
      <c r="D24" t="s">
        <v>12</v>
      </c>
      <c r="E24" s="10">
        <v>1</v>
      </c>
      <c r="F24" t="s">
        <v>10</v>
      </c>
      <c r="G24">
        <v>800</v>
      </c>
      <c r="H24" s="2">
        <f t="shared" si="2"/>
        <v>455</v>
      </c>
      <c r="I24" s="2">
        <f t="shared" si="3"/>
        <v>150</v>
      </c>
      <c r="J24" s="4" t="s">
        <v>19</v>
      </c>
      <c r="K24" s="4">
        <v>0</v>
      </c>
      <c r="L24" s="2">
        <v>1100</v>
      </c>
      <c r="M24" s="4">
        <v>1400</v>
      </c>
      <c r="N24" s="4">
        <v>880</v>
      </c>
      <c r="O24" s="4">
        <v>780</v>
      </c>
      <c r="P24" s="4">
        <v>68</v>
      </c>
      <c r="Q24" s="4">
        <v>45</v>
      </c>
      <c r="R24" s="2" t="s">
        <v>47</v>
      </c>
      <c r="S24" s="2">
        <f t="shared" si="4"/>
        <v>865</v>
      </c>
      <c r="T24" s="2">
        <f t="shared" si="5"/>
        <v>560</v>
      </c>
      <c r="U24" s="4"/>
      <c r="V24" s="4"/>
      <c r="W24" s="4">
        <f t="shared" si="8"/>
        <v>700</v>
      </c>
      <c r="X24" s="4">
        <f t="shared" si="9"/>
        <v>1060</v>
      </c>
      <c r="Y24" s="4"/>
      <c r="Z24"/>
      <c r="AA24" s="4"/>
      <c r="AB24" s="4"/>
      <c r="AC24" s="2">
        <f t="shared" si="21"/>
        <v>870</v>
      </c>
      <c r="AD24" s="2">
        <f t="shared" si="22"/>
        <v>1340</v>
      </c>
      <c r="AE24" s="2">
        <f t="shared" si="23"/>
        <v>848</v>
      </c>
      <c r="AF24" s="2">
        <f t="shared" si="24"/>
        <v>1117</v>
      </c>
      <c r="AG24" s="2" t="s">
        <v>47</v>
      </c>
      <c r="AH24" s="4">
        <f t="shared" si="25"/>
        <v>870</v>
      </c>
      <c r="AI24" s="4">
        <f t="shared" si="26"/>
        <v>1117</v>
      </c>
      <c r="AJ24" s="4">
        <f t="shared" si="27"/>
        <v>700</v>
      </c>
      <c r="AK24" s="4">
        <f t="shared" si="28"/>
        <v>1060</v>
      </c>
      <c r="AL24" s="4">
        <f t="shared" si="29"/>
        <v>1570</v>
      </c>
      <c r="AM24" s="4">
        <f t="shared" si="30"/>
        <v>2177</v>
      </c>
      <c r="AN24" s="4">
        <f t="shared" si="31"/>
        <v>1935</v>
      </c>
      <c r="AO24" s="4">
        <v>3520</v>
      </c>
    </row>
    <row r="25" spans="1:41" s="2" customFormat="1" x14ac:dyDescent="0.2">
      <c r="A25">
        <f t="shared" si="1"/>
        <v>24</v>
      </c>
      <c r="B25" t="s">
        <v>13</v>
      </c>
      <c r="C25">
        <v>1</v>
      </c>
      <c r="D25" t="s">
        <v>12</v>
      </c>
      <c r="E25" s="10">
        <v>1</v>
      </c>
      <c r="F25" t="s">
        <v>10</v>
      </c>
      <c r="G25">
        <v>900</v>
      </c>
      <c r="H25" s="2">
        <f>G25/2+IF(F25="CLD",65,55)</f>
        <v>505</v>
      </c>
      <c r="I25" s="2">
        <f>IF(F25="CLD",G25/2+65,150)</f>
        <v>150</v>
      </c>
      <c r="J25" s="4" t="s">
        <v>18</v>
      </c>
      <c r="K25" s="4">
        <v>50</v>
      </c>
      <c r="L25" s="2">
        <v>1100</v>
      </c>
      <c r="M25" s="4">
        <v>1400</v>
      </c>
      <c r="N25" s="4">
        <v>880</v>
      </c>
      <c r="O25" s="4">
        <v>780</v>
      </c>
      <c r="P25" s="4">
        <v>68</v>
      </c>
      <c r="Q25" s="4">
        <v>45</v>
      </c>
      <c r="R25" s="2" t="s">
        <v>47</v>
      </c>
      <c r="S25" s="2">
        <f>(-K25+G25/2+H25+10)</f>
        <v>915</v>
      </c>
      <c r="T25" s="2">
        <f>(K25+G25/2+I25+10)</f>
        <v>660</v>
      </c>
      <c r="U25" s="4"/>
      <c r="V25" s="4"/>
      <c r="W25" s="4">
        <f>(L25/2+40+P25+42)</f>
        <v>700</v>
      </c>
      <c r="X25" s="4">
        <f>(L25/2+40+P25+402)</f>
        <v>1060</v>
      </c>
      <c r="Y25" s="4"/>
      <c r="Z25"/>
      <c r="AA25" s="4"/>
      <c r="AB25" s="4"/>
      <c r="AC25" s="2">
        <f t="shared" si="21"/>
        <v>870</v>
      </c>
      <c r="AD25" s="2">
        <f t="shared" si="22"/>
        <v>1340</v>
      </c>
      <c r="AE25" s="2">
        <f>(L25/2+40+P25+190)</f>
        <v>848</v>
      </c>
      <c r="AF25" s="2">
        <f>(L25/2+40+P25+459)</f>
        <v>1117</v>
      </c>
      <c r="AG25" s="2" t="s">
        <v>47</v>
      </c>
      <c r="AH25" s="4">
        <f>MAX(S25,AC25,AE25)</f>
        <v>915</v>
      </c>
      <c r="AI25" s="4">
        <f>MIN(AD25,AF25)</f>
        <v>1117</v>
      </c>
      <c r="AJ25" s="4">
        <f>MAX(T25,W25)</f>
        <v>700</v>
      </c>
      <c r="AK25" s="4">
        <f>X25</f>
        <v>1060</v>
      </c>
      <c r="AL25" s="4">
        <f>(AH25+AJ25)</f>
        <v>1615</v>
      </c>
      <c r="AM25" s="4">
        <f>(AI25+AK25)</f>
        <v>2177</v>
      </c>
      <c r="AN25" s="4">
        <f>(N25+535+O25/2+Q25+85)</f>
        <v>1935</v>
      </c>
      <c r="AO25" s="4">
        <v>3520</v>
      </c>
    </row>
    <row r="26" spans="1:41" s="2" customFormat="1" x14ac:dyDescent="0.2">
      <c r="A26">
        <f t="shared" si="1"/>
        <v>25</v>
      </c>
      <c r="B26" t="s">
        <v>13</v>
      </c>
      <c r="C26">
        <v>1</v>
      </c>
      <c r="D26" t="s">
        <v>12</v>
      </c>
      <c r="E26" s="10">
        <v>1</v>
      </c>
      <c r="F26" t="s">
        <v>10</v>
      </c>
      <c r="G26">
        <v>1000</v>
      </c>
      <c r="H26" s="2">
        <f t="shared" si="2"/>
        <v>555</v>
      </c>
      <c r="I26" s="2">
        <f t="shared" si="3"/>
        <v>150</v>
      </c>
      <c r="J26" s="4" t="s">
        <v>18</v>
      </c>
      <c r="K26" s="4">
        <v>30</v>
      </c>
      <c r="L26" s="2">
        <v>1100</v>
      </c>
      <c r="M26" s="4">
        <v>1400</v>
      </c>
      <c r="N26" s="4">
        <v>880</v>
      </c>
      <c r="O26" s="4">
        <v>780</v>
      </c>
      <c r="P26" s="4">
        <v>68</v>
      </c>
      <c r="Q26" s="4">
        <v>45</v>
      </c>
      <c r="R26" s="2" t="s">
        <v>47</v>
      </c>
      <c r="S26" s="2">
        <f t="shared" si="4"/>
        <v>1035</v>
      </c>
      <c r="T26" s="2">
        <f t="shared" si="5"/>
        <v>690</v>
      </c>
      <c r="U26" s="4"/>
      <c r="V26" s="4"/>
      <c r="W26" s="4">
        <f t="shared" si="8"/>
        <v>700</v>
      </c>
      <c r="X26" s="4">
        <f t="shared" si="9"/>
        <v>1060</v>
      </c>
      <c r="Y26" s="4"/>
      <c r="Z26"/>
      <c r="AA26" s="4"/>
      <c r="AB26" s="4"/>
      <c r="AC26" s="2">
        <f t="shared" si="21"/>
        <v>870</v>
      </c>
      <c r="AD26" s="2">
        <f t="shared" si="22"/>
        <v>1340</v>
      </c>
      <c r="AE26" s="2">
        <f t="shared" si="23"/>
        <v>848</v>
      </c>
      <c r="AF26" s="2">
        <f t="shared" si="24"/>
        <v>1117</v>
      </c>
      <c r="AG26" s="2" t="s">
        <v>47</v>
      </c>
      <c r="AH26" s="4">
        <f t="shared" si="25"/>
        <v>1035</v>
      </c>
      <c r="AI26" s="4">
        <f t="shared" si="26"/>
        <v>1117</v>
      </c>
      <c r="AJ26" s="4">
        <f t="shared" si="27"/>
        <v>700</v>
      </c>
      <c r="AK26" s="4">
        <f t="shared" si="28"/>
        <v>1060</v>
      </c>
      <c r="AL26" s="4">
        <f t="shared" si="29"/>
        <v>1735</v>
      </c>
      <c r="AM26" s="4">
        <f t="shared" si="30"/>
        <v>2177</v>
      </c>
      <c r="AN26" s="4">
        <f t="shared" si="31"/>
        <v>1935</v>
      </c>
      <c r="AO26" s="4">
        <v>3520</v>
      </c>
    </row>
    <row r="27" spans="1:41" s="2" customFormat="1" x14ac:dyDescent="0.2">
      <c r="A27">
        <f t="shared" si="1"/>
        <v>26</v>
      </c>
      <c r="B27" t="s">
        <v>13</v>
      </c>
      <c r="C27">
        <v>1</v>
      </c>
      <c r="D27" t="s">
        <v>12</v>
      </c>
      <c r="E27" s="10">
        <v>1</v>
      </c>
      <c r="F27" t="s">
        <v>11</v>
      </c>
      <c r="G27">
        <v>700</v>
      </c>
      <c r="H27" s="2">
        <f t="shared" si="2"/>
        <v>415</v>
      </c>
      <c r="I27" s="2">
        <f t="shared" si="3"/>
        <v>415</v>
      </c>
      <c r="J27" s="4" t="s">
        <v>19</v>
      </c>
      <c r="K27" s="4">
        <v>0</v>
      </c>
      <c r="L27" s="2">
        <v>1100</v>
      </c>
      <c r="M27" s="4">
        <v>1400</v>
      </c>
      <c r="N27" s="4">
        <v>880</v>
      </c>
      <c r="O27" s="4">
        <v>780</v>
      </c>
      <c r="P27" s="4">
        <v>68</v>
      </c>
      <c r="Q27" s="4">
        <v>45</v>
      </c>
      <c r="R27" s="2" t="s">
        <v>47</v>
      </c>
      <c r="S27" s="2">
        <f t="shared" si="4"/>
        <v>775</v>
      </c>
      <c r="T27" s="2">
        <f t="shared" si="5"/>
        <v>775</v>
      </c>
      <c r="U27" s="4"/>
      <c r="V27" s="4"/>
      <c r="W27" s="4">
        <f t="shared" si="8"/>
        <v>700</v>
      </c>
      <c r="X27" s="4">
        <f t="shared" si="9"/>
        <v>1060</v>
      </c>
      <c r="Y27" s="4"/>
      <c r="Z27"/>
      <c r="AA27" s="4"/>
      <c r="AB27" s="4"/>
      <c r="AC27" s="2">
        <f t="shared" si="21"/>
        <v>870</v>
      </c>
      <c r="AD27" s="2">
        <f t="shared" si="22"/>
        <v>1340</v>
      </c>
      <c r="AE27" s="2">
        <f t="shared" si="23"/>
        <v>848</v>
      </c>
      <c r="AF27" s="2">
        <f t="shared" si="24"/>
        <v>1117</v>
      </c>
      <c r="AG27" s="2" t="s">
        <v>47</v>
      </c>
      <c r="AH27" s="4">
        <f t="shared" si="25"/>
        <v>870</v>
      </c>
      <c r="AI27" s="4">
        <f t="shared" si="26"/>
        <v>1117</v>
      </c>
      <c r="AJ27" s="4">
        <f t="shared" si="27"/>
        <v>775</v>
      </c>
      <c r="AK27" s="4">
        <f t="shared" si="28"/>
        <v>1060</v>
      </c>
      <c r="AL27" s="4">
        <f t="shared" si="29"/>
        <v>1645</v>
      </c>
      <c r="AM27" s="4">
        <f t="shared" si="30"/>
        <v>2177</v>
      </c>
      <c r="AN27" s="4">
        <f t="shared" si="31"/>
        <v>1935</v>
      </c>
      <c r="AO27" s="4">
        <v>3520</v>
      </c>
    </row>
    <row r="28" spans="1:41" s="2" customFormat="1" x14ac:dyDescent="0.2">
      <c r="A28">
        <f t="shared" si="1"/>
        <v>27</v>
      </c>
      <c r="B28" t="s">
        <v>13</v>
      </c>
      <c r="C28">
        <v>1</v>
      </c>
      <c r="D28" t="s">
        <v>12</v>
      </c>
      <c r="E28" s="10">
        <v>1</v>
      </c>
      <c r="F28" t="s">
        <v>11</v>
      </c>
      <c r="G28">
        <v>800</v>
      </c>
      <c r="H28" s="2">
        <f t="shared" si="2"/>
        <v>465</v>
      </c>
      <c r="I28" s="2">
        <f t="shared" si="3"/>
        <v>465</v>
      </c>
      <c r="J28" s="4" t="s">
        <v>19</v>
      </c>
      <c r="K28" s="4">
        <v>0</v>
      </c>
      <c r="L28" s="2">
        <v>1100</v>
      </c>
      <c r="M28" s="4">
        <v>1400</v>
      </c>
      <c r="N28" s="4">
        <v>880</v>
      </c>
      <c r="O28" s="4">
        <v>780</v>
      </c>
      <c r="P28" s="4">
        <v>68</v>
      </c>
      <c r="Q28" s="4">
        <v>45</v>
      </c>
      <c r="R28" s="2" t="s">
        <v>47</v>
      </c>
      <c r="S28" s="2">
        <f t="shared" si="4"/>
        <v>875</v>
      </c>
      <c r="T28" s="2">
        <f t="shared" si="5"/>
        <v>875</v>
      </c>
      <c r="U28" s="4"/>
      <c r="V28" s="4"/>
      <c r="W28" s="4">
        <f t="shared" si="8"/>
        <v>700</v>
      </c>
      <c r="X28" s="4">
        <f t="shared" si="9"/>
        <v>1060</v>
      </c>
      <c r="Y28" s="4"/>
      <c r="Z28"/>
      <c r="AA28" s="4"/>
      <c r="AB28" s="4"/>
      <c r="AC28" s="2">
        <f t="shared" si="21"/>
        <v>870</v>
      </c>
      <c r="AD28" s="2">
        <f t="shared" si="22"/>
        <v>1340</v>
      </c>
      <c r="AE28" s="2">
        <f t="shared" si="23"/>
        <v>848</v>
      </c>
      <c r="AF28" s="2">
        <f t="shared" si="24"/>
        <v>1117</v>
      </c>
      <c r="AG28" s="2" t="s">
        <v>47</v>
      </c>
      <c r="AH28" s="4">
        <f t="shared" si="25"/>
        <v>875</v>
      </c>
      <c r="AI28" s="4">
        <f t="shared" si="26"/>
        <v>1117</v>
      </c>
      <c r="AJ28" s="4">
        <f t="shared" si="27"/>
        <v>875</v>
      </c>
      <c r="AK28" s="4">
        <f t="shared" si="28"/>
        <v>1060</v>
      </c>
      <c r="AL28" s="4">
        <f t="shared" si="29"/>
        <v>1750</v>
      </c>
      <c r="AM28" s="4">
        <f t="shared" si="30"/>
        <v>2177</v>
      </c>
      <c r="AN28" s="4">
        <f t="shared" si="31"/>
        <v>1935</v>
      </c>
      <c r="AO28" s="4">
        <v>3520</v>
      </c>
    </row>
    <row r="29" spans="1:41" s="1" customFormat="1" x14ac:dyDescent="0.2">
      <c r="A29">
        <f t="shared" si="1"/>
        <v>28</v>
      </c>
      <c r="B29" s="1" t="s">
        <v>13</v>
      </c>
      <c r="C29" s="1">
        <v>1</v>
      </c>
      <c r="D29" s="1" t="s">
        <v>12</v>
      </c>
      <c r="E29" s="11">
        <v>1</v>
      </c>
      <c r="F29" s="1" t="s">
        <v>11</v>
      </c>
      <c r="G29" s="1">
        <v>900</v>
      </c>
      <c r="H29" s="2">
        <f t="shared" si="2"/>
        <v>515</v>
      </c>
      <c r="I29" s="2">
        <f t="shared" si="3"/>
        <v>515</v>
      </c>
      <c r="J29" s="5" t="s">
        <v>19</v>
      </c>
      <c r="K29" s="5">
        <v>0</v>
      </c>
      <c r="L29" s="1">
        <v>1100</v>
      </c>
      <c r="M29" s="5">
        <v>1400</v>
      </c>
      <c r="N29" s="5">
        <v>880</v>
      </c>
      <c r="O29" s="5">
        <v>780</v>
      </c>
      <c r="P29" s="5">
        <v>68</v>
      </c>
      <c r="Q29" s="5">
        <v>45</v>
      </c>
      <c r="R29" s="2" t="s">
        <v>47</v>
      </c>
      <c r="S29" s="1">
        <f t="shared" si="4"/>
        <v>975</v>
      </c>
      <c r="T29" s="1">
        <f t="shared" si="5"/>
        <v>975</v>
      </c>
      <c r="U29" s="5"/>
      <c r="V29" s="5"/>
      <c r="W29" s="5">
        <f t="shared" si="8"/>
        <v>700</v>
      </c>
      <c r="X29" s="5">
        <f t="shared" si="9"/>
        <v>1060</v>
      </c>
      <c r="Y29" s="5"/>
      <c r="AA29" s="5"/>
      <c r="AB29" s="5"/>
      <c r="AC29" s="1">
        <f t="shared" si="21"/>
        <v>870</v>
      </c>
      <c r="AD29" s="1">
        <f t="shared" si="22"/>
        <v>1340</v>
      </c>
      <c r="AE29" s="1">
        <f t="shared" si="23"/>
        <v>848</v>
      </c>
      <c r="AF29" s="1">
        <f t="shared" si="24"/>
        <v>1117</v>
      </c>
      <c r="AG29" s="2" t="s">
        <v>47</v>
      </c>
      <c r="AH29" s="5">
        <f t="shared" si="25"/>
        <v>975</v>
      </c>
      <c r="AI29" s="5">
        <f t="shared" si="26"/>
        <v>1117</v>
      </c>
      <c r="AJ29" s="5">
        <f t="shared" si="27"/>
        <v>975</v>
      </c>
      <c r="AK29" s="5">
        <f t="shared" si="28"/>
        <v>1060</v>
      </c>
      <c r="AL29" s="5">
        <f t="shared" si="29"/>
        <v>1950</v>
      </c>
      <c r="AM29" s="5">
        <f t="shared" si="30"/>
        <v>2177</v>
      </c>
      <c r="AN29" s="5">
        <f t="shared" si="31"/>
        <v>1935</v>
      </c>
      <c r="AO29" s="4">
        <v>3520</v>
      </c>
    </row>
    <row r="30" spans="1:41" s="2" customFormat="1" x14ac:dyDescent="0.2">
      <c r="A30">
        <f t="shared" si="1"/>
        <v>29</v>
      </c>
      <c r="B30" t="s">
        <v>13</v>
      </c>
      <c r="C30">
        <v>1</v>
      </c>
      <c r="D30" t="s">
        <v>12</v>
      </c>
      <c r="E30" s="10">
        <v>1.6</v>
      </c>
      <c r="F30" t="s">
        <v>10</v>
      </c>
      <c r="G30" s="4">
        <v>700</v>
      </c>
      <c r="H30" s="2">
        <f t="shared" si="2"/>
        <v>405</v>
      </c>
      <c r="I30" s="2">
        <f t="shared" si="3"/>
        <v>150</v>
      </c>
      <c r="J30" s="4" t="s">
        <v>19</v>
      </c>
      <c r="K30" s="4">
        <v>0</v>
      </c>
      <c r="L30" s="2">
        <v>1100</v>
      </c>
      <c r="M30" s="4">
        <v>1400</v>
      </c>
      <c r="N30" s="4">
        <v>880</v>
      </c>
      <c r="O30" s="4">
        <v>780</v>
      </c>
      <c r="P30" s="4">
        <v>62</v>
      </c>
      <c r="Q30" s="4">
        <v>45</v>
      </c>
      <c r="R30" s="2" t="s">
        <v>47</v>
      </c>
      <c r="S30" s="2">
        <f t="shared" si="4"/>
        <v>765</v>
      </c>
      <c r="T30" s="2">
        <f t="shared" si="5"/>
        <v>510</v>
      </c>
      <c r="U30" s="4"/>
      <c r="V30" s="4"/>
      <c r="W30" s="4">
        <f t="shared" si="8"/>
        <v>694</v>
      </c>
      <c r="X30" s="4">
        <f t="shared" si="9"/>
        <v>1054</v>
      </c>
      <c r="Y30" s="4"/>
      <c r="AA30" s="4"/>
      <c r="AB30" s="4"/>
      <c r="AC30" s="2">
        <f t="shared" si="21"/>
        <v>870</v>
      </c>
      <c r="AD30" s="2">
        <f t="shared" si="22"/>
        <v>1340</v>
      </c>
      <c r="AE30" s="2">
        <f t="shared" si="23"/>
        <v>842</v>
      </c>
      <c r="AF30" s="2">
        <f t="shared" si="24"/>
        <v>1111</v>
      </c>
      <c r="AG30" s="2" t="s">
        <v>47</v>
      </c>
      <c r="AH30" s="4">
        <f t="shared" si="25"/>
        <v>870</v>
      </c>
      <c r="AI30" s="4">
        <f t="shared" si="26"/>
        <v>1111</v>
      </c>
      <c r="AJ30" s="4">
        <f t="shared" si="27"/>
        <v>694</v>
      </c>
      <c r="AK30" s="4">
        <f t="shared" si="28"/>
        <v>1054</v>
      </c>
      <c r="AL30" s="4">
        <f t="shared" si="29"/>
        <v>1564</v>
      </c>
      <c r="AM30" s="4">
        <f t="shared" si="30"/>
        <v>2165</v>
      </c>
      <c r="AN30" s="4">
        <f t="shared" si="31"/>
        <v>1935</v>
      </c>
      <c r="AO30" s="4">
        <v>3520</v>
      </c>
    </row>
    <row r="31" spans="1:41" s="2" customFormat="1" x14ac:dyDescent="0.2">
      <c r="A31">
        <f t="shared" si="1"/>
        <v>30</v>
      </c>
      <c r="B31" t="s">
        <v>13</v>
      </c>
      <c r="C31">
        <v>1</v>
      </c>
      <c r="D31" t="s">
        <v>12</v>
      </c>
      <c r="E31" s="10">
        <v>1.6</v>
      </c>
      <c r="F31" t="s">
        <v>10</v>
      </c>
      <c r="G31">
        <v>800</v>
      </c>
      <c r="H31" s="2">
        <f t="shared" si="2"/>
        <v>455</v>
      </c>
      <c r="I31" s="2">
        <f t="shared" si="3"/>
        <v>150</v>
      </c>
      <c r="J31" s="4" t="s">
        <v>18</v>
      </c>
      <c r="K31" s="4">
        <v>30</v>
      </c>
      <c r="L31" s="2">
        <v>1100</v>
      </c>
      <c r="M31" s="4">
        <v>1400</v>
      </c>
      <c r="N31" s="4">
        <v>880</v>
      </c>
      <c r="O31" s="4">
        <v>780</v>
      </c>
      <c r="P31" s="4">
        <v>62</v>
      </c>
      <c r="Q31" s="4">
        <v>45</v>
      </c>
      <c r="R31" s="2" t="s">
        <v>47</v>
      </c>
      <c r="S31" s="2">
        <f t="shared" si="4"/>
        <v>835</v>
      </c>
      <c r="T31" s="2">
        <f t="shared" si="5"/>
        <v>590</v>
      </c>
      <c r="U31" s="4"/>
      <c r="V31" s="4"/>
      <c r="W31" s="4">
        <f t="shared" si="8"/>
        <v>694</v>
      </c>
      <c r="X31" s="4">
        <f t="shared" si="9"/>
        <v>1054</v>
      </c>
      <c r="Y31" s="4"/>
      <c r="Z31"/>
      <c r="AA31" s="4"/>
      <c r="AB31" s="4"/>
      <c r="AC31" s="2">
        <f t="shared" si="21"/>
        <v>870</v>
      </c>
      <c r="AD31" s="2">
        <f t="shared" si="22"/>
        <v>1340</v>
      </c>
      <c r="AE31" s="2">
        <f t="shared" si="23"/>
        <v>842</v>
      </c>
      <c r="AF31" s="2">
        <f t="shared" si="24"/>
        <v>1111</v>
      </c>
      <c r="AG31" s="2" t="s">
        <v>47</v>
      </c>
      <c r="AH31" s="4">
        <f t="shared" si="25"/>
        <v>870</v>
      </c>
      <c r="AI31" s="4">
        <f t="shared" si="26"/>
        <v>1111</v>
      </c>
      <c r="AJ31" s="4">
        <f t="shared" si="27"/>
        <v>694</v>
      </c>
      <c r="AK31" s="4">
        <f t="shared" si="28"/>
        <v>1054</v>
      </c>
      <c r="AL31" s="4">
        <f t="shared" si="29"/>
        <v>1564</v>
      </c>
      <c r="AM31" s="4">
        <f t="shared" si="30"/>
        <v>2165</v>
      </c>
      <c r="AN31" s="4">
        <f t="shared" si="31"/>
        <v>1935</v>
      </c>
      <c r="AO31" s="4">
        <v>3520</v>
      </c>
    </row>
    <row r="32" spans="1:41" s="2" customFormat="1" x14ac:dyDescent="0.2">
      <c r="A32">
        <f t="shared" si="1"/>
        <v>31</v>
      </c>
      <c r="B32" t="s">
        <v>13</v>
      </c>
      <c r="C32">
        <v>1</v>
      </c>
      <c r="D32" t="s">
        <v>12</v>
      </c>
      <c r="E32" s="10">
        <v>1.6</v>
      </c>
      <c r="F32" t="s">
        <v>10</v>
      </c>
      <c r="G32">
        <v>800</v>
      </c>
      <c r="H32" s="2">
        <f t="shared" si="2"/>
        <v>455</v>
      </c>
      <c r="I32" s="2">
        <f t="shared" si="3"/>
        <v>150</v>
      </c>
      <c r="J32" s="4" t="s">
        <v>19</v>
      </c>
      <c r="K32" s="4">
        <v>0</v>
      </c>
      <c r="L32" s="2">
        <v>1100</v>
      </c>
      <c r="M32" s="4">
        <v>1400</v>
      </c>
      <c r="N32" s="4">
        <v>880</v>
      </c>
      <c r="O32" s="4">
        <v>780</v>
      </c>
      <c r="P32" s="4">
        <v>62</v>
      </c>
      <c r="Q32" s="4">
        <v>45</v>
      </c>
      <c r="R32" s="2" t="s">
        <v>47</v>
      </c>
      <c r="S32" s="2">
        <f t="shared" si="4"/>
        <v>865</v>
      </c>
      <c r="T32" s="2">
        <f t="shared" si="5"/>
        <v>560</v>
      </c>
      <c r="U32" s="4"/>
      <c r="V32" s="4"/>
      <c r="W32" s="4">
        <f t="shared" si="8"/>
        <v>694</v>
      </c>
      <c r="X32" s="4">
        <f t="shared" si="9"/>
        <v>1054</v>
      </c>
      <c r="Y32" s="4"/>
      <c r="Z32"/>
      <c r="AA32" s="4"/>
      <c r="AB32" s="4"/>
      <c r="AC32" s="2">
        <f t="shared" si="21"/>
        <v>870</v>
      </c>
      <c r="AD32" s="2">
        <f t="shared" si="22"/>
        <v>1340</v>
      </c>
      <c r="AE32" s="2">
        <f t="shared" si="23"/>
        <v>842</v>
      </c>
      <c r="AF32" s="2">
        <f t="shared" si="24"/>
        <v>1111</v>
      </c>
      <c r="AG32" s="2" t="s">
        <v>47</v>
      </c>
      <c r="AH32" s="4">
        <f t="shared" si="25"/>
        <v>870</v>
      </c>
      <c r="AI32" s="4">
        <f t="shared" si="26"/>
        <v>1111</v>
      </c>
      <c r="AJ32" s="4">
        <f t="shared" si="27"/>
        <v>694</v>
      </c>
      <c r="AK32" s="4">
        <f t="shared" si="28"/>
        <v>1054</v>
      </c>
      <c r="AL32" s="4">
        <f t="shared" si="29"/>
        <v>1564</v>
      </c>
      <c r="AM32" s="4">
        <f t="shared" si="30"/>
        <v>2165</v>
      </c>
      <c r="AN32" s="4">
        <f t="shared" si="31"/>
        <v>1935</v>
      </c>
      <c r="AO32" s="4">
        <v>3520</v>
      </c>
    </row>
    <row r="33" spans="1:41" s="2" customFormat="1" x14ac:dyDescent="0.2">
      <c r="A33">
        <f t="shared" si="1"/>
        <v>32</v>
      </c>
      <c r="B33" t="s">
        <v>13</v>
      </c>
      <c r="C33">
        <v>1</v>
      </c>
      <c r="D33" t="s">
        <v>12</v>
      </c>
      <c r="E33" s="10">
        <v>1.6</v>
      </c>
      <c r="F33" t="s">
        <v>10</v>
      </c>
      <c r="G33">
        <v>900</v>
      </c>
      <c r="H33" s="2">
        <f>G33/2+IF(F33="CLD",65,55)</f>
        <v>505</v>
      </c>
      <c r="I33" s="2">
        <f>IF(F33="CLD",G33/2+65,150)</f>
        <v>150</v>
      </c>
      <c r="J33" s="4" t="s">
        <v>18</v>
      </c>
      <c r="K33" s="4">
        <v>50</v>
      </c>
      <c r="L33" s="2">
        <v>1100</v>
      </c>
      <c r="M33" s="4">
        <v>1400</v>
      </c>
      <c r="N33" s="4">
        <v>880</v>
      </c>
      <c r="O33" s="4">
        <v>780</v>
      </c>
      <c r="P33" s="4">
        <v>62</v>
      </c>
      <c r="Q33" s="4">
        <v>45</v>
      </c>
      <c r="R33" s="2" t="s">
        <v>47</v>
      </c>
      <c r="S33" s="2">
        <f>(-K33+G33/2+H33+10)</f>
        <v>915</v>
      </c>
      <c r="T33" s="2">
        <f>(K33+G33/2+I33+10)</f>
        <v>660</v>
      </c>
      <c r="U33" s="4"/>
      <c r="V33" s="4"/>
      <c r="W33" s="4">
        <f>(L33/2+40+P33+42)</f>
        <v>694</v>
      </c>
      <c r="X33" s="4">
        <f>(L33/2+40+P33+402)</f>
        <v>1054</v>
      </c>
      <c r="Y33" s="4"/>
      <c r="Z33"/>
      <c r="AA33" s="4"/>
      <c r="AB33" s="4"/>
      <c r="AC33" s="2">
        <f t="shared" si="21"/>
        <v>870</v>
      </c>
      <c r="AD33" s="2">
        <f t="shared" si="22"/>
        <v>1340</v>
      </c>
      <c r="AE33" s="2">
        <f>(L33/2+40+P33+190)</f>
        <v>842</v>
      </c>
      <c r="AF33" s="2">
        <f>(L33/2+40+P33+459)</f>
        <v>1111</v>
      </c>
      <c r="AG33" s="2" t="s">
        <v>47</v>
      </c>
      <c r="AH33" s="4">
        <f>MAX(S33,AC33,AE33)</f>
        <v>915</v>
      </c>
      <c r="AI33" s="4">
        <f>MIN(AD33,AF33)</f>
        <v>1111</v>
      </c>
      <c r="AJ33" s="4">
        <f>MAX(T33,W33)</f>
        <v>694</v>
      </c>
      <c r="AK33" s="4">
        <f>X33</f>
        <v>1054</v>
      </c>
      <c r="AL33" s="4">
        <f>(AH33+AJ33)</f>
        <v>1609</v>
      </c>
      <c r="AM33" s="4">
        <f>(AI33+AK33)</f>
        <v>2165</v>
      </c>
      <c r="AN33" s="4">
        <f>(N33+535+O33/2+Q33+85)</f>
        <v>1935</v>
      </c>
      <c r="AO33" s="4">
        <v>3520</v>
      </c>
    </row>
    <row r="34" spans="1:41" s="2" customFormat="1" x14ac:dyDescent="0.2">
      <c r="A34">
        <f t="shared" si="1"/>
        <v>33</v>
      </c>
      <c r="B34" t="s">
        <v>13</v>
      </c>
      <c r="C34">
        <v>1</v>
      </c>
      <c r="D34" t="s">
        <v>12</v>
      </c>
      <c r="E34" s="10">
        <v>1.6</v>
      </c>
      <c r="F34" t="s">
        <v>10</v>
      </c>
      <c r="G34">
        <v>1000</v>
      </c>
      <c r="H34" s="2">
        <f t="shared" si="2"/>
        <v>555</v>
      </c>
      <c r="I34" s="2">
        <f t="shared" si="3"/>
        <v>150</v>
      </c>
      <c r="J34" s="4" t="s">
        <v>18</v>
      </c>
      <c r="K34" s="4">
        <v>30</v>
      </c>
      <c r="L34" s="2">
        <v>1100</v>
      </c>
      <c r="M34" s="4">
        <v>1400</v>
      </c>
      <c r="N34" s="4">
        <v>880</v>
      </c>
      <c r="O34" s="4">
        <v>780</v>
      </c>
      <c r="P34" s="4">
        <v>62</v>
      </c>
      <c r="Q34" s="4">
        <v>45</v>
      </c>
      <c r="R34" s="2" t="s">
        <v>47</v>
      </c>
      <c r="S34" s="2">
        <f t="shared" si="4"/>
        <v>1035</v>
      </c>
      <c r="T34" s="2">
        <f t="shared" si="5"/>
        <v>690</v>
      </c>
      <c r="U34" s="4"/>
      <c r="V34" s="4"/>
      <c r="W34" s="4">
        <f t="shared" si="8"/>
        <v>694</v>
      </c>
      <c r="X34" s="4">
        <f t="shared" si="9"/>
        <v>1054</v>
      </c>
      <c r="Y34" s="4"/>
      <c r="Z34"/>
      <c r="AA34" s="4"/>
      <c r="AB34" s="4"/>
      <c r="AC34" s="2">
        <f t="shared" si="21"/>
        <v>870</v>
      </c>
      <c r="AD34" s="2">
        <f t="shared" si="22"/>
        <v>1340</v>
      </c>
      <c r="AE34" s="2">
        <f t="shared" si="23"/>
        <v>842</v>
      </c>
      <c r="AF34" s="2">
        <f t="shared" si="24"/>
        <v>1111</v>
      </c>
      <c r="AG34" s="2" t="s">
        <v>47</v>
      </c>
      <c r="AH34" s="4">
        <f t="shared" si="25"/>
        <v>1035</v>
      </c>
      <c r="AI34" s="4">
        <f t="shared" si="26"/>
        <v>1111</v>
      </c>
      <c r="AJ34" s="4">
        <f t="shared" si="27"/>
        <v>694</v>
      </c>
      <c r="AK34" s="4">
        <f t="shared" si="28"/>
        <v>1054</v>
      </c>
      <c r="AL34" s="4">
        <f t="shared" si="29"/>
        <v>1729</v>
      </c>
      <c r="AM34" s="4">
        <f t="shared" si="30"/>
        <v>2165</v>
      </c>
      <c r="AN34" s="4">
        <f t="shared" si="31"/>
        <v>1935</v>
      </c>
      <c r="AO34" s="4">
        <v>3520</v>
      </c>
    </row>
    <row r="35" spans="1:41" s="2" customFormat="1" x14ac:dyDescent="0.2">
      <c r="A35">
        <f t="shared" si="1"/>
        <v>34</v>
      </c>
      <c r="B35" t="s">
        <v>13</v>
      </c>
      <c r="C35">
        <v>1</v>
      </c>
      <c r="D35" t="s">
        <v>12</v>
      </c>
      <c r="E35" s="10">
        <v>1.6</v>
      </c>
      <c r="F35" t="s">
        <v>11</v>
      </c>
      <c r="G35">
        <v>700</v>
      </c>
      <c r="H35" s="2">
        <f t="shared" si="2"/>
        <v>415</v>
      </c>
      <c r="I35" s="2">
        <f t="shared" si="3"/>
        <v>415</v>
      </c>
      <c r="J35" s="4" t="s">
        <v>19</v>
      </c>
      <c r="K35" s="4">
        <v>0</v>
      </c>
      <c r="L35" s="2">
        <v>1100</v>
      </c>
      <c r="M35" s="4">
        <v>1400</v>
      </c>
      <c r="N35" s="4">
        <v>880</v>
      </c>
      <c r="O35" s="4">
        <v>780</v>
      </c>
      <c r="P35" s="4">
        <v>62</v>
      </c>
      <c r="Q35" s="4">
        <v>45</v>
      </c>
      <c r="R35" s="2" t="s">
        <v>47</v>
      </c>
      <c r="S35" s="2">
        <f t="shared" si="4"/>
        <v>775</v>
      </c>
      <c r="T35" s="2">
        <f t="shared" si="5"/>
        <v>775</v>
      </c>
      <c r="U35" s="4"/>
      <c r="V35" s="4"/>
      <c r="W35" s="4">
        <f t="shared" si="8"/>
        <v>694</v>
      </c>
      <c r="X35" s="4">
        <f t="shared" si="9"/>
        <v>1054</v>
      </c>
      <c r="Y35" s="4"/>
      <c r="Z35"/>
      <c r="AA35" s="4"/>
      <c r="AB35" s="4"/>
      <c r="AC35" s="2">
        <f t="shared" si="21"/>
        <v>870</v>
      </c>
      <c r="AD35" s="2">
        <f t="shared" si="22"/>
        <v>1340</v>
      </c>
      <c r="AE35" s="2">
        <f t="shared" si="23"/>
        <v>842</v>
      </c>
      <c r="AF35" s="2">
        <f t="shared" si="24"/>
        <v>1111</v>
      </c>
      <c r="AG35" s="2" t="s">
        <v>47</v>
      </c>
      <c r="AH35" s="4">
        <f t="shared" si="25"/>
        <v>870</v>
      </c>
      <c r="AI35" s="4">
        <f t="shared" si="26"/>
        <v>1111</v>
      </c>
      <c r="AJ35" s="4">
        <f t="shared" si="27"/>
        <v>775</v>
      </c>
      <c r="AK35" s="4">
        <f t="shared" si="28"/>
        <v>1054</v>
      </c>
      <c r="AL35" s="4">
        <f t="shared" si="29"/>
        <v>1645</v>
      </c>
      <c r="AM35" s="4">
        <f t="shared" si="30"/>
        <v>2165</v>
      </c>
      <c r="AN35" s="4">
        <f t="shared" si="31"/>
        <v>1935</v>
      </c>
      <c r="AO35" s="4">
        <v>3520</v>
      </c>
    </row>
    <row r="36" spans="1:41" s="2" customFormat="1" x14ac:dyDescent="0.2">
      <c r="A36">
        <f t="shared" si="1"/>
        <v>35</v>
      </c>
      <c r="B36" t="s">
        <v>13</v>
      </c>
      <c r="C36">
        <v>1</v>
      </c>
      <c r="D36" t="s">
        <v>12</v>
      </c>
      <c r="E36" s="10">
        <v>1.6</v>
      </c>
      <c r="F36" t="s">
        <v>11</v>
      </c>
      <c r="G36">
        <v>800</v>
      </c>
      <c r="H36" s="2">
        <f t="shared" si="2"/>
        <v>465</v>
      </c>
      <c r="I36" s="2">
        <f t="shared" si="3"/>
        <v>465</v>
      </c>
      <c r="J36" s="4" t="s">
        <v>19</v>
      </c>
      <c r="K36" s="4">
        <v>0</v>
      </c>
      <c r="L36" s="2">
        <v>1100</v>
      </c>
      <c r="M36" s="4">
        <v>1400</v>
      </c>
      <c r="N36" s="4">
        <v>880</v>
      </c>
      <c r="O36" s="4">
        <v>780</v>
      </c>
      <c r="P36" s="4">
        <v>62</v>
      </c>
      <c r="Q36" s="4">
        <v>45</v>
      </c>
      <c r="R36" s="2" t="s">
        <v>47</v>
      </c>
      <c r="S36" s="2">
        <f t="shared" si="4"/>
        <v>875</v>
      </c>
      <c r="T36" s="2">
        <f t="shared" si="5"/>
        <v>875</v>
      </c>
      <c r="U36" s="4"/>
      <c r="V36" s="4"/>
      <c r="W36" s="4">
        <f t="shared" si="8"/>
        <v>694</v>
      </c>
      <c r="X36" s="4">
        <f t="shared" si="9"/>
        <v>1054</v>
      </c>
      <c r="Y36" s="4"/>
      <c r="Z36"/>
      <c r="AA36" s="4"/>
      <c r="AB36" s="4"/>
      <c r="AC36" s="2">
        <f t="shared" si="21"/>
        <v>870</v>
      </c>
      <c r="AD36" s="2">
        <f t="shared" si="22"/>
        <v>1340</v>
      </c>
      <c r="AE36" s="2">
        <f t="shared" si="23"/>
        <v>842</v>
      </c>
      <c r="AF36" s="2">
        <f t="shared" si="24"/>
        <v>1111</v>
      </c>
      <c r="AG36" s="2" t="s">
        <v>47</v>
      </c>
      <c r="AH36" s="4">
        <f t="shared" si="25"/>
        <v>875</v>
      </c>
      <c r="AI36" s="4">
        <f t="shared" si="26"/>
        <v>1111</v>
      </c>
      <c r="AJ36" s="4">
        <f t="shared" si="27"/>
        <v>875</v>
      </c>
      <c r="AK36" s="4">
        <f t="shared" si="28"/>
        <v>1054</v>
      </c>
      <c r="AL36" s="4">
        <f t="shared" si="29"/>
        <v>1750</v>
      </c>
      <c r="AM36" s="4">
        <f t="shared" si="30"/>
        <v>2165</v>
      </c>
      <c r="AN36" s="4">
        <f t="shared" si="31"/>
        <v>1935</v>
      </c>
      <c r="AO36" s="4">
        <v>3520</v>
      </c>
    </row>
    <row r="37" spans="1:41" s="1" customFormat="1" x14ac:dyDescent="0.2">
      <c r="A37">
        <f t="shared" si="1"/>
        <v>36</v>
      </c>
      <c r="B37" s="1" t="s">
        <v>13</v>
      </c>
      <c r="C37" s="1">
        <v>1</v>
      </c>
      <c r="D37" s="1" t="s">
        <v>12</v>
      </c>
      <c r="E37" s="11">
        <v>1.6</v>
      </c>
      <c r="F37" s="1" t="s">
        <v>11</v>
      </c>
      <c r="G37" s="1">
        <v>900</v>
      </c>
      <c r="H37" s="2">
        <f t="shared" si="2"/>
        <v>515</v>
      </c>
      <c r="I37" s="2">
        <f t="shared" si="3"/>
        <v>515</v>
      </c>
      <c r="J37" s="5" t="s">
        <v>19</v>
      </c>
      <c r="K37" s="5">
        <v>0</v>
      </c>
      <c r="L37" s="1">
        <v>1100</v>
      </c>
      <c r="M37" s="5">
        <v>1400</v>
      </c>
      <c r="N37" s="5">
        <v>880</v>
      </c>
      <c r="O37" s="5">
        <v>780</v>
      </c>
      <c r="P37" s="5">
        <v>62</v>
      </c>
      <c r="Q37" s="5">
        <v>45</v>
      </c>
      <c r="R37" s="2" t="s">
        <v>47</v>
      </c>
      <c r="S37" s="1">
        <f t="shared" si="4"/>
        <v>975</v>
      </c>
      <c r="T37" s="1">
        <f t="shared" si="5"/>
        <v>975</v>
      </c>
      <c r="U37" s="5"/>
      <c r="V37" s="5"/>
      <c r="W37" s="5">
        <f t="shared" si="8"/>
        <v>694</v>
      </c>
      <c r="X37" s="5">
        <f t="shared" si="9"/>
        <v>1054</v>
      </c>
      <c r="Y37" s="5"/>
      <c r="AA37" s="5"/>
      <c r="AB37" s="5"/>
      <c r="AC37" s="1">
        <f t="shared" si="21"/>
        <v>870</v>
      </c>
      <c r="AD37" s="1">
        <f t="shared" si="22"/>
        <v>1340</v>
      </c>
      <c r="AE37" s="1">
        <f t="shared" si="23"/>
        <v>842</v>
      </c>
      <c r="AF37" s="1">
        <f t="shared" si="24"/>
        <v>1111</v>
      </c>
      <c r="AG37" s="2" t="s">
        <v>47</v>
      </c>
      <c r="AH37" s="5">
        <f t="shared" si="25"/>
        <v>975</v>
      </c>
      <c r="AI37" s="5">
        <f t="shared" si="26"/>
        <v>1111</v>
      </c>
      <c r="AJ37" s="5">
        <f t="shared" si="27"/>
        <v>975</v>
      </c>
      <c r="AK37" s="5">
        <f t="shared" si="28"/>
        <v>1054</v>
      </c>
      <c r="AL37" s="5">
        <f t="shared" si="29"/>
        <v>1950</v>
      </c>
      <c r="AM37" s="5">
        <f t="shared" si="30"/>
        <v>2165</v>
      </c>
      <c r="AN37" s="5">
        <f t="shared" si="31"/>
        <v>1935</v>
      </c>
      <c r="AO37" s="4">
        <v>3520</v>
      </c>
    </row>
    <row r="38" spans="1:41" s="2" customFormat="1" x14ac:dyDescent="0.2">
      <c r="A38">
        <f t="shared" si="1"/>
        <v>37</v>
      </c>
      <c r="B38" t="s">
        <v>13</v>
      </c>
      <c r="C38">
        <v>2</v>
      </c>
      <c r="D38" t="s">
        <v>12</v>
      </c>
      <c r="E38" s="10">
        <v>1</v>
      </c>
      <c r="F38" t="s">
        <v>10</v>
      </c>
      <c r="G38" s="4">
        <v>700</v>
      </c>
      <c r="H38" s="2">
        <f t="shared" si="2"/>
        <v>405</v>
      </c>
      <c r="I38" s="2">
        <f t="shared" si="3"/>
        <v>150</v>
      </c>
      <c r="J38" s="4" t="s">
        <v>19</v>
      </c>
      <c r="K38" s="4">
        <v>0</v>
      </c>
      <c r="L38" s="2">
        <v>1100</v>
      </c>
      <c r="M38" s="4">
        <v>1400</v>
      </c>
      <c r="N38" s="4">
        <v>880</v>
      </c>
      <c r="O38" s="4">
        <v>500</v>
      </c>
      <c r="P38" s="4">
        <v>68</v>
      </c>
      <c r="Q38" s="4">
        <v>45</v>
      </c>
      <c r="R38" s="2" t="s">
        <v>47</v>
      </c>
      <c r="S38" s="2">
        <f t="shared" si="4"/>
        <v>765</v>
      </c>
      <c r="T38" s="2">
        <f t="shared" si="5"/>
        <v>510</v>
      </c>
      <c r="U38" s="4"/>
      <c r="V38" s="4"/>
      <c r="W38" s="4">
        <f t="shared" si="8"/>
        <v>700</v>
      </c>
      <c r="X38" s="4">
        <f t="shared" si="9"/>
        <v>1060</v>
      </c>
      <c r="Y38" s="4"/>
      <c r="AA38" s="4"/>
      <c r="AB38" s="4"/>
      <c r="AC38" s="2">
        <f>(750+130)</f>
        <v>880</v>
      </c>
      <c r="AD38" s="2">
        <f>(750+600)</f>
        <v>1350</v>
      </c>
      <c r="AE38" s="2">
        <f t="shared" si="23"/>
        <v>848</v>
      </c>
      <c r="AF38" s="2">
        <f t="shared" si="24"/>
        <v>1117</v>
      </c>
      <c r="AG38" s="2" t="s">
        <v>47</v>
      </c>
      <c r="AH38" s="4">
        <f t="shared" si="25"/>
        <v>880</v>
      </c>
      <c r="AI38" s="4">
        <f t="shared" si="26"/>
        <v>1117</v>
      </c>
      <c r="AJ38" s="4">
        <f t="shared" si="27"/>
        <v>700</v>
      </c>
      <c r="AK38" s="4">
        <f t="shared" si="28"/>
        <v>1060</v>
      </c>
      <c r="AL38" s="4">
        <f t="shared" si="29"/>
        <v>1580</v>
      </c>
      <c r="AM38" s="4">
        <f t="shared" si="30"/>
        <v>2177</v>
      </c>
      <c r="AN38" s="4">
        <f>(280+M38+280)</f>
        <v>1960</v>
      </c>
      <c r="AO38" s="4">
        <f>(280+M38+280)</f>
        <v>1960</v>
      </c>
    </row>
    <row r="39" spans="1:41" s="2" customFormat="1" x14ac:dyDescent="0.2">
      <c r="A39">
        <f t="shared" si="1"/>
        <v>38</v>
      </c>
      <c r="B39" t="s">
        <v>13</v>
      </c>
      <c r="C39">
        <v>2</v>
      </c>
      <c r="D39" t="s">
        <v>12</v>
      </c>
      <c r="E39" s="10">
        <v>1</v>
      </c>
      <c r="F39" t="s">
        <v>10</v>
      </c>
      <c r="G39">
        <v>800</v>
      </c>
      <c r="H39" s="2">
        <f t="shared" si="2"/>
        <v>455</v>
      </c>
      <c r="I39" s="2">
        <f t="shared" si="3"/>
        <v>150</v>
      </c>
      <c r="J39" s="4" t="s">
        <v>18</v>
      </c>
      <c r="K39" s="4">
        <v>30</v>
      </c>
      <c r="L39" s="2">
        <v>1100</v>
      </c>
      <c r="M39" s="4">
        <v>1400</v>
      </c>
      <c r="N39" s="4">
        <v>880</v>
      </c>
      <c r="O39" s="4">
        <v>500</v>
      </c>
      <c r="P39" s="4">
        <v>68</v>
      </c>
      <c r="Q39" s="4">
        <v>45</v>
      </c>
      <c r="R39" s="2" t="s">
        <v>47</v>
      </c>
      <c r="S39" s="2">
        <f t="shared" si="4"/>
        <v>835</v>
      </c>
      <c r="T39" s="2">
        <f t="shared" si="5"/>
        <v>590</v>
      </c>
      <c r="U39" s="4"/>
      <c r="V39" s="4"/>
      <c r="W39" s="4">
        <f t="shared" si="8"/>
        <v>700</v>
      </c>
      <c r="X39" s="4">
        <f t="shared" si="9"/>
        <v>1060</v>
      </c>
      <c r="Y39" s="4"/>
      <c r="Z39"/>
      <c r="AA39" s="4"/>
      <c r="AB39" s="4"/>
      <c r="AC39" s="2">
        <f t="shared" ref="AC39:AC53" si="32">(750+130)</f>
        <v>880</v>
      </c>
      <c r="AD39" s="2">
        <f t="shared" ref="AD39:AD53" si="33">(750+600)</f>
        <v>1350</v>
      </c>
      <c r="AE39" s="2">
        <f t="shared" si="23"/>
        <v>848</v>
      </c>
      <c r="AF39" s="2">
        <f t="shared" si="24"/>
        <v>1117</v>
      </c>
      <c r="AG39" s="2" t="s">
        <v>47</v>
      </c>
      <c r="AH39" s="4">
        <f t="shared" si="25"/>
        <v>880</v>
      </c>
      <c r="AI39" s="4">
        <f t="shared" si="26"/>
        <v>1117</v>
      </c>
      <c r="AJ39" s="4">
        <f t="shared" si="27"/>
        <v>700</v>
      </c>
      <c r="AK39" s="4">
        <f t="shared" si="28"/>
        <v>1060</v>
      </c>
      <c r="AL39" s="4">
        <f t="shared" si="29"/>
        <v>1580</v>
      </c>
      <c r="AM39" s="4">
        <f t="shared" si="30"/>
        <v>2177</v>
      </c>
      <c r="AN39" s="4">
        <f t="shared" ref="AN39:AN53" si="34">(280+M39+280)</f>
        <v>1960</v>
      </c>
      <c r="AO39" s="4">
        <f t="shared" ref="AO39:AO53" si="35">(280+M39+280)</f>
        <v>1960</v>
      </c>
    </row>
    <row r="40" spans="1:41" s="2" customFormat="1" x14ac:dyDescent="0.2">
      <c r="A40">
        <f t="shared" si="1"/>
        <v>39</v>
      </c>
      <c r="B40" t="s">
        <v>13</v>
      </c>
      <c r="C40">
        <v>2</v>
      </c>
      <c r="D40" t="s">
        <v>12</v>
      </c>
      <c r="E40" s="10">
        <v>1</v>
      </c>
      <c r="F40" t="s">
        <v>10</v>
      </c>
      <c r="G40">
        <v>800</v>
      </c>
      <c r="H40" s="2">
        <f t="shared" si="2"/>
        <v>455</v>
      </c>
      <c r="I40" s="2">
        <f t="shared" si="3"/>
        <v>150</v>
      </c>
      <c r="J40" s="4" t="s">
        <v>19</v>
      </c>
      <c r="K40" s="4">
        <v>0</v>
      </c>
      <c r="L40" s="2">
        <v>1100</v>
      </c>
      <c r="M40" s="4">
        <v>1400</v>
      </c>
      <c r="N40" s="4">
        <v>880</v>
      </c>
      <c r="O40" s="4">
        <v>500</v>
      </c>
      <c r="P40" s="4">
        <v>68</v>
      </c>
      <c r="Q40" s="4">
        <v>45</v>
      </c>
      <c r="R40" s="2" t="s">
        <v>47</v>
      </c>
      <c r="S40" s="2">
        <f t="shared" si="4"/>
        <v>865</v>
      </c>
      <c r="T40" s="2">
        <f t="shared" si="5"/>
        <v>560</v>
      </c>
      <c r="U40" s="4"/>
      <c r="V40" s="4"/>
      <c r="W40" s="4">
        <f t="shared" si="8"/>
        <v>700</v>
      </c>
      <c r="X40" s="4">
        <f t="shared" si="9"/>
        <v>1060</v>
      </c>
      <c r="Y40" s="4"/>
      <c r="Z40"/>
      <c r="AA40" s="4"/>
      <c r="AB40" s="4"/>
      <c r="AC40" s="2">
        <f t="shared" si="32"/>
        <v>880</v>
      </c>
      <c r="AD40" s="2">
        <f t="shared" si="33"/>
        <v>1350</v>
      </c>
      <c r="AE40" s="2">
        <f t="shared" si="23"/>
        <v>848</v>
      </c>
      <c r="AF40" s="2">
        <f t="shared" si="24"/>
        <v>1117</v>
      </c>
      <c r="AG40" s="2" t="s">
        <v>47</v>
      </c>
      <c r="AH40" s="4">
        <f t="shared" si="25"/>
        <v>880</v>
      </c>
      <c r="AI40" s="4">
        <f t="shared" si="26"/>
        <v>1117</v>
      </c>
      <c r="AJ40" s="4">
        <f t="shared" si="27"/>
        <v>700</v>
      </c>
      <c r="AK40" s="4">
        <f t="shared" si="28"/>
        <v>1060</v>
      </c>
      <c r="AL40" s="4">
        <f t="shared" si="29"/>
        <v>1580</v>
      </c>
      <c r="AM40" s="4">
        <f t="shared" si="30"/>
        <v>2177</v>
      </c>
      <c r="AN40" s="4">
        <f t="shared" si="34"/>
        <v>1960</v>
      </c>
      <c r="AO40" s="4">
        <f t="shared" si="35"/>
        <v>1960</v>
      </c>
    </row>
    <row r="41" spans="1:41" s="2" customFormat="1" x14ac:dyDescent="0.2">
      <c r="A41">
        <f t="shared" si="1"/>
        <v>40</v>
      </c>
      <c r="B41" t="s">
        <v>13</v>
      </c>
      <c r="C41">
        <v>2</v>
      </c>
      <c r="D41" t="s">
        <v>12</v>
      </c>
      <c r="E41" s="10">
        <v>1</v>
      </c>
      <c r="F41" t="s">
        <v>10</v>
      </c>
      <c r="G41">
        <v>900</v>
      </c>
      <c r="H41" s="2">
        <f>G41/2+IF(F41="CLD",65,55)</f>
        <v>505</v>
      </c>
      <c r="I41" s="2">
        <f>IF(F41="CLD",G41/2+65,150)</f>
        <v>150</v>
      </c>
      <c r="J41" s="4" t="s">
        <v>18</v>
      </c>
      <c r="K41" s="4">
        <v>50</v>
      </c>
      <c r="L41" s="2">
        <v>1100</v>
      </c>
      <c r="M41" s="4">
        <v>1400</v>
      </c>
      <c r="N41" s="4">
        <v>880</v>
      </c>
      <c r="O41" s="4">
        <v>500</v>
      </c>
      <c r="P41" s="4">
        <v>68</v>
      </c>
      <c r="Q41" s="4">
        <v>45</v>
      </c>
      <c r="R41" s="2" t="s">
        <v>47</v>
      </c>
      <c r="S41" s="2">
        <f>(-K41+G41/2+H41+10)</f>
        <v>915</v>
      </c>
      <c r="T41" s="2">
        <f>(K41+G41/2+I41+10)</f>
        <v>660</v>
      </c>
      <c r="U41" s="4"/>
      <c r="V41" s="4"/>
      <c r="W41" s="4">
        <f>(L41/2+40+P41+42)</f>
        <v>700</v>
      </c>
      <c r="X41" s="4">
        <f>(L41/2+40+P41+402)</f>
        <v>1060</v>
      </c>
      <c r="Y41" s="4"/>
      <c r="Z41"/>
      <c r="AA41" s="4"/>
      <c r="AB41" s="4"/>
      <c r="AC41" s="2">
        <f t="shared" si="32"/>
        <v>880</v>
      </c>
      <c r="AD41" s="2">
        <f t="shared" si="33"/>
        <v>1350</v>
      </c>
      <c r="AE41" s="2">
        <f>(L41/2+40+P41+190)</f>
        <v>848</v>
      </c>
      <c r="AF41" s="2">
        <f>(L41/2+40+P41+459)</f>
        <v>1117</v>
      </c>
      <c r="AG41" s="2" t="s">
        <v>47</v>
      </c>
      <c r="AH41" s="4">
        <f>MAX(S41,AC41,AE41)</f>
        <v>915</v>
      </c>
      <c r="AI41" s="4">
        <f>MIN(AD41,AF41)</f>
        <v>1117</v>
      </c>
      <c r="AJ41" s="4">
        <f>MAX(T41,W41)</f>
        <v>700</v>
      </c>
      <c r="AK41" s="4">
        <f>X41</f>
        <v>1060</v>
      </c>
      <c r="AL41" s="4">
        <f>(AH41+AJ41)</f>
        <v>1615</v>
      </c>
      <c r="AM41" s="4">
        <f>(AI41+AK41)</f>
        <v>2177</v>
      </c>
      <c r="AN41" s="4">
        <f>(280+M41+280)</f>
        <v>1960</v>
      </c>
      <c r="AO41" s="4">
        <f>(280+M41+280)</f>
        <v>1960</v>
      </c>
    </row>
    <row r="42" spans="1:41" s="2" customFormat="1" x14ac:dyDescent="0.2">
      <c r="A42">
        <f t="shared" si="1"/>
        <v>41</v>
      </c>
      <c r="B42" t="s">
        <v>13</v>
      </c>
      <c r="C42">
        <v>2</v>
      </c>
      <c r="D42" t="s">
        <v>12</v>
      </c>
      <c r="E42" s="10">
        <v>1</v>
      </c>
      <c r="F42" t="s">
        <v>10</v>
      </c>
      <c r="G42">
        <v>1000</v>
      </c>
      <c r="H42" s="2">
        <f t="shared" si="2"/>
        <v>555</v>
      </c>
      <c r="I42" s="2">
        <f t="shared" si="3"/>
        <v>150</v>
      </c>
      <c r="J42" s="4" t="s">
        <v>18</v>
      </c>
      <c r="K42" s="4">
        <v>30</v>
      </c>
      <c r="L42" s="2">
        <v>1100</v>
      </c>
      <c r="M42" s="4">
        <v>1400</v>
      </c>
      <c r="N42" s="4">
        <v>880</v>
      </c>
      <c r="O42" s="4">
        <v>500</v>
      </c>
      <c r="P42" s="4">
        <v>68</v>
      </c>
      <c r="Q42" s="4">
        <v>45</v>
      </c>
      <c r="R42" s="2" t="s">
        <v>47</v>
      </c>
      <c r="S42" s="2">
        <f t="shared" si="4"/>
        <v>1035</v>
      </c>
      <c r="T42" s="2">
        <f t="shared" si="5"/>
        <v>690</v>
      </c>
      <c r="U42" s="4"/>
      <c r="V42" s="4"/>
      <c r="W42" s="4">
        <f t="shared" si="8"/>
        <v>700</v>
      </c>
      <c r="X42" s="4">
        <f t="shared" si="9"/>
        <v>1060</v>
      </c>
      <c r="Y42" s="4"/>
      <c r="Z42"/>
      <c r="AA42" s="4"/>
      <c r="AB42" s="4"/>
      <c r="AC42" s="2">
        <f t="shared" si="32"/>
        <v>880</v>
      </c>
      <c r="AD42" s="2">
        <f t="shared" si="33"/>
        <v>1350</v>
      </c>
      <c r="AE42" s="2">
        <f t="shared" si="23"/>
        <v>848</v>
      </c>
      <c r="AF42" s="2">
        <f t="shared" si="24"/>
        <v>1117</v>
      </c>
      <c r="AG42" s="2" t="s">
        <v>47</v>
      </c>
      <c r="AH42" s="4">
        <f t="shared" si="25"/>
        <v>1035</v>
      </c>
      <c r="AI42" s="4">
        <f t="shared" si="26"/>
        <v>1117</v>
      </c>
      <c r="AJ42" s="4">
        <f t="shared" si="27"/>
        <v>700</v>
      </c>
      <c r="AK42" s="4">
        <f t="shared" si="28"/>
        <v>1060</v>
      </c>
      <c r="AL42" s="4">
        <f t="shared" si="29"/>
        <v>1735</v>
      </c>
      <c r="AM42" s="4">
        <f t="shared" si="30"/>
        <v>2177</v>
      </c>
      <c r="AN42" s="4">
        <f t="shared" si="34"/>
        <v>1960</v>
      </c>
      <c r="AO42" s="4">
        <f t="shared" si="35"/>
        <v>1960</v>
      </c>
    </row>
    <row r="43" spans="1:41" s="2" customFormat="1" x14ac:dyDescent="0.2">
      <c r="A43">
        <f t="shared" si="1"/>
        <v>42</v>
      </c>
      <c r="B43" t="s">
        <v>13</v>
      </c>
      <c r="C43">
        <v>2</v>
      </c>
      <c r="D43" t="s">
        <v>12</v>
      </c>
      <c r="E43" s="10">
        <v>1</v>
      </c>
      <c r="F43" t="s">
        <v>11</v>
      </c>
      <c r="G43">
        <v>700</v>
      </c>
      <c r="H43" s="2">
        <f t="shared" si="2"/>
        <v>415</v>
      </c>
      <c r="I43" s="2">
        <f t="shared" si="3"/>
        <v>415</v>
      </c>
      <c r="J43" s="4" t="s">
        <v>19</v>
      </c>
      <c r="K43" s="4">
        <v>0</v>
      </c>
      <c r="L43" s="2">
        <v>1100</v>
      </c>
      <c r="M43" s="4">
        <v>1400</v>
      </c>
      <c r="N43" s="4">
        <v>880</v>
      </c>
      <c r="O43" s="4">
        <v>500</v>
      </c>
      <c r="P43" s="4">
        <v>68</v>
      </c>
      <c r="Q43" s="4">
        <v>45</v>
      </c>
      <c r="R43" s="2" t="s">
        <v>47</v>
      </c>
      <c r="S43" s="2">
        <f t="shared" si="4"/>
        <v>775</v>
      </c>
      <c r="T43" s="2">
        <f t="shared" si="5"/>
        <v>775</v>
      </c>
      <c r="U43" s="4"/>
      <c r="V43" s="4"/>
      <c r="W43" s="4">
        <f t="shared" si="8"/>
        <v>700</v>
      </c>
      <c r="X43" s="4">
        <f t="shared" si="9"/>
        <v>1060</v>
      </c>
      <c r="Y43" s="4"/>
      <c r="Z43"/>
      <c r="AA43" s="4"/>
      <c r="AB43" s="4"/>
      <c r="AC43" s="2">
        <f t="shared" si="32"/>
        <v>880</v>
      </c>
      <c r="AD43" s="2">
        <f t="shared" si="33"/>
        <v>1350</v>
      </c>
      <c r="AE43" s="2">
        <f t="shared" si="23"/>
        <v>848</v>
      </c>
      <c r="AF43" s="2">
        <f t="shared" si="24"/>
        <v>1117</v>
      </c>
      <c r="AG43" s="2" t="s">
        <v>47</v>
      </c>
      <c r="AH43" s="4">
        <f t="shared" si="25"/>
        <v>880</v>
      </c>
      <c r="AI43" s="4">
        <f t="shared" si="26"/>
        <v>1117</v>
      </c>
      <c r="AJ43" s="4">
        <f t="shared" si="27"/>
        <v>775</v>
      </c>
      <c r="AK43" s="4">
        <f t="shared" si="28"/>
        <v>1060</v>
      </c>
      <c r="AL43" s="4">
        <f t="shared" si="29"/>
        <v>1655</v>
      </c>
      <c r="AM43" s="4">
        <f t="shared" si="30"/>
        <v>2177</v>
      </c>
      <c r="AN43" s="4">
        <f t="shared" si="34"/>
        <v>1960</v>
      </c>
      <c r="AO43" s="4">
        <f t="shared" si="35"/>
        <v>1960</v>
      </c>
    </row>
    <row r="44" spans="1:41" s="2" customFormat="1" x14ac:dyDescent="0.2">
      <c r="A44">
        <f t="shared" si="1"/>
        <v>43</v>
      </c>
      <c r="B44" t="s">
        <v>13</v>
      </c>
      <c r="C44">
        <v>2</v>
      </c>
      <c r="D44" t="s">
        <v>12</v>
      </c>
      <c r="E44" s="10">
        <v>1</v>
      </c>
      <c r="F44" t="s">
        <v>11</v>
      </c>
      <c r="G44">
        <v>800</v>
      </c>
      <c r="H44" s="2">
        <f t="shared" si="2"/>
        <v>465</v>
      </c>
      <c r="I44" s="2">
        <f t="shared" si="3"/>
        <v>465</v>
      </c>
      <c r="J44" s="4" t="s">
        <v>19</v>
      </c>
      <c r="K44" s="4">
        <v>0</v>
      </c>
      <c r="L44" s="2">
        <v>1100</v>
      </c>
      <c r="M44" s="4">
        <v>1400</v>
      </c>
      <c r="N44" s="4">
        <v>880</v>
      </c>
      <c r="O44" s="4">
        <v>500</v>
      </c>
      <c r="P44" s="4">
        <v>68</v>
      </c>
      <c r="Q44" s="4">
        <v>45</v>
      </c>
      <c r="R44" s="2" t="s">
        <v>47</v>
      </c>
      <c r="S44" s="2">
        <f t="shared" si="4"/>
        <v>875</v>
      </c>
      <c r="T44" s="2">
        <f t="shared" si="5"/>
        <v>875</v>
      </c>
      <c r="U44" s="4"/>
      <c r="V44" s="4"/>
      <c r="W44" s="4">
        <f t="shared" si="8"/>
        <v>700</v>
      </c>
      <c r="X44" s="4">
        <f t="shared" si="9"/>
        <v>1060</v>
      </c>
      <c r="Y44" s="4"/>
      <c r="Z44"/>
      <c r="AA44" s="4"/>
      <c r="AB44" s="4"/>
      <c r="AC44" s="2">
        <f t="shared" si="32"/>
        <v>880</v>
      </c>
      <c r="AD44" s="2">
        <f t="shared" si="33"/>
        <v>1350</v>
      </c>
      <c r="AE44" s="2">
        <f t="shared" si="23"/>
        <v>848</v>
      </c>
      <c r="AF44" s="2">
        <f t="shared" si="24"/>
        <v>1117</v>
      </c>
      <c r="AG44" s="2" t="s">
        <v>47</v>
      </c>
      <c r="AH44" s="4">
        <f t="shared" si="25"/>
        <v>880</v>
      </c>
      <c r="AI44" s="4">
        <f t="shared" si="26"/>
        <v>1117</v>
      </c>
      <c r="AJ44" s="4">
        <f t="shared" si="27"/>
        <v>875</v>
      </c>
      <c r="AK44" s="4">
        <f t="shared" si="28"/>
        <v>1060</v>
      </c>
      <c r="AL44" s="4">
        <f t="shared" si="29"/>
        <v>1755</v>
      </c>
      <c r="AM44" s="4">
        <f t="shared" si="30"/>
        <v>2177</v>
      </c>
      <c r="AN44" s="4">
        <f t="shared" si="34"/>
        <v>1960</v>
      </c>
      <c r="AO44" s="4">
        <f t="shared" si="35"/>
        <v>1960</v>
      </c>
    </row>
    <row r="45" spans="1:41" s="1" customFormat="1" x14ac:dyDescent="0.2">
      <c r="A45">
        <f t="shared" si="1"/>
        <v>44</v>
      </c>
      <c r="B45" s="1" t="s">
        <v>13</v>
      </c>
      <c r="C45" s="1">
        <v>2</v>
      </c>
      <c r="D45" s="1" t="s">
        <v>12</v>
      </c>
      <c r="E45" s="11">
        <v>1</v>
      </c>
      <c r="F45" s="1" t="s">
        <v>11</v>
      </c>
      <c r="G45" s="1">
        <v>900</v>
      </c>
      <c r="H45" s="2">
        <f t="shared" si="2"/>
        <v>515</v>
      </c>
      <c r="I45" s="2">
        <f t="shared" si="3"/>
        <v>515</v>
      </c>
      <c r="J45" s="5" t="s">
        <v>19</v>
      </c>
      <c r="K45" s="5">
        <v>0</v>
      </c>
      <c r="L45" s="1">
        <v>1100</v>
      </c>
      <c r="M45" s="5">
        <v>1400</v>
      </c>
      <c r="N45" s="5">
        <v>880</v>
      </c>
      <c r="O45" s="5">
        <v>500</v>
      </c>
      <c r="P45" s="5">
        <v>68</v>
      </c>
      <c r="Q45" s="5">
        <v>45</v>
      </c>
      <c r="R45" s="2" t="s">
        <v>47</v>
      </c>
      <c r="S45" s="2">
        <f t="shared" si="4"/>
        <v>975</v>
      </c>
      <c r="T45" s="2">
        <f t="shared" si="5"/>
        <v>975</v>
      </c>
      <c r="U45" s="5"/>
      <c r="V45" s="5"/>
      <c r="W45" s="4">
        <f t="shared" si="8"/>
        <v>700</v>
      </c>
      <c r="X45" s="4">
        <f t="shared" si="9"/>
        <v>1060</v>
      </c>
      <c r="Y45" s="5"/>
      <c r="AA45" s="5"/>
      <c r="AB45" s="5"/>
      <c r="AC45" s="2">
        <f t="shared" si="32"/>
        <v>880</v>
      </c>
      <c r="AD45" s="2">
        <f t="shared" si="33"/>
        <v>1350</v>
      </c>
      <c r="AE45" s="2">
        <f t="shared" si="23"/>
        <v>848</v>
      </c>
      <c r="AF45" s="2">
        <f t="shared" si="24"/>
        <v>1117</v>
      </c>
      <c r="AG45" s="2" t="s">
        <v>47</v>
      </c>
      <c r="AH45" s="4">
        <f t="shared" si="25"/>
        <v>975</v>
      </c>
      <c r="AI45" s="4">
        <f t="shared" si="26"/>
        <v>1117</v>
      </c>
      <c r="AJ45" s="4">
        <f t="shared" si="27"/>
        <v>975</v>
      </c>
      <c r="AK45" s="4">
        <f t="shared" si="28"/>
        <v>1060</v>
      </c>
      <c r="AL45" s="4">
        <f t="shared" si="29"/>
        <v>1950</v>
      </c>
      <c r="AM45" s="4">
        <f t="shared" si="30"/>
        <v>2177</v>
      </c>
      <c r="AN45" s="4">
        <f t="shared" si="34"/>
        <v>1960</v>
      </c>
      <c r="AO45" s="4">
        <f t="shared" si="35"/>
        <v>1960</v>
      </c>
    </row>
    <row r="46" spans="1:41" s="2" customFormat="1" x14ac:dyDescent="0.2">
      <c r="A46">
        <f t="shared" si="1"/>
        <v>45</v>
      </c>
      <c r="B46" t="s">
        <v>13</v>
      </c>
      <c r="C46">
        <v>2</v>
      </c>
      <c r="D46" t="s">
        <v>12</v>
      </c>
      <c r="E46" s="10">
        <v>1.6</v>
      </c>
      <c r="F46" t="s">
        <v>10</v>
      </c>
      <c r="G46" s="4">
        <v>700</v>
      </c>
      <c r="H46" s="2">
        <f t="shared" si="2"/>
        <v>405</v>
      </c>
      <c r="I46" s="2">
        <f t="shared" si="3"/>
        <v>150</v>
      </c>
      <c r="J46" s="4" t="s">
        <v>19</v>
      </c>
      <c r="K46" s="4">
        <v>0</v>
      </c>
      <c r="L46" s="2">
        <v>1100</v>
      </c>
      <c r="M46" s="4">
        <v>1400</v>
      </c>
      <c r="N46" s="4">
        <v>880</v>
      </c>
      <c r="O46" s="4">
        <v>500</v>
      </c>
      <c r="P46" s="4">
        <v>62</v>
      </c>
      <c r="Q46" s="4">
        <v>45</v>
      </c>
      <c r="R46" s="2" t="s">
        <v>47</v>
      </c>
      <c r="S46" s="2">
        <f t="shared" si="4"/>
        <v>765</v>
      </c>
      <c r="T46" s="2">
        <f t="shared" si="5"/>
        <v>510</v>
      </c>
      <c r="U46" s="4"/>
      <c r="V46" s="4"/>
      <c r="W46" s="4">
        <f t="shared" si="8"/>
        <v>694</v>
      </c>
      <c r="X46" s="4">
        <f t="shared" si="9"/>
        <v>1054</v>
      </c>
      <c r="Y46" s="4"/>
      <c r="AA46" s="4"/>
      <c r="AB46" s="4"/>
      <c r="AC46" s="2">
        <f t="shared" si="32"/>
        <v>880</v>
      </c>
      <c r="AD46" s="2">
        <f t="shared" si="33"/>
        <v>1350</v>
      </c>
      <c r="AE46" s="2">
        <f t="shared" si="23"/>
        <v>842</v>
      </c>
      <c r="AF46" s="2">
        <f t="shared" si="24"/>
        <v>1111</v>
      </c>
      <c r="AG46" s="2" t="s">
        <v>47</v>
      </c>
      <c r="AH46" s="4">
        <f t="shared" si="25"/>
        <v>880</v>
      </c>
      <c r="AI46" s="4">
        <f t="shared" si="26"/>
        <v>1111</v>
      </c>
      <c r="AJ46" s="4">
        <f t="shared" si="27"/>
        <v>694</v>
      </c>
      <c r="AK46" s="4">
        <f t="shared" si="28"/>
        <v>1054</v>
      </c>
      <c r="AL46" s="4">
        <f t="shared" si="29"/>
        <v>1574</v>
      </c>
      <c r="AM46" s="4">
        <f t="shared" si="30"/>
        <v>2165</v>
      </c>
      <c r="AN46" s="4">
        <f t="shared" si="34"/>
        <v>1960</v>
      </c>
      <c r="AO46" s="4">
        <f t="shared" si="35"/>
        <v>1960</v>
      </c>
    </row>
    <row r="47" spans="1:41" s="2" customFormat="1" x14ac:dyDescent="0.2">
      <c r="A47">
        <f t="shared" si="1"/>
        <v>46</v>
      </c>
      <c r="B47" t="s">
        <v>13</v>
      </c>
      <c r="C47">
        <v>2</v>
      </c>
      <c r="D47" t="s">
        <v>12</v>
      </c>
      <c r="E47" s="10">
        <v>1.6</v>
      </c>
      <c r="F47" t="s">
        <v>10</v>
      </c>
      <c r="G47">
        <v>800</v>
      </c>
      <c r="H47" s="2">
        <f t="shared" si="2"/>
        <v>455</v>
      </c>
      <c r="I47" s="2">
        <f t="shared" si="3"/>
        <v>150</v>
      </c>
      <c r="J47" s="4" t="s">
        <v>18</v>
      </c>
      <c r="K47" s="4">
        <v>30</v>
      </c>
      <c r="L47" s="2">
        <v>1100</v>
      </c>
      <c r="M47" s="4">
        <v>1400</v>
      </c>
      <c r="N47" s="4">
        <v>880</v>
      </c>
      <c r="O47" s="4">
        <v>500</v>
      </c>
      <c r="P47" s="4">
        <v>62</v>
      </c>
      <c r="Q47" s="4">
        <v>45</v>
      </c>
      <c r="R47" s="2" t="s">
        <v>47</v>
      </c>
      <c r="S47" s="2">
        <f t="shared" si="4"/>
        <v>835</v>
      </c>
      <c r="T47" s="2">
        <f t="shared" si="5"/>
        <v>590</v>
      </c>
      <c r="U47" s="4"/>
      <c r="V47" s="4"/>
      <c r="W47" s="4">
        <f t="shared" si="8"/>
        <v>694</v>
      </c>
      <c r="X47" s="4">
        <f t="shared" si="9"/>
        <v>1054</v>
      </c>
      <c r="Y47" s="4"/>
      <c r="Z47"/>
      <c r="AA47" s="4"/>
      <c r="AB47" s="4"/>
      <c r="AC47" s="2">
        <f t="shared" si="32"/>
        <v>880</v>
      </c>
      <c r="AD47" s="2">
        <f t="shared" si="33"/>
        <v>1350</v>
      </c>
      <c r="AE47" s="2">
        <f t="shared" si="23"/>
        <v>842</v>
      </c>
      <c r="AF47" s="2">
        <f t="shared" si="24"/>
        <v>1111</v>
      </c>
      <c r="AG47" s="2" t="s">
        <v>47</v>
      </c>
      <c r="AH47" s="4">
        <f t="shared" si="25"/>
        <v>880</v>
      </c>
      <c r="AI47" s="4">
        <f t="shared" si="26"/>
        <v>1111</v>
      </c>
      <c r="AJ47" s="4">
        <f t="shared" si="27"/>
        <v>694</v>
      </c>
      <c r="AK47" s="4">
        <f t="shared" si="28"/>
        <v>1054</v>
      </c>
      <c r="AL47" s="4">
        <f t="shared" si="29"/>
        <v>1574</v>
      </c>
      <c r="AM47" s="4">
        <f t="shared" si="30"/>
        <v>2165</v>
      </c>
      <c r="AN47" s="4">
        <f t="shared" si="34"/>
        <v>1960</v>
      </c>
      <c r="AO47" s="4">
        <f t="shared" si="35"/>
        <v>1960</v>
      </c>
    </row>
    <row r="48" spans="1:41" s="2" customFormat="1" x14ac:dyDescent="0.2">
      <c r="A48">
        <f t="shared" si="1"/>
        <v>47</v>
      </c>
      <c r="B48" t="s">
        <v>13</v>
      </c>
      <c r="C48">
        <v>2</v>
      </c>
      <c r="D48" t="s">
        <v>12</v>
      </c>
      <c r="E48" s="10">
        <v>1.6</v>
      </c>
      <c r="F48" t="s">
        <v>10</v>
      </c>
      <c r="G48">
        <v>800</v>
      </c>
      <c r="H48" s="2">
        <f t="shared" si="2"/>
        <v>455</v>
      </c>
      <c r="I48" s="2">
        <f t="shared" si="3"/>
        <v>150</v>
      </c>
      <c r="J48" s="4" t="s">
        <v>19</v>
      </c>
      <c r="K48" s="4">
        <v>0</v>
      </c>
      <c r="L48" s="2">
        <v>1100</v>
      </c>
      <c r="M48" s="4">
        <v>1400</v>
      </c>
      <c r="N48" s="4">
        <v>880</v>
      </c>
      <c r="O48" s="4">
        <v>500</v>
      </c>
      <c r="P48" s="4">
        <v>62</v>
      </c>
      <c r="Q48" s="4">
        <v>45</v>
      </c>
      <c r="R48" s="2" t="s">
        <v>47</v>
      </c>
      <c r="S48" s="2">
        <f t="shared" si="4"/>
        <v>865</v>
      </c>
      <c r="T48" s="2">
        <f t="shared" si="5"/>
        <v>560</v>
      </c>
      <c r="U48" s="4"/>
      <c r="V48" s="4"/>
      <c r="W48" s="4">
        <f t="shared" si="8"/>
        <v>694</v>
      </c>
      <c r="X48" s="4">
        <f t="shared" si="9"/>
        <v>1054</v>
      </c>
      <c r="Y48" s="4"/>
      <c r="Z48"/>
      <c r="AA48" s="4"/>
      <c r="AB48" s="4"/>
      <c r="AC48" s="2">
        <f t="shared" si="32"/>
        <v>880</v>
      </c>
      <c r="AD48" s="2">
        <f t="shared" si="33"/>
        <v>1350</v>
      </c>
      <c r="AE48" s="2">
        <f t="shared" si="23"/>
        <v>842</v>
      </c>
      <c r="AF48" s="2">
        <f t="shared" si="24"/>
        <v>1111</v>
      </c>
      <c r="AG48" s="2" t="s">
        <v>47</v>
      </c>
      <c r="AH48" s="4">
        <f t="shared" si="25"/>
        <v>880</v>
      </c>
      <c r="AI48" s="4">
        <f t="shared" si="26"/>
        <v>1111</v>
      </c>
      <c r="AJ48" s="4">
        <f t="shared" si="27"/>
        <v>694</v>
      </c>
      <c r="AK48" s="4">
        <f t="shared" si="28"/>
        <v>1054</v>
      </c>
      <c r="AL48" s="4">
        <f t="shared" si="29"/>
        <v>1574</v>
      </c>
      <c r="AM48" s="4">
        <f t="shared" si="30"/>
        <v>2165</v>
      </c>
      <c r="AN48" s="4">
        <f t="shared" si="34"/>
        <v>1960</v>
      </c>
      <c r="AO48" s="4">
        <f t="shared" si="35"/>
        <v>1960</v>
      </c>
    </row>
    <row r="49" spans="1:41" s="2" customFormat="1" x14ac:dyDescent="0.2">
      <c r="A49">
        <f t="shared" si="1"/>
        <v>48</v>
      </c>
      <c r="B49" t="s">
        <v>13</v>
      </c>
      <c r="C49">
        <v>2</v>
      </c>
      <c r="D49" t="s">
        <v>12</v>
      </c>
      <c r="E49" s="10">
        <v>1.6</v>
      </c>
      <c r="F49" t="s">
        <v>10</v>
      </c>
      <c r="G49">
        <v>900</v>
      </c>
      <c r="H49" s="2">
        <f>G49/2+IF(F49="CLD",65,55)</f>
        <v>505</v>
      </c>
      <c r="I49" s="2">
        <f>IF(F49="CLD",G49/2+65,150)</f>
        <v>150</v>
      </c>
      <c r="J49" s="4" t="s">
        <v>18</v>
      </c>
      <c r="K49" s="4">
        <v>50</v>
      </c>
      <c r="L49" s="2">
        <v>1100</v>
      </c>
      <c r="M49" s="4">
        <v>1400</v>
      </c>
      <c r="N49" s="4">
        <v>880</v>
      </c>
      <c r="O49" s="4">
        <v>500</v>
      </c>
      <c r="P49" s="4">
        <v>62</v>
      </c>
      <c r="Q49" s="4">
        <v>45</v>
      </c>
      <c r="R49" s="2" t="s">
        <v>47</v>
      </c>
      <c r="S49" s="2">
        <f>(-K49+G49/2+H49+10)</f>
        <v>915</v>
      </c>
      <c r="T49" s="2">
        <f>(K49+G49/2+I49+10)</f>
        <v>660</v>
      </c>
      <c r="U49" s="4"/>
      <c r="V49" s="4"/>
      <c r="W49" s="4">
        <f>(L49/2+40+P49+42)</f>
        <v>694</v>
      </c>
      <c r="X49" s="4">
        <f>(L49/2+40+P49+402)</f>
        <v>1054</v>
      </c>
      <c r="Y49" s="4"/>
      <c r="Z49"/>
      <c r="AA49" s="4"/>
      <c r="AB49" s="4"/>
      <c r="AC49" s="2">
        <f t="shared" si="32"/>
        <v>880</v>
      </c>
      <c r="AD49" s="2">
        <f t="shared" si="33"/>
        <v>1350</v>
      </c>
      <c r="AE49" s="2">
        <f>(L49/2+40+P49+190)</f>
        <v>842</v>
      </c>
      <c r="AF49" s="2">
        <f>(L49/2+40+P49+459)</f>
        <v>1111</v>
      </c>
      <c r="AG49" s="2" t="s">
        <v>47</v>
      </c>
      <c r="AH49" s="4">
        <f>MAX(S49,AC49,AE49)</f>
        <v>915</v>
      </c>
      <c r="AI49" s="4">
        <f>MIN(AD49,AF49)</f>
        <v>1111</v>
      </c>
      <c r="AJ49" s="4">
        <f>MAX(T49,W49)</f>
        <v>694</v>
      </c>
      <c r="AK49" s="4">
        <f>X49</f>
        <v>1054</v>
      </c>
      <c r="AL49" s="4">
        <f>(AH49+AJ49)</f>
        <v>1609</v>
      </c>
      <c r="AM49" s="4">
        <f>(AI49+AK49)</f>
        <v>2165</v>
      </c>
      <c r="AN49" s="4">
        <f>(280+M49+280)</f>
        <v>1960</v>
      </c>
      <c r="AO49" s="4">
        <f>(280+M49+280)</f>
        <v>1960</v>
      </c>
    </row>
    <row r="50" spans="1:41" s="2" customFormat="1" x14ac:dyDescent="0.2">
      <c r="A50">
        <f t="shared" si="1"/>
        <v>49</v>
      </c>
      <c r="B50" t="s">
        <v>13</v>
      </c>
      <c r="C50">
        <v>2</v>
      </c>
      <c r="D50" t="s">
        <v>12</v>
      </c>
      <c r="E50" s="10">
        <v>1.6</v>
      </c>
      <c r="F50" t="s">
        <v>10</v>
      </c>
      <c r="G50">
        <v>1000</v>
      </c>
      <c r="H50" s="2">
        <f t="shared" si="2"/>
        <v>555</v>
      </c>
      <c r="I50" s="2">
        <f t="shared" si="3"/>
        <v>150</v>
      </c>
      <c r="J50" s="4" t="s">
        <v>18</v>
      </c>
      <c r="K50" s="4">
        <v>30</v>
      </c>
      <c r="L50" s="2">
        <v>1100</v>
      </c>
      <c r="M50" s="4">
        <v>1400</v>
      </c>
      <c r="N50" s="4">
        <v>880</v>
      </c>
      <c r="O50" s="4">
        <v>500</v>
      </c>
      <c r="P50" s="4">
        <v>62</v>
      </c>
      <c r="Q50" s="4">
        <v>45</v>
      </c>
      <c r="R50" s="2" t="s">
        <v>47</v>
      </c>
      <c r="S50" s="2">
        <f t="shared" si="4"/>
        <v>1035</v>
      </c>
      <c r="T50" s="2">
        <f t="shared" si="5"/>
        <v>690</v>
      </c>
      <c r="U50" s="4"/>
      <c r="V50" s="4"/>
      <c r="W50" s="4">
        <f t="shared" si="8"/>
        <v>694</v>
      </c>
      <c r="X50" s="4">
        <f t="shared" si="9"/>
        <v>1054</v>
      </c>
      <c r="Y50" s="4"/>
      <c r="Z50"/>
      <c r="AA50" s="4"/>
      <c r="AB50" s="4"/>
      <c r="AC50" s="2">
        <f t="shared" si="32"/>
        <v>880</v>
      </c>
      <c r="AD50" s="2">
        <f t="shared" si="33"/>
        <v>1350</v>
      </c>
      <c r="AE50" s="2">
        <f t="shared" si="23"/>
        <v>842</v>
      </c>
      <c r="AF50" s="2">
        <f t="shared" si="24"/>
        <v>1111</v>
      </c>
      <c r="AG50" s="2" t="s">
        <v>47</v>
      </c>
      <c r="AH50" s="4">
        <f t="shared" si="25"/>
        <v>1035</v>
      </c>
      <c r="AI50" s="4">
        <f t="shared" si="26"/>
        <v>1111</v>
      </c>
      <c r="AJ50" s="4">
        <f t="shared" si="27"/>
        <v>694</v>
      </c>
      <c r="AK50" s="4">
        <f t="shared" si="28"/>
        <v>1054</v>
      </c>
      <c r="AL50" s="4">
        <f t="shared" si="29"/>
        <v>1729</v>
      </c>
      <c r="AM50" s="4">
        <f t="shared" si="30"/>
        <v>2165</v>
      </c>
      <c r="AN50" s="4">
        <f t="shared" si="34"/>
        <v>1960</v>
      </c>
      <c r="AO50" s="4">
        <f t="shared" si="35"/>
        <v>1960</v>
      </c>
    </row>
    <row r="51" spans="1:41" s="2" customFormat="1" x14ac:dyDescent="0.2">
      <c r="A51">
        <f t="shared" si="1"/>
        <v>50</v>
      </c>
      <c r="B51" t="s">
        <v>13</v>
      </c>
      <c r="C51">
        <v>2</v>
      </c>
      <c r="D51" t="s">
        <v>12</v>
      </c>
      <c r="E51" s="10">
        <v>1.6</v>
      </c>
      <c r="F51" t="s">
        <v>11</v>
      </c>
      <c r="G51">
        <v>700</v>
      </c>
      <c r="H51" s="2">
        <f t="shared" si="2"/>
        <v>415</v>
      </c>
      <c r="I51" s="2">
        <f t="shared" si="3"/>
        <v>415</v>
      </c>
      <c r="J51" s="4" t="s">
        <v>19</v>
      </c>
      <c r="K51" s="4">
        <v>0</v>
      </c>
      <c r="L51" s="2">
        <v>1100</v>
      </c>
      <c r="M51" s="4">
        <v>1400</v>
      </c>
      <c r="N51" s="4">
        <v>880</v>
      </c>
      <c r="O51" s="4">
        <v>500</v>
      </c>
      <c r="P51" s="4">
        <v>62</v>
      </c>
      <c r="Q51" s="4">
        <v>45</v>
      </c>
      <c r="R51" s="2" t="s">
        <v>47</v>
      </c>
      <c r="S51" s="2">
        <f t="shared" si="4"/>
        <v>775</v>
      </c>
      <c r="T51" s="2">
        <f t="shared" si="5"/>
        <v>775</v>
      </c>
      <c r="U51" s="4"/>
      <c r="V51" s="4"/>
      <c r="W51" s="4">
        <f t="shared" si="8"/>
        <v>694</v>
      </c>
      <c r="X51" s="4">
        <f t="shared" si="9"/>
        <v>1054</v>
      </c>
      <c r="Y51" s="4"/>
      <c r="Z51"/>
      <c r="AA51" s="4"/>
      <c r="AB51" s="4"/>
      <c r="AC51" s="2">
        <f t="shared" si="32"/>
        <v>880</v>
      </c>
      <c r="AD51" s="2">
        <f t="shared" si="33"/>
        <v>1350</v>
      </c>
      <c r="AE51" s="2">
        <f t="shared" si="23"/>
        <v>842</v>
      </c>
      <c r="AF51" s="2">
        <f t="shared" si="24"/>
        <v>1111</v>
      </c>
      <c r="AG51" s="2" t="s">
        <v>47</v>
      </c>
      <c r="AH51" s="4">
        <f t="shared" si="25"/>
        <v>880</v>
      </c>
      <c r="AI51" s="4">
        <f t="shared" si="26"/>
        <v>1111</v>
      </c>
      <c r="AJ51" s="4">
        <f t="shared" si="27"/>
        <v>775</v>
      </c>
      <c r="AK51" s="4">
        <f t="shared" si="28"/>
        <v>1054</v>
      </c>
      <c r="AL51" s="4">
        <f t="shared" si="29"/>
        <v>1655</v>
      </c>
      <c r="AM51" s="4">
        <f t="shared" si="30"/>
        <v>2165</v>
      </c>
      <c r="AN51" s="4">
        <f t="shared" si="34"/>
        <v>1960</v>
      </c>
      <c r="AO51" s="4">
        <f t="shared" si="35"/>
        <v>1960</v>
      </c>
    </row>
    <row r="52" spans="1:41" s="2" customFormat="1" x14ac:dyDescent="0.2">
      <c r="A52">
        <f t="shared" si="1"/>
        <v>51</v>
      </c>
      <c r="B52" t="s">
        <v>13</v>
      </c>
      <c r="C52">
        <v>2</v>
      </c>
      <c r="D52" t="s">
        <v>12</v>
      </c>
      <c r="E52" s="10">
        <v>1.6</v>
      </c>
      <c r="F52" t="s">
        <v>11</v>
      </c>
      <c r="G52">
        <v>800</v>
      </c>
      <c r="H52" s="2">
        <f t="shared" si="2"/>
        <v>465</v>
      </c>
      <c r="I52" s="2">
        <f t="shared" si="3"/>
        <v>465</v>
      </c>
      <c r="J52" s="4" t="s">
        <v>19</v>
      </c>
      <c r="K52" s="4">
        <v>0</v>
      </c>
      <c r="L52" s="2">
        <v>1100</v>
      </c>
      <c r="M52" s="4">
        <v>1400</v>
      </c>
      <c r="N52" s="4">
        <v>880</v>
      </c>
      <c r="O52" s="4">
        <v>500</v>
      </c>
      <c r="P52" s="4">
        <v>62</v>
      </c>
      <c r="Q52" s="4">
        <v>45</v>
      </c>
      <c r="R52" s="2" t="s">
        <v>47</v>
      </c>
      <c r="S52" s="2">
        <f t="shared" si="4"/>
        <v>875</v>
      </c>
      <c r="T52" s="2">
        <f t="shared" si="5"/>
        <v>875</v>
      </c>
      <c r="U52" s="4"/>
      <c r="V52" s="4"/>
      <c r="W52" s="4">
        <f t="shared" si="8"/>
        <v>694</v>
      </c>
      <c r="X52" s="4">
        <f t="shared" si="9"/>
        <v>1054</v>
      </c>
      <c r="Y52" s="4"/>
      <c r="Z52"/>
      <c r="AA52" s="4"/>
      <c r="AB52" s="4"/>
      <c r="AC52" s="2">
        <f t="shared" si="32"/>
        <v>880</v>
      </c>
      <c r="AD52" s="2">
        <f t="shared" si="33"/>
        <v>1350</v>
      </c>
      <c r="AE52" s="2">
        <f t="shared" si="23"/>
        <v>842</v>
      </c>
      <c r="AF52" s="2">
        <f t="shared" si="24"/>
        <v>1111</v>
      </c>
      <c r="AG52" s="2" t="s">
        <v>47</v>
      </c>
      <c r="AH52" s="4">
        <f t="shared" si="25"/>
        <v>880</v>
      </c>
      <c r="AI52" s="4">
        <f t="shared" si="26"/>
        <v>1111</v>
      </c>
      <c r="AJ52" s="4">
        <f t="shared" si="27"/>
        <v>875</v>
      </c>
      <c r="AK52" s="4">
        <f t="shared" si="28"/>
        <v>1054</v>
      </c>
      <c r="AL52" s="4">
        <f t="shared" si="29"/>
        <v>1755</v>
      </c>
      <c r="AM52" s="4">
        <f t="shared" si="30"/>
        <v>2165</v>
      </c>
      <c r="AN52" s="4">
        <f t="shared" si="34"/>
        <v>1960</v>
      </c>
      <c r="AO52" s="4">
        <f t="shared" si="35"/>
        <v>1960</v>
      </c>
    </row>
    <row r="53" spans="1:41" s="6" customFormat="1" ht="13.5" thickBot="1" x14ac:dyDescent="0.25">
      <c r="A53">
        <f t="shared" si="1"/>
        <v>52</v>
      </c>
      <c r="B53" s="6" t="s">
        <v>13</v>
      </c>
      <c r="C53" s="6">
        <v>2</v>
      </c>
      <c r="D53" s="6" t="s">
        <v>12</v>
      </c>
      <c r="E53" s="13">
        <v>1.6</v>
      </c>
      <c r="F53" s="6" t="s">
        <v>11</v>
      </c>
      <c r="G53" s="6">
        <v>900</v>
      </c>
      <c r="H53" s="6">
        <f t="shared" si="2"/>
        <v>515</v>
      </c>
      <c r="I53" s="6">
        <f t="shared" si="3"/>
        <v>515</v>
      </c>
      <c r="J53" s="7" t="s">
        <v>19</v>
      </c>
      <c r="K53" s="7">
        <v>0</v>
      </c>
      <c r="L53" s="6">
        <v>1100</v>
      </c>
      <c r="M53" s="7">
        <v>1400</v>
      </c>
      <c r="N53" s="7">
        <v>880</v>
      </c>
      <c r="O53" s="7">
        <v>500</v>
      </c>
      <c r="P53" s="7">
        <v>62</v>
      </c>
      <c r="Q53" s="7">
        <v>45</v>
      </c>
      <c r="R53" s="6" t="s">
        <v>47</v>
      </c>
      <c r="S53" s="6">
        <f t="shared" si="4"/>
        <v>975</v>
      </c>
      <c r="T53" s="6">
        <f t="shared" si="5"/>
        <v>975</v>
      </c>
      <c r="U53" s="7"/>
      <c r="V53" s="7"/>
      <c r="W53" s="7">
        <f t="shared" si="8"/>
        <v>694</v>
      </c>
      <c r="X53" s="7">
        <f t="shared" si="9"/>
        <v>1054</v>
      </c>
      <c r="Y53" s="7"/>
      <c r="AA53" s="7"/>
      <c r="AB53" s="7"/>
      <c r="AC53" s="6">
        <f t="shared" si="32"/>
        <v>880</v>
      </c>
      <c r="AD53" s="6">
        <f t="shared" si="33"/>
        <v>1350</v>
      </c>
      <c r="AE53" s="6">
        <f t="shared" si="23"/>
        <v>842</v>
      </c>
      <c r="AF53" s="6">
        <f t="shared" si="24"/>
        <v>1111</v>
      </c>
      <c r="AG53" s="6" t="s">
        <v>47</v>
      </c>
      <c r="AH53" s="7">
        <f t="shared" si="25"/>
        <v>975</v>
      </c>
      <c r="AI53" s="7">
        <f t="shared" si="26"/>
        <v>1111</v>
      </c>
      <c r="AJ53" s="7">
        <f t="shared" si="27"/>
        <v>975</v>
      </c>
      <c r="AK53" s="7">
        <f t="shared" si="28"/>
        <v>1054</v>
      </c>
      <c r="AL53" s="7">
        <f t="shared" si="29"/>
        <v>1950</v>
      </c>
      <c r="AM53" s="7">
        <f t="shared" si="30"/>
        <v>2165</v>
      </c>
      <c r="AN53" s="7">
        <f t="shared" si="34"/>
        <v>1960</v>
      </c>
      <c r="AO53" s="7">
        <f t="shared" si="35"/>
        <v>1960</v>
      </c>
    </row>
    <row r="54" spans="1:41" s="2" customFormat="1" x14ac:dyDescent="0.2">
      <c r="A54">
        <f t="shared" si="1"/>
        <v>53</v>
      </c>
      <c r="B54" s="4" t="s">
        <v>48</v>
      </c>
      <c r="C54" s="2">
        <v>1</v>
      </c>
      <c r="D54" s="2" t="s">
        <v>12</v>
      </c>
      <c r="E54" s="14">
        <v>1</v>
      </c>
      <c r="F54" s="2" t="s">
        <v>10</v>
      </c>
      <c r="G54" s="2">
        <v>1100</v>
      </c>
      <c r="H54" s="2">
        <f t="shared" ref="H54" si="36">G54/2+IF(F54="CLD",65,55)</f>
        <v>605</v>
      </c>
      <c r="I54" s="2">
        <f t="shared" ref="I54" si="37">IF(F54="CLD",G54/2+65,150)</f>
        <v>150</v>
      </c>
      <c r="J54" s="4" t="s">
        <v>18</v>
      </c>
      <c r="K54" s="4">
        <v>350</v>
      </c>
      <c r="L54" s="4">
        <v>2100</v>
      </c>
      <c r="M54" s="2">
        <v>1100</v>
      </c>
      <c r="N54" s="4">
        <v>760</v>
      </c>
      <c r="O54" s="4">
        <v>1570</v>
      </c>
      <c r="P54" s="4">
        <v>62</v>
      </c>
      <c r="Q54" s="4">
        <v>45</v>
      </c>
      <c r="R54" s="2" t="s">
        <v>47</v>
      </c>
      <c r="S54" s="2">
        <f t="shared" ref="S54" si="38">(-K54+G54/2+H54+10)</f>
        <v>815</v>
      </c>
      <c r="T54" s="2">
        <f t="shared" ref="T54" si="39">(K54+G54/2+I54+10)</f>
        <v>1060</v>
      </c>
      <c r="U54" s="4">
        <f>(L54/2+40+P54+42)</f>
        <v>1194</v>
      </c>
      <c r="V54" s="4">
        <f>(L54/2+40+P54+402)</f>
        <v>1554</v>
      </c>
      <c r="W54" s="4">
        <f t="shared" ref="W54" si="40">(L54/2+40+P54+42)</f>
        <v>1194</v>
      </c>
      <c r="X54" s="4">
        <f t="shared" ref="X54" si="41">(L54/2+40+P54+402)</f>
        <v>1554</v>
      </c>
      <c r="Y54" s="4"/>
      <c r="Z54" s="4"/>
      <c r="AA54" s="4"/>
      <c r="AB54" s="4"/>
      <c r="AG54" s="2" t="s">
        <v>47</v>
      </c>
      <c r="AH54" s="4">
        <f>MAX(S54,U54)</f>
        <v>1194</v>
      </c>
      <c r="AI54" s="4">
        <f>V54</f>
        <v>1554</v>
      </c>
      <c r="AJ54" s="4">
        <f>MAX(T54,W54)</f>
        <v>1194</v>
      </c>
      <c r="AK54" s="4">
        <f>X54</f>
        <v>1554</v>
      </c>
      <c r="AL54" s="4">
        <f>(AH54+AJ54)</f>
        <v>2388</v>
      </c>
      <c r="AM54" s="4">
        <f>(AI54+AK54)</f>
        <v>3108</v>
      </c>
      <c r="AN54" s="4">
        <f>(N54+775+130)</f>
        <v>1665</v>
      </c>
      <c r="AO54" s="4">
        <f>(N54+775+600)</f>
        <v>2135</v>
      </c>
    </row>
    <row r="55" spans="1:41" s="1" customFormat="1" x14ac:dyDescent="0.2">
      <c r="A55">
        <f t="shared" si="1"/>
        <v>54</v>
      </c>
      <c r="B55" s="5" t="s">
        <v>48</v>
      </c>
      <c r="C55" s="1">
        <v>1</v>
      </c>
      <c r="D55" s="1" t="s">
        <v>12</v>
      </c>
      <c r="E55" s="11">
        <v>1</v>
      </c>
      <c r="F55" s="1" t="s">
        <v>10</v>
      </c>
      <c r="G55" s="1">
        <v>1200</v>
      </c>
      <c r="H55" s="2">
        <f t="shared" si="2"/>
        <v>655</v>
      </c>
      <c r="I55" s="2">
        <f t="shared" si="3"/>
        <v>150</v>
      </c>
      <c r="J55" s="5" t="s">
        <v>18</v>
      </c>
      <c r="K55" s="5">
        <v>350</v>
      </c>
      <c r="L55" s="5">
        <v>2100</v>
      </c>
      <c r="M55" s="1">
        <v>1100</v>
      </c>
      <c r="N55" s="5">
        <v>760</v>
      </c>
      <c r="O55" s="5">
        <v>1570</v>
      </c>
      <c r="P55" s="5">
        <v>62</v>
      </c>
      <c r="Q55" s="5">
        <v>45</v>
      </c>
      <c r="R55" s="2" t="s">
        <v>47</v>
      </c>
      <c r="S55" s="1">
        <f t="shared" si="4"/>
        <v>915</v>
      </c>
      <c r="T55" s="1">
        <f t="shared" si="5"/>
        <v>1110</v>
      </c>
      <c r="U55" s="5">
        <f>(L55/2+40+P55+42)</f>
        <v>1194</v>
      </c>
      <c r="V55" s="5">
        <f>(L55/2+40+P55+402)</f>
        <v>1554</v>
      </c>
      <c r="W55" s="5">
        <f t="shared" si="8"/>
        <v>1194</v>
      </c>
      <c r="X55" s="5">
        <f t="shared" si="9"/>
        <v>1554</v>
      </c>
      <c r="Y55" s="5"/>
      <c r="Z55" s="5"/>
      <c r="AA55" s="5"/>
      <c r="AB55" s="5"/>
      <c r="AG55" s="2" t="s">
        <v>47</v>
      </c>
      <c r="AH55" s="5">
        <f>MAX(S55,U55)</f>
        <v>1194</v>
      </c>
      <c r="AI55" s="5">
        <f>V55</f>
        <v>1554</v>
      </c>
      <c r="AJ55" s="5">
        <f>MAX(T55,W55)</f>
        <v>1194</v>
      </c>
      <c r="AK55" s="5">
        <f>X55</f>
        <v>1554</v>
      </c>
      <c r="AL55" s="5">
        <f>(AH55+AJ55)</f>
        <v>2388</v>
      </c>
      <c r="AM55" s="5">
        <f>(AI55+AK55)</f>
        <v>3108</v>
      </c>
      <c r="AN55" s="5">
        <f>(N55+775+130)</f>
        <v>1665</v>
      </c>
      <c r="AO55" s="5">
        <f>(N55+775+600)</f>
        <v>2135</v>
      </c>
    </row>
    <row r="56" spans="1:41" s="15" customFormat="1" x14ac:dyDescent="0.2">
      <c r="A56">
        <f t="shared" si="1"/>
        <v>55</v>
      </c>
      <c r="B56" s="15" t="s">
        <v>48</v>
      </c>
      <c r="C56" s="15">
        <v>1</v>
      </c>
      <c r="D56" s="15" t="s">
        <v>12</v>
      </c>
      <c r="E56" s="16">
        <v>1.6</v>
      </c>
      <c r="F56" s="15" t="s">
        <v>10</v>
      </c>
      <c r="G56" s="15">
        <v>1100</v>
      </c>
      <c r="H56" s="2">
        <f t="shared" ref="H56" si="42">G56/2+IF(F56="CLD",65,55)</f>
        <v>605</v>
      </c>
      <c r="I56" s="2">
        <f t="shared" ref="I56" si="43">IF(F56="CLD",G56/2+65,150)</f>
        <v>150</v>
      </c>
      <c r="J56" s="15" t="s">
        <v>18</v>
      </c>
      <c r="K56" s="15">
        <v>350</v>
      </c>
      <c r="L56" s="15">
        <v>2100</v>
      </c>
      <c r="M56" s="15">
        <v>1100</v>
      </c>
      <c r="N56" s="15">
        <v>760</v>
      </c>
      <c r="O56" s="15">
        <v>1570</v>
      </c>
      <c r="P56" s="17">
        <v>62</v>
      </c>
      <c r="Q56" s="17">
        <v>45</v>
      </c>
      <c r="R56" s="2" t="s">
        <v>47</v>
      </c>
      <c r="S56" s="15">
        <f t="shared" ref="S56" si="44">(-K56+G56/2+H56+10)</f>
        <v>815</v>
      </c>
      <c r="T56" s="15">
        <f t="shared" ref="T56" si="45">(K56+G56/2+I56+10)</f>
        <v>1060</v>
      </c>
      <c r="U56" s="17">
        <f>(L56/2+40+P56+42)</f>
        <v>1194</v>
      </c>
      <c r="V56" s="17">
        <f>(L56/2+40+P56+402)</f>
        <v>1554</v>
      </c>
      <c r="W56" s="17">
        <f t="shared" ref="W56" si="46">(L56/2+40+P56+42)</f>
        <v>1194</v>
      </c>
      <c r="X56" s="17">
        <f t="shared" ref="X56" si="47">(L56/2+40+P56+402)</f>
        <v>1554</v>
      </c>
      <c r="AG56" s="2" t="s">
        <v>47</v>
      </c>
      <c r="AH56" s="17">
        <f>MAX(S56,U56)</f>
        <v>1194</v>
      </c>
      <c r="AI56" s="17">
        <f>V56</f>
        <v>1554</v>
      </c>
      <c r="AJ56" s="17">
        <f>MAX(T56,W56)</f>
        <v>1194</v>
      </c>
      <c r="AK56" s="17">
        <f>X56</f>
        <v>1554</v>
      </c>
      <c r="AL56" s="17">
        <f>(AH56+AJ56)</f>
        <v>2388</v>
      </c>
      <c r="AM56" s="17">
        <f>(AI56+AK56)</f>
        <v>3108</v>
      </c>
      <c r="AN56" s="17">
        <f>(N56+775+130)</f>
        <v>1665</v>
      </c>
      <c r="AO56" s="17">
        <f>(N56+775+600)</f>
        <v>2135</v>
      </c>
    </row>
    <row r="57" spans="1:41" s="6" customFormat="1" ht="13.5" thickBot="1" x14ac:dyDescent="0.25">
      <c r="A57">
        <f t="shared" si="1"/>
        <v>56</v>
      </c>
      <c r="B57" s="6" t="s">
        <v>48</v>
      </c>
      <c r="C57" s="6">
        <v>1</v>
      </c>
      <c r="D57" s="6" t="s">
        <v>12</v>
      </c>
      <c r="E57" s="13">
        <v>1.6</v>
      </c>
      <c r="F57" s="6" t="s">
        <v>10</v>
      </c>
      <c r="G57" s="6">
        <v>1200</v>
      </c>
      <c r="H57" s="2">
        <f t="shared" si="2"/>
        <v>655</v>
      </c>
      <c r="I57" s="2">
        <f t="shared" si="3"/>
        <v>150</v>
      </c>
      <c r="J57" s="6" t="s">
        <v>18</v>
      </c>
      <c r="K57" s="6">
        <v>350</v>
      </c>
      <c r="L57" s="6">
        <v>2100</v>
      </c>
      <c r="M57" s="6">
        <v>1100</v>
      </c>
      <c r="N57" s="6">
        <v>760</v>
      </c>
      <c r="O57" s="6">
        <v>1570</v>
      </c>
      <c r="P57" s="7">
        <v>62</v>
      </c>
      <c r="Q57" s="7">
        <v>45</v>
      </c>
      <c r="R57" s="2" t="s">
        <v>47</v>
      </c>
      <c r="S57" s="6">
        <f t="shared" si="4"/>
        <v>915</v>
      </c>
      <c r="T57" s="6">
        <f t="shared" si="5"/>
        <v>1110</v>
      </c>
      <c r="U57" s="7">
        <f>(L57/2+40+P57+42)</f>
        <v>1194</v>
      </c>
      <c r="V57" s="7">
        <f>(L57/2+40+P57+402)</f>
        <v>1554</v>
      </c>
      <c r="W57" s="7">
        <f t="shared" si="8"/>
        <v>1194</v>
      </c>
      <c r="X57" s="7">
        <f t="shared" si="9"/>
        <v>1554</v>
      </c>
      <c r="AG57" s="2" t="s">
        <v>47</v>
      </c>
      <c r="AH57" s="7">
        <f>MAX(S57,U57)</f>
        <v>1194</v>
      </c>
      <c r="AI57" s="7">
        <f>V57</f>
        <v>1554</v>
      </c>
      <c r="AJ57" s="7">
        <f>MAX(T57,W57)</f>
        <v>1194</v>
      </c>
      <c r="AK57" s="7">
        <f>X57</f>
        <v>1554</v>
      </c>
      <c r="AL57" s="7">
        <f>(AH57+AJ57)</f>
        <v>2388</v>
      </c>
      <c r="AM57" s="7">
        <f>(AI57+AK57)</f>
        <v>3108</v>
      </c>
      <c r="AN57" s="7">
        <f>(N57+775+130)</f>
        <v>1665</v>
      </c>
      <c r="AO57" s="7">
        <f>(N57+775+600)</f>
        <v>2135</v>
      </c>
    </row>
    <row r="58" spans="1:41" s="2" customFormat="1" x14ac:dyDescent="0.2">
      <c r="A58">
        <f t="shared" si="1"/>
        <v>57</v>
      </c>
      <c r="B58" t="s">
        <v>52</v>
      </c>
      <c r="C58">
        <v>1</v>
      </c>
      <c r="D58" t="s">
        <v>12</v>
      </c>
      <c r="E58" s="10">
        <v>1</v>
      </c>
      <c r="F58" t="s">
        <v>10</v>
      </c>
      <c r="G58" s="4">
        <v>700</v>
      </c>
      <c r="H58" s="2">
        <f t="shared" ref="H58:H60" si="48">G58/2+IF(F58="CLD",65,55)</f>
        <v>405</v>
      </c>
      <c r="I58" s="2">
        <f t="shared" ref="I58:I60" si="49">IF(F58="CLD",G58/2+65,150)</f>
        <v>150</v>
      </c>
      <c r="J58" s="4" t="s">
        <v>19</v>
      </c>
      <c r="K58" s="4">
        <v>0</v>
      </c>
      <c r="L58" s="2">
        <v>1100</v>
      </c>
      <c r="M58" s="4">
        <v>2100</v>
      </c>
      <c r="N58" s="4">
        <v>1200</v>
      </c>
      <c r="O58" s="4">
        <v>780</v>
      </c>
      <c r="P58" s="4">
        <v>62</v>
      </c>
      <c r="Q58" s="4">
        <v>45</v>
      </c>
      <c r="R58" s="2" t="s">
        <v>47</v>
      </c>
      <c r="S58" s="2">
        <f t="shared" ref="S58:S60" si="50">(-K58+G58/2+H58+10)</f>
        <v>765</v>
      </c>
      <c r="T58" s="2">
        <f t="shared" ref="T58:T60" si="51">(K58+G58/2+I58+10)</f>
        <v>510</v>
      </c>
      <c r="U58" s="4"/>
      <c r="V58" s="4"/>
      <c r="W58" s="4">
        <f t="shared" ref="W58:W60" si="52">(L58/2+40+P58+42)</f>
        <v>694</v>
      </c>
      <c r="X58" s="4">
        <f t="shared" ref="X58:X60" si="53">(L58/2+40+P58+402)</f>
        <v>1054</v>
      </c>
      <c r="Y58" s="4"/>
      <c r="AA58" s="4"/>
      <c r="AB58" s="4"/>
      <c r="AC58" s="2">
        <f t="shared" ref="AC58:AC77" si="54">(740+130)</f>
        <v>870</v>
      </c>
      <c r="AD58" s="2">
        <f t="shared" ref="AD58:AD77" si="55">(740+600)</f>
        <v>1340</v>
      </c>
      <c r="AE58" s="2">
        <f t="shared" ref="AE58:AE60" si="56">(L58/2+40+P58+190)</f>
        <v>842</v>
      </c>
      <c r="AF58" s="2">
        <f t="shared" ref="AF58:AF60" si="57">(L58/2+40+P58+459)</f>
        <v>1111</v>
      </c>
      <c r="AG58" s="2" t="s">
        <v>47</v>
      </c>
      <c r="AH58" s="4">
        <f t="shared" ref="AH58:AH60" si="58">MAX(S58,AC58,AE58)</f>
        <v>870</v>
      </c>
      <c r="AI58" s="4">
        <f t="shared" ref="AI58:AI60" si="59">MIN(AD58,AF58)</f>
        <v>1111</v>
      </c>
      <c r="AJ58" s="4">
        <f t="shared" ref="AJ58:AJ60" si="60">MAX(T58,W58)</f>
        <v>694</v>
      </c>
      <c r="AK58" s="4">
        <f t="shared" ref="AK58:AK60" si="61">X58</f>
        <v>1054</v>
      </c>
      <c r="AL58" s="4">
        <f t="shared" ref="AL58:AL60" si="62">(AH58+AJ58)</f>
        <v>1564</v>
      </c>
      <c r="AM58" s="4">
        <f t="shared" ref="AM58:AM60" si="63">(AI58+AK58)</f>
        <v>2165</v>
      </c>
      <c r="AN58" s="4">
        <f>(280+M58+25+25)</f>
        <v>2430</v>
      </c>
      <c r="AO58" s="4">
        <v>3520</v>
      </c>
    </row>
    <row r="59" spans="1:41" s="2" customFormat="1" x14ac:dyDescent="0.2">
      <c r="A59">
        <f t="shared" si="1"/>
        <v>58</v>
      </c>
      <c r="B59" t="s">
        <v>52</v>
      </c>
      <c r="C59">
        <v>1</v>
      </c>
      <c r="D59" t="s">
        <v>12</v>
      </c>
      <c r="E59" s="10">
        <v>1</v>
      </c>
      <c r="F59" t="s">
        <v>10</v>
      </c>
      <c r="G59">
        <v>800</v>
      </c>
      <c r="H59" s="2">
        <f t="shared" si="48"/>
        <v>455</v>
      </c>
      <c r="I59" s="2">
        <f t="shared" si="49"/>
        <v>150</v>
      </c>
      <c r="J59" s="4" t="s">
        <v>18</v>
      </c>
      <c r="K59" s="4">
        <v>30</v>
      </c>
      <c r="L59" s="2">
        <v>1100</v>
      </c>
      <c r="M59" s="4">
        <v>2100</v>
      </c>
      <c r="N59" s="4">
        <v>1200</v>
      </c>
      <c r="O59" s="4">
        <v>780</v>
      </c>
      <c r="P59" s="4">
        <v>62</v>
      </c>
      <c r="Q59" s="4">
        <v>45</v>
      </c>
      <c r="R59" s="2" t="s">
        <v>47</v>
      </c>
      <c r="S59" s="2">
        <f t="shared" si="50"/>
        <v>835</v>
      </c>
      <c r="T59" s="2">
        <f t="shared" si="51"/>
        <v>590</v>
      </c>
      <c r="U59" s="4"/>
      <c r="V59" s="4"/>
      <c r="W59" s="4">
        <f t="shared" si="52"/>
        <v>694</v>
      </c>
      <c r="X59" s="4">
        <f t="shared" si="53"/>
        <v>1054</v>
      </c>
      <c r="Y59" s="4"/>
      <c r="Z59"/>
      <c r="AA59" s="4"/>
      <c r="AB59" s="4"/>
      <c r="AC59" s="2">
        <f t="shared" si="54"/>
        <v>870</v>
      </c>
      <c r="AD59" s="2">
        <f t="shared" si="55"/>
        <v>1340</v>
      </c>
      <c r="AE59" s="2">
        <f t="shared" si="56"/>
        <v>842</v>
      </c>
      <c r="AF59" s="2">
        <f t="shared" si="57"/>
        <v>1111</v>
      </c>
      <c r="AG59" s="2" t="s">
        <v>47</v>
      </c>
      <c r="AH59" s="4">
        <f t="shared" si="58"/>
        <v>870</v>
      </c>
      <c r="AI59" s="4">
        <f t="shared" si="59"/>
        <v>1111</v>
      </c>
      <c r="AJ59" s="4">
        <f t="shared" si="60"/>
        <v>694</v>
      </c>
      <c r="AK59" s="4">
        <f t="shared" si="61"/>
        <v>1054</v>
      </c>
      <c r="AL59" s="4">
        <f t="shared" si="62"/>
        <v>1564</v>
      </c>
      <c r="AM59" s="4">
        <f t="shared" si="63"/>
        <v>2165</v>
      </c>
      <c r="AN59" s="4">
        <f t="shared" ref="AN59:AN60" si="64">(280+M59+25+25)</f>
        <v>2430</v>
      </c>
      <c r="AO59" s="4">
        <v>3520</v>
      </c>
    </row>
    <row r="60" spans="1:41" s="2" customFormat="1" x14ac:dyDescent="0.2">
      <c r="A60">
        <f t="shared" si="1"/>
        <v>59</v>
      </c>
      <c r="B60" t="s">
        <v>52</v>
      </c>
      <c r="C60">
        <v>1</v>
      </c>
      <c r="D60" t="s">
        <v>12</v>
      </c>
      <c r="E60" s="10">
        <v>1</v>
      </c>
      <c r="F60" t="s">
        <v>10</v>
      </c>
      <c r="G60">
        <v>800</v>
      </c>
      <c r="H60" s="2">
        <f t="shared" si="48"/>
        <v>455</v>
      </c>
      <c r="I60" s="2">
        <f t="shared" si="49"/>
        <v>150</v>
      </c>
      <c r="J60" s="4" t="s">
        <v>19</v>
      </c>
      <c r="K60" s="4">
        <v>0</v>
      </c>
      <c r="L60" s="2">
        <v>1100</v>
      </c>
      <c r="M60" s="4">
        <v>2100</v>
      </c>
      <c r="N60" s="4">
        <v>1200</v>
      </c>
      <c r="O60" s="4">
        <v>780</v>
      </c>
      <c r="P60" s="4">
        <v>62</v>
      </c>
      <c r="Q60" s="4">
        <v>45</v>
      </c>
      <c r="R60" s="2" t="s">
        <v>47</v>
      </c>
      <c r="S60" s="2">
        <f t="shared" si="50"/>
        <v>865</v>
      </c>
      <c r="T60" s="2">
        <f t="shared" si="51"/>
        <v>560</v>
      </c>
      <c r="U60" s="4"/>
      <c r="V60" s="4"/>
      <c r="W60" s="4">
        <f t="shared" si="52"/>
        <v>694</v>
      </c>
      <c r="X60" s="4">
        <f t="shared" si="53"/>
        <v>1054</v>
      </c>
      <c r="Y60" s="4"/>
      <c r="Z60"/>
      <c r="AA60" s="4"/>
      <c r="AB60" s="4"/>
      <c r="AC60" s="2">
        <f t="shared" si="54"/>
        <v>870</v>
      </c>
      <c r="AD60" s="2">
        <f t="shared" si="55"/>
        <v>1340</v>
      </c>
      <c r="AE60" s="2">
        <f t="shared" si="56"/>
        <v>842</v>
      </c>
      <c r="AF60" s="2">
        <f t="shared" si="57"/>
        <v>1111</v>
      </c>
      <c r="AG60" s="2" t="s">
        <v>47</v>
      </c>
      <c r="AH60" s="4">
        <f t="shared" si="58"/>
        <v>870</v>
      </c>
      <c r="AI60" s="4">
        <f t="shared" si="59"/>
        <v>1111</v>
      </c>
      <c r="AJ60" s="4">
        <f t="shared" si="60"/>
        <v>694</v>
      </c>
      <c r="AK60" s="4">
        <f t="shared" si="61"/>
        <v>1054</v>
      </c>
      <c r="AL60" s="4">
        <f t="shared" si="62"/>
        <v>1564</v>
      </c>
      <c r="AM60" s="4">
        <f t="shared" si="63"/>
        <v>2165</v>
      </c>
      <c r="AN60" s="4">
        <f t="shared" si="64"/>
        <v>2430</v>
      </c>
      <c r="AO60" s="4">
        <v>3520</v>
      </c>
    </row>
    <row r="61" spans="1:41" s="2" customFormat="1" x14ac:dyDescent="0.2">
      <c r="A61">
        <f t="shared" si="1"/>
        <v>60</v>
      </c>
      <c r="B61" t="s">
        <v>52</v>
      </c>
      <c r="C61">
        <v>1</v>
      </c>
      <c r="D61" t="s">
        <v>12</v>
      </c>
      <c r="E61" s="10">
        <v>1</v>
      </c>
      <c r="F61" t="s">
        <v>10</v>
      </c>
      <c r="G61">
        <v>900</v>
      </c>
      <c r="H61" s="2">
        <f>G61/2+IF(F61="CLD",65,55)</f>
        <v>505</v>
      </c>
      <c r="I61" s="2">
        <f>IF(F61="CLD",G61/2+65,150)</f>
        <v>150</v>
      </c>
      <c r="J61" s="4" t="s">
        <v>18</v>
      </c>
      <c r="K61" s="4">
        <v>50</v>
      </c>
      <c r="L61" s="2">
        <v>1100</v>
      </c>
      <c r="M61" s="4">
        <v>2100</v>
      </c>
      <c r="N61" s="4">
        <v>1200</v>
      </c>
      <c r="O61" s="4">
        <v>780</v>
      </c>
      <c r="P61" s="4">
        <v>62</v>
      </c>
      <c r="Q61" s="4">
        <v>45</v>
      </c>
      <c r="R61" s="2" t="s">
        <v>47</v>
      </c>
      <c r="S61" s="2">
        <f>(-K61+G61/2+H61+10)</f>
        <v>915</v>
      </c>
      <c r="T61" s="2">
        <f>(K61+G61/2+I61+10)</f>
        <v>660</v>
      </c>
      <c r="U61" s="4"/>
      <c r="V61" s="4"/>
      <c r="W61" s="4">
        <f>(L61/2+40+P61+42)</f>
        <v>694</v>
      </c>
      <c r="X61" s="4">
        <f>(L61/2+40+P61+402)</f>
        <v>1054</v>
      </c>
      <c r="Y61" s="4"/>
      <c r="Z61"/>
      <c r="AA61" s="4"/>
      <c r="AB61" s="4"/>
      <c r="AC61" s="2">
        <f t="shared" si="54"/>
        <v>870</v>
      </c>
      <c r="AD61" s="2">
        <f t="shared" si="55"/>
        <v>1340</v>
      </c>
      <c r="AE61" s="2">
        <f>(L61/2+40+P61+190)</f>
        <v>842</v>
      </c>
      <c r="AF61" s="2">
        <f>(L61/2+40+P61+459)</f>
        <v>1111</v>
      </c>
      <c r="AG61" s="2" t="s">
        <v>47</v>
      </c>
      <c r="AH61" s="4">
        <f>MAX(S61,AC61,AE61)</f>
        <v>915</v>
      </c>
      <c r="AI61" s="4">
        <f>MIN(AD61,AF61)</f>
        <v>1111</v>
      </c>
      <c r="AJ61" s="4">
        <f>MAX(T61,W61)</f>
        <v>694</v>
      </c>
      <c r="AK61" s="4">
        <f>X61</f>
        <v>1054</v>
      </c>
      <c r="AL61" s="4">
        <f>(AH61+AJ61)</f>
        <v>1609</v>
      </c>
      <c r="AM61" s="4">
        <f>(AI61+AK61)</f>
        <v>2165</v>
      </c>
      <c r="AN61" s="4">
        <f>(280+M61+25+25)</f>
        <v>2430</v>
      </c>
      <c r="AO61" s="4">
        <v>3520</v>
      </c>
    </row>
    <row r="62" spans="1:41" s="1" customFormat="1" x14ac:dyDescent="0.2">
      <c r="A62">
        <f t="shared" si="1"/>
        <v>61</v>
      </c>
      <c r="B62" s="1" t="s">
        <v>52</v>
      </c>
      <c r="C62" s="1">
        <v>1</v>
      </c>
      <c r="D62" s="1" t="s">
        <v>12</v>
      </c>
      <c r="E62" s="11">
        <v>1</v>
      </c>
      <c r="F62" s="1" t="s">
        <v>10</v>
      </c>
      <c r="G62" s="1">
        <v>1000</v>
      </c>
      <c r="H62" s="1">
        <f t="shared" ref="H62:H65" si="65">G62/2+IF(F62="CLD",65,55)</f>
        <v>555</v>
      </c>
      <c r="I62" s="1">
        <f t="shared" ref="I62:I65" si="66">IF(F62="CLD",G62/2+65,150)</f>
        <v>150</v>
      </c>
      <c r="J62" s="5" t="s">
        <v>18</v>
      </c>
      <c r="K62" s="5">
        <v>30</v>
      </c>
      <c r="L62" s="1">
        <v>1100</v>
      </c>
      <c r="M62" s="5">
        <v>2100</v>
      </c>
      <c r="N62" s="5">
        <v>1200</v>
      </c>
      <c r="O62" s="5">
        <v>780</v>
      </c>
      <c r="P62" s="5">
        <v>62</v>
      </c>
      <c r="Q62" s="5">
        <v>45</v>
      </c>
      <c r="R62" s="1" t="s">
        <v>47</v>
      </c>
      <c r="S62" s="1">
        <f t="shared" ref="S62:S65" si="67">(-K62+G62/2+H62+10)</f>
        <v>1035</v>
      </c>
      <c r="T62" s="1">
        <f t="shared" ref="T62:T65" si="68">(K62+G62/2+I62+10)</f>
        <v>690</v>
      </c>
      <c r="U62" s="5"/>
      <c r="V62" s="5"/>
      <c r="W62" s="5">
        <f t="shared" ref="W62:W65" si="69">(L62/2+40+P62+42)</f>
        <v>694</v>
      </c>
      <c r="X62" s="5">
        <f t="shared" ref="X62:X65" si="70">(L62/2+40+P62+402)</f>
        <v>1054</v>
      </c>
      <c r="Y62" s="5"/>
      <c r="AA62" s="5"/>
      <c r="AB62" s="5"/>
      <c r="AC62" s="1">
        <f t="shared" si="54"/>
        <v>870</v>
      </c>
      <c r="AD62" s="1">
        <f t="shared" si="55"/>
        <v>1340</v>
      </c>
      <c r="AE62" s="1">
        <f t="shared" ref="AE62:AE65" si="71">(L62/2+40+P62+190)</f>
        <v>842</v>
      </c>
      <c r="AF62" s="1">
        <f t="shared" ref="AF62:AF65" si="72">(L62/2+40+P62+459)</f>
        <v>1111</v>
      </c>
      <c r="AG62" s="1" t="s">
        <v>47</v>
      </c>
      <c r="AH62" s="5">
        <f t="shared" ref="AH62:AH65" si="73">MAX(S62,AC62,AE62)</f>
        <v>1035</v>
      </c>
      <c r="AI62" s="5">
        <f t="shared" ref="AI62:AI65" si="74">MIN(AD62,AF62)</f>
        <v>1111</v>
      </c>
      <c r="AJ62" s="5">
        <f t="shared" ref="AJ62:AJ65" si="75">MAX(T62,W62)</f>
        <v>694</v>
      </c>
      <c r="AK62" s="5">
        <f t="shared" ref="AK62:AK65" si="76">X62</f>
        <v>1054</v>
      </c>
      <c r="AL62" s="5">
        <f t="shared" ref="AL62:AL65" si="77">(AH62+AJ62)</f>
        <v>1729</v>
      </c>
      <c r="AM62" s="5">
        <f t="shared" ref="AM62:AM65" si="78">(AI62+AK62)</f>
        <v>2165</v>
      </c>
      <c r="AN62" s="5">
        <f t="shared" ref="AN62:AN65" si="79">(280+M62+25+25)</f>
        <v>2430</v>
      </c>
      <c r="AO62" s="5">
        <v>3520</v>
      </c>
    </row>
    <row r="63" spans="1:41" s="2" customFormat="1" x14ac:dyDescent="0.2">
      <c r="A63">
        <f t="shared" si="1"/>
        <v>62</v>
      </c>
      <c r="B63" t="s">
        <v>52</v>
      </c>
      <c r="C63">
        <v>1</v>
      </c>
      <c r="D63" t="s">
        <v>12</v>
      </c>
      <c r="E63" s="10">
        <v>1.6</v>
      </c>
      <c r="F63" t="s">
        <v>10</v>
      </c>
      <c r="G63" s="4">
        <v>700</v>
      </c>
      <c r="H63" s="2">
        <f t="shared" si="65"/>
        <v>405</v>
      </c>
      <c r="I63" s="2">
        <f t="shared" si="66"/>
        <v>150</v>
      </c>
      <c r="J63" s="4" t="s">
        <v>19</v>
      </c>
      <c r="K63" s="4">
        <v>0</v>
      </c>
      <c r="L63" s="2">
        <v>1100</v>
      </c>
      <c r="M63" s="4">
        <v>2100</v>
      </c>
      <c r="N63" s="4">
        <v>1200</v>
      </c>
      <c r="O63" s="4">
        <v>780</v>
      </c>
      <c r="P63" s="4">
        <v>62</v>
      </c>
      <c r="Q63" s="4">
        <v>45</v>
      </c>
      <c r="R63" s="2" t="s">
        <v>47</v>
      </c>
      <c r="S63" s="2">
        <f t="shared" si="67"/>
        <v>765</v>
      </c>
      <c r="T63" s="2">
        <f t="shared" si="68"/>
        <v>510</v>
      </c>
      <c r="U63" s="4"/>
      <c r="V63" s="4"/>
      <c r="W63" s="4">
        <f t="shared" si="69"/>
        <v>694</v>
      </c>
      <c r="X63" s="4">
        <f t="shared" si="70"/>
        <v>1054</v>
      </c>
      <c r="Y63" s="4"/>
      <c r="AA63" s="4"/>
      <c r="AB63" s="4"/>
      <c r="AC63" s="2">
        <f t="shared" si="54"/>
        <v>870</v>
      </c>
      <c r="AD63" s="2">
        <f t="shared" si="55"/>
        <v>1340</v>
      </c>
      <c r="AE63" s="2">
        <f t="shared" si="71"/>
        <v>842</v>
      </c>
      <c r="AF63" s="2">
        <f t="shared" si="72"/>
        <v>1111</v>
      </c>
      <c r="AG63" s="2" t="s">
        <v>47</v>
      </c>
      <c r="AH63" s="4">
        <f t="shared" si="73"/>
        <v>870</v>
      </c>
      <c r="AI63" s="4">
        <f t="shared" si="74"/>
        <v>1111</v>
      </c>
      <c r="AJ63" s="4">
        <f t="shared" si="75"/>
        <v>694</v>
      </c>
      <c r="AK63" s="4">
        <f t="shared" si="76"/>
        <v>1054</v>
      </c>
      <c r="AL63" s="4">
        <f t="shared" si="77"/>
        <v>1564</v>
      </c>
      <c r="AM63" s="4">
        <f t="shared" si="78"/>
        <v>2165</v>
      </c>
      <c r="AN63" s="4">
        <f t="shared" si="79"/>
        <v>2430</v>
      </c>
      <c r="AO63" s="4">
        <v>3520</v>
      </c>
    </row>
    <row r="64" spans="1:41" s="2" customFormat="1" x14ac:dyDescent="0.2">
      <c r="A64">
        <f t="shared" si="1"/>
        <v>63</v>
      </c>
      <c r="B64" t="s">
        <v>52</v>
      </c>
      <c r="C64">
        <v>1</v>
      </c>
      <c r="D64" t="s">
        <v>12</v>
      </c>
      <c r="E64" s="10">
        <v>1.6</v>
      </c>
      <c r="F64" t="s">
        <v>10</v>
      </c>
      <c r="G64">
        <v>800</v>
      </c>
      <c r="H64" s="2">
        <f t="shared" si="65"/>
        <v>455</v>
      </c>
      <c r="I64" s="2">
        <f t="shared" si="66"/>
        <v>150</v>
      </c>
      <c r="J64" s="4" t="s">
        <v>18</v>
      </c>
      <c r="K64" s="4">
        <v>30</v>
      </c>
      <c r="L64" s="2">
        <v>1100</v>
      </c>
      <c r="M64" s="4">
        <v>2100</v>
      </c>
      <c r="N64" s="4">
        <v>1200</v>
      </c>
      <c r="O64" s="4">
        <v>780</v>
      </c>
      <c r="P64" s="4">
        <v>62</v>
      </c>
      <c r="Q64" s="4">
        <v>45</v>
      </c>
      <c r="R64" s="2" t="s">
        <v>47</v>
      </c>
      <c r="S64" s="2">
        <f t="shared" si="67"/>
        <v>835</v>
      </c>
      <c r="T64" s="2">
        <f t="shared" si="68"/>
        <v>590</v>
      </c>
      <c r="U64" s="4"/>
      <c r="V64" s="4"/>
      <c r="W64" s="4">
        <f t="shared" si="69"/>
        <v>694</v>
      </c>
      <c r="X64" s="4">
        <f t="shared" si="70"/>
        <v>1054</v>
      </c>
      <c r="Y64" s="4"/>
      <c r="Z64"/>
      <c r="AA64" s="4"/>
      <c r="AB64" s="4"/>
      <c r="AC64" s="2">
        <f t="shared" si="54"/>
        <v>870</v>
      </c>
      <c r="AD64" s="2">
        <f t="shared" si="55"/>
        <v>1340</v>
      </c>
      <c r="AE64" s="2">
        <f t="shared" si="71"/>
        <v>842</v>
      </c>
      <c r="AF64" s="2">
        <f t="shared" si="72"/>
        <v>1111</v>
      </c>
      <c r="AG64" s="2" t="s">
        <v>47</v>
      </c>
      <c r="AH64" s="4">
        <f t="shared" si="73"/>
        <v>870</v>
      </c>
      <c r="AI64" s="4">
        <f t="shared" si="74"/>
        <v>1111</v>
      </c>
      <c r="AJ64" s="4">
        <f t="shared" si="75"/>
        <v>694</v>
      </c>
      <c r="AK64" s="4">
        <f t="shared" si="76"/>
        <v>1054</v>
      </c>
      <c r="AL64" s="4">
        <f t="shared" si="77"/>
        <v>1564</v>
      </c>
      <c r="AM64" s="4">
        <f t="shared" si="78"/>
        <v>2165</v>
      </c>
      <c r="AN64" s="4">
        <f t="shared" si="79"/>
        <v>2430</v>
      </c>
      <c r="AO64" s="4">
        <v>3520</v>
      </c>
    </row>
    <row r="65" spans="1:41" s="2" customFormat="1" x14ac:dyDescent="0.2">
      <c r="A65">
        <f t="shared" si="1"/>
        <v>64</v>
      </c>
      <c r="B65" t="s">
        <v>52</v>
      </c>
      <c r="C65">
        <v>1</v>
      </c>
      <c r="D65" t="s">
        <v>12</v>
      </c>
      <c r="E65" s="10">
        <v>1.6</v>
      </c>
      <c r="F65" t="s">
        <v>10</v>
      </c>
      <c r="G65">
        <v>800</v>
      </c>
      <c r="H65" s="2">
        <f t="shared" si="65"/>
        <v>455</v>
      </c>
      <c r="I65" s="2">
        <f t="shared" si="66"/>
        <v>150</v>
      </c>
      <c r="J65" s="4" t="s">
        <v>19</v>
      </c>
      <c r="K65" s="4">
        <v>0</v>
      </c>
      <c r="L65" s="2">
        <v>1100</v>
      </c>
      <c r="M65" s="4">
        <v>2100</v>
      </c>
      <c r="N65" s="4">
        <v>1200</v>
      </c>
      <c r="O65" s="4">
        <v>780</v>
      </c>
      <c r="P65" s="4">
        <v>62</v>
      </c>
      <c r="Q65" s="4">
        <v>45</v>
      </c>
      <c r="R65" s="2" t="s">
        <v>47</v>
      </c>
      <c r="S65" s="2">
        <f t="shared" si="67"/>
        <v>865</v>
      </c>
      <c r="T65" s="2">
        <f t="shared" si="68"/>
        <v>560</v>
      </c>
      <c r="U65" s="4"/>
      <c r="V65" s="4"/>
      <c r="W65" s="4">
        <f t="shared" si="69"/>
        <v>694</v>
      </c>
      <c r="X65" s="4">
        <f t="shared" si="70"/>
        <v>1054</v>
      </c>
      <c r="Y65" s="4"/>
      <c r="Z65"/>
      <c r="AA65" s="4"/>
      <c r="AB65" s="4"/>
      <c r="AC65" s="2">
        <f t="shared" si="54"/>
        <v>870</v>
      </c>
      <c r="AD65" s="2">
        <f t="shared" si="55"/>
        <v>1340</v>
      </c>
      <c r="AE65" s="2">
        <f t="shared" si="71"/>
        <v>842</v>
      </c>
      <c r="AF65" s="2">
        <f t="shared" si="72"/>
        <v>1111</v>
      </c>
      <c r="AG65" s="2" t="s">
        <v>47</v>
      </c>
      <c r="AH65" s="4">
        <f t="shared" si="73"/>
        <v>870</v>
      </c>
      <c r="AI65" s="4">
        <f t="shared" si="74"/>
        <v>1111</v>
      </c>
      <c r="AJ65" s="4">
        <f t="shared" si="75"/>
        <v>694</v>
      </c>
      <c r="AK65" s="4">
        <f t="shared" si="76"/>
        <v>1054</v>
      </c>
      <c r="AL65" s="4">
        <f t="shared" si="77"/>
        <v>1564</v>
      </c>
      <c r="AM65" s="4">
        <f t="shared" si="78"/>
        <v>2165</v>
      </c>
      <c r="AN65" s="4">
        <f t="shared" si="79"/>
        <v>2430</v>
      </c>
      <c r="AO65" s="4">
        <v>3520</v>
      </c>
    </row>
    <row r="66" spans="1:41" s="2" customFormat="1" x14ac:dyDescent="0.2">
      <c r="A66">
        <f t="shared" si="1"/>
        <v>65</v>
      </c>
      <c r="B66" t="s">
        <v>52</v>
      </c>
      <c r="C66">
        <v>1</v>
      </c>
      <c r="D66" t="s">
        <v>12</v>
      </c>
      <c r="E66" s="10">
        <v>1.6</v>
      </c>
      <c r="F66" t="s">
        <v>10</v>
      </c>
      <c r="G66">
        <v>900</v>
      </c>
      <c r="H66" s="2">
        <f>G66/2+IF(F66="CLD",65,55)</f>
        <v>505</v>
      </c>
      <c r="I66" s="2">
        <f>IF(F66="CLD",G66/2+65,150)</f>
        <v>150</v>
      </c>
      <c r="J66" s="4" t="s">
        <v>18</v>
      </c>
      <c r="K66" s="4">
        <v>50</v>
      </c>
      <c r="L66" s="2">
        <v>1100</v>
      </c>
      <c r="M66" s="4">
        <v>2100</v>
      </c>
      <c r="N66" s="4">
        <v>1200</v>
      </c>
      <c r="O66" s="4">
        <v>780</v>
      </c>
      <c r="P66" s="4">
        <v>62</v>
      </c>
      <c r="Q66" s="4">
        <v>45</v>
      </c>
      <c r="R66" s="2" t="s">
        <v>47</v>
      </c>
      <c r="S66" s="2">
        <f>(-K66+G66/2+H66+10)</f>
        <v>915</v>
      </c>
      <c r="T66" s="2">
        <f>(K66+G66/2+I66+10)</f>
        <v>660</v>
      </c>
      <c r="U66" s="4"/>
      <c r="V66" s="4"/>
      <c r="W66" s="4">
        <f>(L66/2+40+P66+42)</f>
        <v>694</v>
      </c>
      <c r="X66" s="4">
        <f>(L66/2+40+P66+402)</f>
        <v>1054</v>
      </c>
      <c r="Y66" s="4"/>
      <c r="Z66"/>
      <c r="AA66" s="4"/>
      <c r="AB66" s="4"/>
      <c r="AC66" s="2">
        <f t="shared" si="54"/>
        <v>870</v>
      </c>
      <c r="AD66" s="2">
        <f t="shared" si="55"/>
        <v>1340</v>
      </c>
      <c r="AE66" s="2">
        <f>(L66/2+40+P66+190)</f>
        <v>842</v>
      </c>
      <c r="AF66" s="2">
        <f>(L66/2+40+P66+459)</f>
        <v>1111</v>
      </c>
      <c r="AG66" s="2" t="s">
        <v>47</v>
      </c>
      <c r="AH66" s="4">
        <f>MAX(S66,AC66,AE66)</f>
        <v>915</v>
      </c>
      <c r="AI66" s="4">
        <f>MIN(AD66,AF66)</f>
        <v>1111</v>
      </c>
      <c r="AJ66" s="4">
        <f>MAX(T66,W66)</f>
        <v>694</v>
      </c>
      <c r="AK66" s="4">
        <f>X66</f>
        <v>1054</v>
      </c>
      <c r="AL66" s="4">
        <f>(AH66+AJ66)</f>
        <v>1609</v>
      </c>
      <c r="AM66" s="4">
        <f>(AI66+AK66)</f>
        <v>2165</v>
      </c>
      <c r="AN66" s="4">
        <f>(280+M66+25+25)</f>
        <v>2430</v>
      </c>
      <c r="AO66" s="4">
        <v>3520</v>
      </c>
    </row>
    <row r="67" spans="1:41" s="1" customFormat="1" x14ac:dyDescent="0.2">
      <c r="A67">
        <f t="shared" si="1"/>
        <v>66</v>
      </c>
      <c r="B67" s="1" t="s">
        <v>52</v>
      </c>
      <c r="C67" s="1">
        <v>1</v>
      </c>
      <c r="D67" s="1" t="s">
        <v>12</v>
      </c>
      <c r="E67" s="11">
        <v>1.6</v>
      </c>
      <c r="F67" s="1" t="s">
        <v>10</v>
      </c>
      <c r="G67" s="1">
        <v>1000</v>
      </c>
      <c r="H67" s="1">
        <f t="shared" ref="H67:H70" si="80">G67/2+IF(F67="CLD",65,55)</f>
        <v>555</v>
      </c>
      <c r="I67" s="1">
        <f t="shared" ref="I67:I70" si="81">IF(F67="CLD",G67/2+65,150)</f>
        <v>150</v>
      </c>
      <c r="J67" s="5" t="s">
        <v>18</v>
      </c>
      <c r="K67" s="5">
        <v>30</v>
      </c>
      <c r="L67" s="1">
        <v>1100</v>
      </c>
      <c r="M67" s="5">
        <v>2100</v>
      </c>
      <c r="N67" s="5">
        <v>1200</v>
      </c>
      <c r="O67" s="5">
        <v>780</v>
      </c>
      <c r="P67" s="5">
        <v>62</v>
      </c>
      <c r="Q67" s="5">
        <v>45</v>
      </c>
      <c r="R67" s="1" t="s">
        <v>47</v>
      </c>
      <c r="S67" s="1">
        <f t="shared" ref="S67:S70" si="82">(-K67+G67/2+H67+10)</f>
        <v>1035</v>
      </c>
      <c r="T67" s="1">
        <f t="shared" ref="T67:T70" si="83">(K67+G67/2+I67+10)</f>
        <v>690</v>
      </c>
      <c r="U67" s="5"/>
      <c r="V67" s="5"/>
      <c r="W67" s="5">
        <f t="shared" ref="W67:W70" si="84">(L67/2+40+P67+42)</f>
        <v>694</v>
      </c>
      <c r="X67" s="5">
        <f t="shared" ref="X67:X70" si="85">(L67/2+40+P67+402)</f>
        <v>1054</v>
      </c>
      <c r="Y67" s="5"/>
      <c r="AA67" s="5"/>
      <c r="AB67" s="5"/>
      <c r="AC67" s="1">
        <f t="shared" si="54"/>
        <v>870</v>
      </c>
      <c r="AD67" s="1">
        <f t="shared" si="55"/>
        <v>1340</v>
      </c>
      <c r="AE67" s="1">
        <f t="shared" ref="AE67:AE70" si="86">(L67/2+40+P67+190)</f>
        <v>842</v>
      </c>
      <c r="AF67" s="1">
        <f t="shared" ref="AF67:AF70" si="87">(L67/2+40+P67+459)</f>
        <v>1111</v>
      </c>
      <c r="AG67" s="1" t="s">
        <v>47</v>
      </c>
      <c r="AH67" s="5">
        <f t="shared" ref="AH67:AH70" si="88">MAX(S67,AC67,AE67)</f>
        <v>1035</v>
      </c>
      <c r="AI67" s="5">
        <f t="shared" ref="AI67:AI70" si="89">MIN(AD67,AF67)</f>
        <v>1111</v>
      </c>
      <c r="AJ67" s="5">
        <f t="shared" ref="AJ67:AJ70" si="90">MAX(T67,W67)</f>
        <v>694</v>
      </c>
      <c r="AK67" s="5">
        <f t="shared" ref="AK67:AK70" si="91">X67</f>
        <v>1054</v>
      </c>
      <c r="AL67" s="5">
        <f t="shared" ref="AL67:AL70" si="92">(AH67+AJ67)</f>
        <v>1729</v>
      </c>
      <c r="AM67" s="5">
        <f t="shared" ref="AM67:AM70" si="93">(AI67+AK67)</f>
        <v>2165</v>
      </c>
      <c r="AN67" s="5">
        <f t="shared" ref="AN67" si="94">(280+M67+25+25)</f>
        <v>2430</v>
      </c>
      <c r="AO67" s="5">
        <v>3520</v>
      </c>
    </row>
    <row r="68" spans="1:41" s="2" customFormat="1" x14ac:dyDescent="0.2">
      <c r="A68">
        <f t="shared" si="1"/>
        <v>67</v>
      </c>
      <c r="B68" t="s">
        <v>52</v>
      </c>
      <c r="C68">
        <v>2</v>
      </c>
      <c r="D68" t="s">
        <v>12</v>
      </c>
      <c r="E68" s="10">
        <v>1</v>
      </c>
      <c r="F68" t="s">
        <v>10</v>
      </c>
      <c r="G68" s="4">
        <v>700</v>
      </c>
      <c r="H68" s="2">
        <f t="shared" si="80"/>
        <v>405</v>
      </c>
      <c r="I68" s="2">
        <f t="shared" si="81"/>
        <v>150</v>
      </c>
      <c r="J68" s="4" t="s">
        <v>19</v>
      </c>
      <c r="K68" s="4">
        <v>0</v>
      </c>
      <c r="L68" s="2">
        <v>1100</v>
      </c>
      <c r="M68" s="4">
        <v>2100</v>
      </c>
      <c r="N68" s="4">
        <v>1200</v>
      </c>
      <c r="O68" s="4">
        <v>780</v>
      </c>
      <c r="P68" s="4">
        <v>62</v>
      </c>
      <c r="Q68" s="4">
        <v>45</v>
      </c>
      <c r="R68" s="2" t="s">
        <v>47</v>
      </c>
      <c r="S68" s="2">
        <f t="shared" si="82"/>
        <v>765</v>
      </c>
      <c r="T68" s="2">
        <f t="shared" si="83"/>
        <v>510</v>
      </c>
      <c r="U68" s="4"/>
      <c r="V68" s="4"/>
      <c r="W68" s="4">
        <f t="shared" si="84"/>
        <v>694</v>
      </c>
      <c r="X68" s="4">
        <f t="shared" si="85"/>
        <v>1054</v>
      </c>
      <c r="Y68" s="4"/>
      <c r="AA68" s="4"/>
      <c r="AB68" s="4"/>
      <c r="AC68" s="2">
        <f t="shared" si="54"/>
        <v>870</v>
      </c>
      <c r="AD68" s="2">
        <f t="shared" si="55"/>
        <v>1340</v>
      </c>
      <c r="AE68" s="2">
        <f t="shared" si="86"/>
        <v>842</v>
      </c>
      <c r="AF68" s="2">
        <f t="shared" si="87"/>
        <v>1111</v>
      </c>
      <c r="AG68" s="2" t="s">
        <v>47</v>
      </c>
      <c r="AH68" s="4">
        <f t="shared" si="88"/>
        <v>870</v>
      </c>
      <c r="AI68" s="4">
        <f t="shared" si="89"/>
        <v>1111</v>
      </c>
      <c r="AJ68" s="4">
        <f t="shared" si="90"/>
        <v>694</v>
      </c>
      <c r="AK68" s="4">
        <f t="shared" si="91"/>
        <v>1054</v>
      </c>
      <c r="AL68" s="4">
        <f t="shared" si="92"/>
        <v>1564</v>
      </c>
      <c r="AM68" s="4">
        <f t="shared" si="93"/>
        <v>2165</v>
      </c>
      <c r="AN68" s="4">
        <f t="shared" ref="AN68:AN70" si="95">(280+M68+280)</f>
        <v>2660</v>
      </c>
      <c r="AO68" s="4">
        <f t="shared" ref="AO68:AO70" si="96">(280+M68+280)</f>
        <v>2660</v>
      </c>
    </row>
    <row r="69" spans="1:41" s="2" customFormat="1" x14ac:dyDescent="0.2">
      <c r="A69">
        <f t="shared" si="1"/>
        <v>68</v>
      </c>
      <c r="B69" t="s">
        <v>52</v>
      </c>
      <c r="C69">
        <v>2</v>
      </c>
      <c r="D69" t="s">
        <v>12</v>
      </c>
      <c r="E69" s="10">
        <v>1</v>
      </c>
      <c r="F69" t="s">
        <v>10</v>
      </c>
      <c r="G69">
        <v>800</v>
      </c>
      <c r="H69" s="2">
        <f t="shared" si="80"/>
        <v>455</v>
      </c>
      <c r="I69" s="2">
        <f t="shared" si="81"/>
        <v>150</v>
      </c>
      <c r="J69" s="4" t="s">
        <v>18</v>
      </c>
      <c r="K69" s="4">
        <v>30</v>
      </c>
      <c r="L69" s="2">
        <v>1100</v>
      </c>
      <c r="M69" s="4">
        <v>2100</v>
      </c>
      <c r="N69" s="4">
        <v>1200</v>
      </c>
      <c r="O69" s="4">
        <v>780</v>
      </c>
      <c r="P69" s="4">
        <v>62</v>
      </c>
      <c r="Q69" s="4">
        <v>45</v>
      </c>
      <c r="R69" s="2" t="s">
        <v>47</v>
      </c>
      <c r="S69" s="2">
        <f t="shared" si="82"/>
        <v>835</v>
      </c>
      <c r="T69" s="2">
        <f t="shared" si="83"/>
        <v>590</v>
      </c>
      <c r="U69" s="4"/>
      <c r="V69" s="4"/>
      <c r="W69" s="4">
        <f t="shared" si="84"/>
        <v>694</v>
      </c>
      <c r="X69" s="4">
        <f t="shared" si="85"/>
        <v>1054</v>
      </c>
      <c r="Y69" s="4"/>
      <c r="Z69"/>
      <c r="AA69" s="4"/>
      <c r="AB69" s="4"/>
      <c r="AC69" s="2">
        <f t="shared" si="54"/>
        <v>870</v>
      </c>
      <c r="AD69" s="2">
        <f t="shared" si="55"/>
        <v>1340</v>
      </c>
      <c r="AE69" s="2">
        <f t="shared" si="86"/>
        <v>842</v>
      </c>
      <c r="AF69" s="2">
        <f t="shared" si="87"/>
        <v>1111</v>
      </c>
      <c r="AG69" s="2" t="s">
        <v>47</v>
      </c>
      <c r="AH69" s="4">
        <f t="shared" si="88"/>
        <v>870</v>
      </c>
      <c r="AI69" s="4">
        <f t="shared" si="89"/>
        <v>1111</v>
      </c>
      <c r="AJ69" s="4">
        <f t="shared" si="90"/>
        <v>694</v>
      </c>
      <c r="AK69" s="4">
        <f t="shared" si="91"/>
        <v>1054</v>
      </c>
      <c r="AL69" s="4">
        <f t="shared" si="92"/>
        <v>1564</v>
      </c>
      <c r="AM69" s="4">
        <f t="shared" si="93"/>
        <v>2165</v>
      </c>
      <c r="AN69" s="4">
        <f t="shared" si="95"/>
        <v>2660</v>
      </c>
      <c r="AO69" s="4">
        <f t="shared" si="96"/>
        <v>2660</v>
      </c>
    </row>
    <row r="70" spans="1:41" s="2" customFormat="1" x14ac:dyDescent="0.2">
      <c r="A70">
        <f t="shared" si="1"/>
        <v>69</v>
      </c>
      <c r="B70" t="s">
        <v>52</v>
      </c>
      <c r="C70">
        <v>2</v>
      </c>
      <c r="D70" t="s">
        <v>12</v>
      </c>
      <c r="E70" s="10">
        <v>1</v>
      </c>
      <c r="F70" t="s">
        <v>10</v>
      </c>
      <c r="G70">
        <v>800</v>
      </c>
      <c r="H70" s="2">
        <f t="shared" si="80"/>
        <v>455</v>
      </c>
      <c r="I70" s="2">
        <f t="shared" si="81"/>
        <v>150</v>
      </c>
      <c r="J70" s="4" t="s">
        <v>19</v>
      </c>
      <c r="K70" s="4">
        <v>0</v>
      </c>
      <c r="L70" s="2">
        <v>1100</v>
      </c>
      <c r="M70" s="4">
        <v>2100</v>
      </c>
      <c r="N70" s="4">
        <v>1200</v>
      </c>
      <c r="O70" s="4">
        <v>780</v>
      </c>
      <c r="P70" s="4">
        <v>62</v>
      </c>
      <c r="Q70" s="4">
        <v>45</v>
      </c>
      <c r="R70" s="2" t="s">
        <v>47</v>
      </c>
      <c r="S70" s="2">
        <f t="shared" si="82"/>
        <v>865</v>
      </c>
      <c r="T70" s="2">
        <f t="shared" si="83"/>
        <v>560</v>
      </c>
      <c r="U70" s="4"/>
      <c r="V70" s="4"/>
      <c r="W70" s="4">
        <f t="shared" si="84"/>
        <v>694</v>
      </c>
      <c r="X70" s="4">
        <f t="shared" si="85"/>
        <v>1054</v>
      </c>
      <c r="Y70" s="4"/>
      <c r="Z70"/>
      <c r="AA70" s="4"/>
      <c r="AB70" s="4"/>
      <c r="AC70" s="2">
        <f t="shared" si="54"/>
        <v>870</v>
      </c>
      <c r="AD70" s="2">
        <f t="shared" si="55"/>
        <v>1340</v>
      </c>
      <c r="AE70" s="2">
        <f t="shared" si="86"/>
        <v>842</v>
      </c>
      <c r="AF70" s="2">
        <f t="shared" si="87"/>
        <v>1111</v>
      </c>
      <c r="AG70" s="2" t="s">
        <v>47</v>
      </c>
      <c r="AH70" s="4">
        <f t="shared" si="88"/>
        <v>870</v>
      </c>
      <c r="AI70" s="4">
        <f t="shared" si="89"/>
        <v>1111</v>
      </c>
      <c r="AJ70" s="4">
        <f t="shared" si="90"/>
        <v>694</v>
      </c>
      <c r="AK70" s="4">
        <f t="shared" si="91"/>
        <v>1054</v>
      </c>
      <c r="AL70" s="4">
        <f t="shared" si="92"/>
        <v>1564</v>
      </c>
      <c r="AM70" s="4">
        <f t="shared" si="93"/>
        <v>2165</v>
      </c>
      <c r="AN70" s="4">
        <f t="shared" si="95"/>
        <v>2660</v>
      </c>
      <c r="AO70" s="4">
        <f t="shared" si="96"/>
        <v>2660</v>
      </c>
    </row>
    <row r="71" spans="1:41" s="2" customFormat="1" x14ac:dyDescent="0.2">
      <c r="A71">
        <f t="shared" si="1"/>
        <v>70</v>
      </c>
      <c r="B71" t="s">
        <v>52</v>
      </c>
      <c r="C71">
        <v>2</v>
      </c>
      <c r="D71" t="s">
        <v>12</v>
      </c>
      <c r="E71" s="10">
        <v>1</v>
      </c>
      <c r="F71" t="s">
        <v>10</v>
      </c>
      <c r="G71">
        <v>900</v>
      </c>
      <c r="H71" s="2">
        <f>G71/2+IF(F71="CLD",65,55)</f>
        <v>505</v>
      </c>
      <c r="I71" s="2">
        <f>IF(F71="CLD",G71/2+65,150)</f>
        <v>150</v>
      </c>
      <c r="J71" s="4" t="s">
        <v>18</v>
      </c>
      <c r="K71" s="4">
        <v>50</v>
      </c>
      <c r="L71" s="2">
        <v>1100</v>
      </c>
      <c r="M71" s="4">
        <v>2100</v>
      </c>
      <c r="N71" s="4">
        <v>1200</v>
      </c>
      <c r="O71" s="4">
        <v>780</v>
      </c>
      <c r="P71" s="4">
        <v>62</v>
      </c>
      <c r="Q71" s="4">
        <v>45</v>
      </c>
      <c r="R71" s="2" t="s">
        <v>47</v>
      </c>
      <c r="S71" s="2">
        <f>(-K71+G71/2+H71+10)</f>
        <v>915</v>
      </c>
      <c r="T71" s="2">
        <f>(K71+G71/2+I71+10)</f>
        <v>660</v>
      </c>
      <c r="U71" s="4"/>
      <c r="V71" s="4"/>
      <c r="W71" s="4">
        <f>(L71/2+40+P71+42)</f>
        <v>694</v>
      </c>
      <c r="X71" s="4">
        <f>(L71/2+40+P71+402)</f>
        <v>1054</v>
      </c>
      <c r="Y71" s="4"/>
      <c r="Z71"/>
      <c r="AA71" s="4"/>
      <c r="AB71" s="4"/>
      <c r="AC71" s="2">
        <f t="shared" si="54"/>
        <v>870</v>
      </c>
      <c r="AD71" s="2">
        <f t="shared" si="55"/>
        <v>1340</v>
      </c>
      <c r="AE71" s="2">
        <f>(L71/2+40+P71+190)</f>
        <v>842</v>
      </c>
      <c r="AF71" s="2">
        <f>(L71/2+40+P71+459)</f>
        <v>1111</v>
      </c>
      <c r="AG71" s="2" t="s">
        <v>47</v>
      </c>
      <c r="AH71" s="4">
        <f>MAX(S71,AC71,AE71)</f>
        <v>915</v>
      </c>
      <c r="AI71" s="4">
        <f>MIN(AD71,AF71)</f>
        <v>1111</v>
      </c>
      <c r="AJ71" s="4">
        <f>MAX(T71,W71)</f>
        <v>694</v>
      </c>
      <c r="AK71" s="4">
        <f>X71</f>
        <v>1054</v>
      </c>
      <c r="AL71" s="4">
        <f>(AH71+AJ71)</f>
        <v>1609</v>
      </c>
      <c r="AM71" s="4">
        <f>(AI71+AK71)</f>
        <v>2165</v>
      </c>
      <c r="AN71" s="4">
        <f>(280+M71+280)</f>
        <v>2660</v>
      </c>
      <c r="AO71" s="4">
        <f>(280+M71+280)</f>
        <v>2660</v>
      </c>
    </row>
    <row r="72" spans="1:41" s="1" customFormat="1" x14ac:dyDescent="0.2">
      <c r="A72">
        <f t="shared" si="1"/>
        <v>71</v>
      </c>
      <c r="B72" s="1" t="s">
        <v>52</v>
      </c>
      <c r="C72" s="1">
        <v>2</v>
      </c>
      <c r="D72" s="1" t="s">
        <v>12</v>
      </c>
      <c r="E72" s="11">
        <v>1</v>
      </c>
      <c r="F72" s="1" t="s">
        <v>10</v>
      </c>
      <c r="G72" s="1">
        <v>1000</v>
      </c>
      <c r="H72" s="1">
        <f t="shared" ref="H72:H75" si="97">G72/2+IF(F72="CLD",65,55)</f>
        <v>555</v>
      </c>
      <c r="I72" s="1">
        <f t="shared" ref="I72:I75" si="98">IF(F72="CLD",G72/2+65,150)</f>
        <v>150</v>
      </c>
      <c r="J72" s="5" t="s">
        <v>18</v>
      </c>
      <c r="K72" s="5">
        <v>30</v>
      </c>
      <c r="L72" s="1">
        <v>1100</v>
      </c>
      <c r="M72" s="5">
        <v>2100</v>
      </c>
      <c r="N72" s="5">
        <v>1200</v>
      </c>
      <c r="O72" s="5">
        <v>780</v>
      </c>
      <c r="P72" s="5">
        <v>62</v>
      </c>
      <c r="Q72" s="5">
        <v>45</v>
      </c>
      <c r="R72" s="1" t="s">
        <v>47</v>
      </c>
      <c r="S72" s="1">
        <f t="shared" ref="S72:S75" si="99">(-K72+G72/2+H72+10)</f>
        <v>1035</v>
      </c>
      <c r="T72" s="1">
        <f t="shared" ref="T72:T75" si="100">(K72+G72/2+I72+10)</f>
        <v>690</v>
      </c>
      <c r="U72" s="5"/>
      <c r="V72" s="5"/>
      <c r="W72" s="5">
        <f t="shared" ref="W72:W75" si="101">(L72/2+40+P72+42)</f>
        <v>694</v>
      </c>
      <c r="X72" s="5">
        <f t="shared" ref="X72:X75" si="102">(L72/2+40+P72+402)</f>
        <v>1054</v>
      </c>
      <c r="Y72" s="5"/>
      <c r="AA72" s="5"/>
      <c r="AB72" s="5"/>
      <c r="AC72" s="1">
        <f t="shared" si="54"/>
        <v>870</v>
      </c>
      <c r="AD72" s="1">
        <f t="shared" si="55"/>
        <v>1340</v>
      </c>
      <c r="AE72" s="1">
        <f t="shared" ref="AE72:AE75" si="103">(L72/2+40+P72+190)</f>
        <v>842</v>
      </c>
      <c r="AF72" s="1">
        <f t="shared" ref="AF72:AF75" si="104">(L72/2+40+P72+459)</f>
        <v>1111</v>
      </c>
      <c r="AG72" s="1" t="s">
        <v>47</v>
      </c>
      <c r="AH72" s="5">
        <f t="shared" ref="AH72:AH75" si="105">MAX(S72,AC72,AE72)</f>
        <v>1035</v>
      </c>
      <c r="AI72" s="5">
        <f t="shared" ref="AI72:AI75" si="106">MIN(AD72,AF72)</f>
        <v>1111</v>
      </c>
      <c r="AJ72" s="5">
        <f t="shared" ref="AJ72:AJ75" si="107">MAX(T72,W72)</f>
        <v>694</v>
      </c>
      <c r="AK72" s="5">
        <f t="shared" ref="AK72:AK75" si="108">X72</f>
        <v>1054</v>
      </c>
      <c r="AL72" s="5">
        <f t="shared" ref="AL72:AL75" si="109">(AH72+AJ72)</f>
        <v>1729</v>
      </c>
      <c r="AM72" s="5">
        <f t="shared" ref="AM72:AM75" si="110">(AI72+AK72)</f>
        <v>2165</v>
      </c>
      <c r="AN72" s="5">
        <f t="shared" ref="AN72:AN75" si="111">(280+M72+280)</f>
        <v>2660</v>
      </c>
      <c r="AO72" s="5">
        <f t="shared" ref="AO72:AO75" si="112">(280+M72+280)</f>
        <v>2660</v>
      </c>
    </row>
    <row r="73" spans="1:41" s="2" customFormat="1" x14ac:dyDescent="0.2">
      <c r="A73">
        <f t="shared" si="1"/>
        <v>72</v>
      </c>
      <c r="B73" t="s">
        <v>52</v>
      </c>
      <c r="C73">
        <v>2</v>
      </c>
      <c r="D73" t="s">
        <v>12</v>
      </c>
      <c r="E73" s="10">
        <v>1.6</v>
      </c>
      <c r="F73" t="s">
        <v>10</v>
      </c>
      <c r="G73" s="4">
        <v>700</v>
      </c>
      <c r="H73" s="2">
        <f t="shared" si="97"/>
        <v>405</v>
      </c>
      <c r="I73" s="2">
        <f t="shared" si="98"/>
        <v>150</v>
      </c>
      <c r="J73" s="4" t="s">
        <v>19</v>
      </c>
      <c r="K73" s="4">
        <v>0</v>
      </c>
      <c r="L73" s="2">
        <v>1100</v>
      </c>
      <c r="M73" s="4">
        <v>2100</v>
      </c>
      <c r="N73" s="4">
        <v>1200</v>
      </c>
      <c r="O73" s="4">
        <v>780</v>
      </c>
      <c r="P73" s="4">
        <v>62</v>
      </c>
      <c r="Q73" s="4">
        <v>45</v>
      </c>
      <c r="R73" s="2" t="s">
        <v>47</v>
      </c>
      <c r="S73" s="2">
        <f t="shared" si="99"/>
        <v>765</v>
      </c>
      <c r="T73" s="2">
        <f t="shared" si="100"/>
        <v>510</v>
      </c>
      <c r="U73" s="4"/>
      <c r="V73" s="4"/>
      <c r="W73" s="4">
        <f t="shared" si="101"/>
        <v>694</v>
      </c>
      <c r="X73" s="4">
        <f t="shared" si="102"/>
        <v>1054</v>
      </c>
      <c r="Y73" s="4"/>
      <c r="AA73" s="4"/>
      <c r="AB73" s="4"/>
      <c r="AC73" s="2">
        <f t="shared" si="54"/>
        <v>870</v>
      </c>
      <c r="AD73" s="2">
        <f t="shared" si="55"/>
        <v>1340</v>
      </c>
      <c r="AE73" s="2">
        <f t="shared" si="103"/>
        <v>842</v>
      </c>
      <c r="AF73" s="2">
        <f t="shared" si="104"/>
        <v>1111</v>
      </c>
      <c r="AG73" s="2" t="s">
        <v>47</v>
      </c>
      <c r="AH73" s="4">
        <f t="shared" si="105"/>
        <v>870</v>
      </c>
      <c r="AI73" s="4">
        <f t="shared" si="106"/>
        <v>1111</v>
      </c>
      <c r="AJ73" s="4">
        <f t="shared" si="107"/>
        <v>694</v>
      </c>
      <c r="AK73" s="4">
        <f t="shared" si="108"/>
        <v>1054</v>
      </c>
      <c r="AL73" s="4">
        <f t="shared" si="109"/>
        <v>1564</v>
      </c>
      <c r="AM73" s="4">
        <f t="shared" si="110"/>
        <v>2165</v>
      </c>
      <c r="AN73" s="4">
        <f t="shared" si="111"/>
        <v>2660</v>
      </c>
      <c r="AO73" s="4">
        <f t="shared" si="112"/>
        <v>2660</v>
      </c>
    </row>
    <row r="74" spans="1:41" s="2" customFormat="1" x14ac:dyDescent="0.2">
      <c r="A74">
        <f t="shared" si="1"/>
        <v>73</v>
      </c>
      <c r="B74" t="s">
        <v>52</v>
      </c>
      <c r="C74">
        <v>2</v>
      </c>
      <c r="D74" t="s">
        <v>12</v>
      </c>
      <c r="E74" s="10">
        <v>1.6</v>
      </c>
      <c r="F74" t="s">
        <v>10</v>
      </c>
      <c r="G74">
        <v>800</v>
      </c>
      <c r="H74" s="2">
        <f t="shared" si="97"/>
        <v>455</v>
      </c>
      <c r="I74" s="2">
        <f t="shared" si="98"/>
        <v>150</v>
      </c>
      <c r="J74" s="4" t="s">
        <v>18</v>
      </c>
      <c r="K74" s="4">
        <v>30</v>
      </c>
      <c r="L74" s="2">
        <v>1100</v>
      </c>
      <c r="M74" s="4">
        <v>2100</v>
      </c>
      <c r="N74" s="4">
        <v>1200</v>
      </c>
      <c r="O74" s="4">
        <v>780</v>
      </c>
      <c r="P74" s="4">
        <v>62</v>
      </c>
      <c r="Q74" s="4">
        <v>45</v>
      </c>
      <c r="R74" s="2" t="s">
        <v>47</v>
      </c>
      <c r="S74" s="2">
        <f t="shared" si="99"/>
        <v>835</v>
      </c>
      <c r="T74" s="2">
        <f t="shared" si="100"/>
        <v>590</v>
      </c>
      <c r="U74" s="4"/>
      <c r="V74" s="4"/>
      <c r="W74" s="4">
        <f t="shared" si="101"/>
        <v>694</v>
      </c>
      <c r="X74" s="4">
        <f t="shared" si="102"/>
        <v>1054</v>
      </c>
      <c r="Y74" s="4"/>
      <c r="Z74"/>
      <c r="AA74" s="4"/>
      <c r="AB74" s="4"/>
      <c r="AC74" s="2">
        <f t="shared" si="54"/>
        <v>870</v>
      </c>
      <c r="AD74" s="2">
        <f t="shared" si="55"/>
        <v>1340</v>
      </c>
      <c r="AE74" s="2">
        <f t="shared" si="103"/>
        <v>842</v>
      </c>
      <c r="AF74" s="2">
        <f t="shared" si="104"/>
        <v>1111</v>
      </c>
      <c r="AG74" s="2" t="s">
        <v>47</v>
      </c>
      <c r="AH74" s="4">
        <f t="shared" si="105"/>
        <v>870</v>
      </c>
      <c r="AI74" s="4">
        <f t="shared" si="106"/>
        <v>1111</v>
      </c>
      <c r="AJ74" s="4">
        <f t="shared" si="107"/>
        <v>694</v>
      </c>
      <c r="AK74" s="4">
        <f t="shared" si="108"/>
        <v>1054</v>
      </c>
      <c r="AL74" s="4">
        <f t="shared" si="109"/>
        <v>1564</v>
      </c>
      <c r="AM74" s="4">
        <f t="shared" si="110"/>
        <v>2165</v>
      </c>
      <c r="AN74" s="4">
        <f t="shared" si="111"/>
        <v>2660</v>
      </c>
      <c r="AO74" s="4">
        <f t="shared" si="112"/>
        <v>2660</v>
      </c>
    </row>
    <row r="75" spans="1:41" s="2" customFormat="1" x14ac:dyDescent="0.2">
      <c r="A75">
        <f t="shared" si="1"/>
        <v>74</v>
      </c>
      <c r="B75" t="s">
        <v>52</v>
      </c>
      <c r="C75">
        <v>2</v>
      </c>
      <c r="D75" t="s">
        <v>12</v>
      </c>
      <c r="E75" s="10">
        <v>1.6</v>
      </c>
      <c r="F75" t="s">
        <v>10</v>
      </c>
      <c r="G75">
        <v>800</v>
      </c>
      <c r="H75" s="2">
        <f t="shared" si="97"/>
        <v>455</v>
      </c>
      <c r="I75" s="2">
        <f t="shared" si="98"/>
        <v>150</v>
      </c>
      <c r="J75" s="4" t="s">
        <v>19</v>
      </c>
      <c r="K75" s="4">
        <v>0</v>
      </c>
      <c r="L75" s="2">
        <v>1100</v>
      </c>
      <c r="M75" s="4">
        <v>2100</v>
      </c>
      <c r="N75" s="4">
        <v>1200</v>
      </c>
      <c r="O75" s="4">
        <v>780</v>
      </c>
      <c r="P75" s="4">
        <v>62</v>
      </c>
      <c r="Q75" s="4">
        <v>45</v>
      </c>
      <c r="R75" s="2" t="s">
        <v>47</v>
      </c>
      <c r="S75" s="2">
        <f t="shared" si="99"/>
        <v>865</v>
      </c>
      <c r="T75" s="2">
        <f t="shared" si="100"/>
        <v>560</v>
      </c>
      <c r="U75" s="4"/>
      <c r="V75" s="4"/>
      <c r="W75" s="4">
        <f t="shared" si="101"/>
        <v>694</v>
      </c>
      <c r="X75" s="4">
        <f t="shared" si="102"/>
        <v>1054</v>
      </c>
      <c r="Y75" s="4"/>
      <c r="Z75"/>
      <c r="AA75" s="4"/>
      <c r="AB75" s="4"/>
      <c r="AC75" s="2">
        <f t="shared" si="54"/>
        <v>870</v>
      </c>
      <c r="AD75" s="2">
        <f t="shared" si="55"/>
        <v>1340</v>
      </c>
      <c r="AE75" s="2">
        <f t="shared" si="103"/>
        <v>842</v>
      </c>
      <c r="AF75" s="2">
        <f t="shared" si="104"/>
        <v>1111</v>
      </c>
      <c r="AG75" s="2" t="s">
        <v>47</v>
      </c>
      <c r="AH75" s="4">
        <f t="shared" si="105"/>
        <v>870</v>
      </c>
      <c r="AI75" s="4">
        <f t="shared" si="106"/>
        <v>1111</v>
      </c>
      <c r="AJ75" s="4">
        <f t="shared" si="107"/>
        <v>694</v>
      </c>
      <c r="AK75" s="4">
        <f t="shared" si="108"/>
        <v>1054</v>
      </c>
      <c r="AL75" s="4">
        <f t="shared" si="109"/>
        <v>1564</v>
      </c>
      <c r="AM75" s="4">
        <f t="shared" si="110"/>
        <v>2165</v>
      </c>
      <c r="AN75" s="4">
        <f t="shared" si="111"/>
        <v>2660</v>
      </c>
      <c r="AO75" s="4">
        <f t="shared" si="112"/>
        <v>2660</v>
      </c>
    </row>
    <row r="76" spans="1:41" s="2" customFormat="1" x14ac:dyDescent="0.2">
      <c r="A76">
        <f t="shared" si="1"/>
        <v>75</v>
      </c>
      <c r="B76" t="s">
        <v>52</v>
      </c>
      <c r="C76">
        <v>2</v>
      </c>
      <c r="D76" t="s">
        <v>12</v>
      </c>
      <c r="E76" s="10">
        <v>1.6</v>
      </c>
      <c r="F76" t="s">
        <v>10</v>
      </c>
      <c r="G76">
        <v>900</v>
      </c>
      <c r="H76" s="2">
        <f>G76/2+IF(F76="CLD",65,55)</f>
        <v>505</v>
      </c>
      <c r="I76" s="2">
        <f>IF(F76="CLD",G76/2+65,150)</f>
        <v>150</v>
      </c>
      <c r="J76" s="4" t="s">
        <v>18</v>
      </c>
      <c r="K76" s="4">
        <v>50</v>
      </c>
      <c r="L76" s="2">
        <v>1100</v>
      </c>
      <c r="M76" s="4">
        <v>2100</v>
      </c>
      <c r="N76" s="4">
        <v>1200</v>
      </c>
      <c r="O76" s="4">
        <v>780</v>
      </c>
      <c r="P76" s="4">
        <v>62</v>
      </c>
      <c r="Q76" s="4">
        <v>45</v>
      </c>
      <c r="R76" s="2" t="s">
        <v>47</v>
      </c>
      <c r="S76" s="2">
        <f>(-K76+G76/2+H76+10)</f>
        <v>915</v>
      </c>
      <c r="T76" s="2">
        <f>(K76+G76/2+I76+10)</f>
        <v>660</v>
      </c>
      <c r="U76" s="4"/>
      <c r="V76" s="4"/>
      <c r="W76" s="4">
        <f>(L76/2+40+P76+42)</f>
        <v>694</v>
      </c>
      <c r="X76" s="4">
        <f>(L76/2+40+P76+402)</f>
        <v>1054</v>
      </c>
      <c r="Y76" s="4"/>
      <c r="Z76"/>
      <c r="AA76" s="4"/>
      <c r="AB76" s="4"/>
      <c r="AC76" s="2">
        <f t="shared" si="54"/>
        <v>870</v>
      </c>
      <c r="AD76" s="2">
        <f t="shared" si="55"/>
        <v>1340</v>
      </c>
      <c r="AE76" s="2">
        <f>(L76/2+40+P76+190)</f>
        <v>842</v>
      </c>
      <c r="AF76" s="2">
        <f>(L76/2+40+P76+459)</f>
        <v>1111</v>
      </c>
      <c r="AG76" s="2" t="s">
        <v>47</v>
      </c>
      <c r="AH76" s="4">
        <f>MAX(S76,AC76,AE76)</f>
        <v>915</v>
      </c>
      <c r="AI76" s="4">
        <f>MIN(AD76,AF76)</f>
        <v>1111</v>
      </c>
      <c r="AJ76" s="4">
        <f>MAX(T76,W76)</f>
        <v>694</v>
      </c>
      <c r="AK76" s="4">
        <f>X76</f>
        <v>1054</v>
      </c>
      <c r="AL76" s="4">
        <f>(AH76+AJ76)</f>
        <v>1609</v>
      </c>
      <c r="AM76" s="4">
        <f>(AI76+AK76)</f>
        <v>2165</v>
      </c>
      <c r="AN76" s="4">
        <f>(280+M76+280)</f>
        <v>2660</v>
      </c>
      <c r="AO76" s="4">
        <f>(280+M76+280)</f>
        <v>2660</v>
      </c>
    </row>
    <row r="77" spans="1:41" s="6" customFormat="1" ht="13.5" thickBot="1" x14ac:dyDescent="0.25">
      <c r="A77">
        <f t="shared" si="1"/>
        <v>76</v>
      </c>
      <c r="B77" s="6" t="s">
        <v>52</v>
      </c>
      <c r="C77" s="6">
        <v>2</v>
      </c>
      <c r="D77" s="6" t="s">
        <v>12</v>
      </c>
      <c r="E77" s="13">
        <v>1.6</v>
      </c>
      <c r="F77" s="6" t="s">
        <v>10</v>
      </c>
      <c r="G77" s="6">
        <v>1000</v>
      </c>
      <c r="H77" s="6">
        <f t="shared" ref="H77" si="113">G77/2+IF(F77="CLD",65,55)</f>
        <v>555</v>
      </c>
      <c r="I77" s="6">
        <f t="shared" ref="I77" si="114">IF(F77="CLD",G77/2+65,150)</f>
        <v>150</v>
      </c>
      <c r="J77" s="7" t="s">
        <v>18</v>
      </c>
      <c r="K77" s="7">
        <v>30</v>
      </c>
      <c r="L77" s="6">
        <v>1100</v>
      </c>
      <c r="M77" s="7">
        <v>2100</v>
      </c>
      <c r="N77" s="7">
        <v>1200</v>
      </c>
      <c r="O77" s="7">
        <v>780</v>
      </c>
      <c r="P77" s="7">
        <v>62</v>
      </c>
      <c r="Q77" s="7">
        <v>45</v>
      </c>
      <c r="R77" s="6" t="s">
        <v>47</v>
      </c>
      <c r="S77" s="6">
        <f t="shared" ref="S77" si="115">(-K77+G77/2+H77+10)</f>
        <v>1035</v>
      </c>
      <c r="T77" s="6">
        <f t="shared" ref="T77" si="116">(K77+G77/2+I77+10)</f>
        <v>690</v>
      </c>
      <c r="U77" s="7"/>
      <c r="V77" s="7"/>
      <c r="W77" s="7">
        <f t="shared" ref="W77" si="117">(L77/2+40+P77+42)</f>
        <v>694</v>
      </c>
      <c r="X77" s="7">
        <f t="shared" ref="X77" si="118">(L77/2+40+P77+402)</f>
        <v>1054</v>
      </c>
      <c r="Y77" s="7"/>
      <c r="AA77" s="7"/>
      <c r="AB77" s="7"/>
      <c r="AC77" s="6">
        <f t="shared" si="54"/>
        <v>870</v>
      </c>
      <c r="AD77" s="6">
        <f t="shared" si="55"/>
        <v>1340</v>
      </c>
      <c r="AE77" s="6">
        <f t="shared" ref="AE77" si="119">(L77/2+40+P77+190)</f>
        <v>842</v>
      </c>
      <c r="AF77" s="6">
        <f t="shared" ref="AF77" si="120">(L77/2+40+P77+459)</f>
        <v>1111</v>
      </c>
      <c r="AG77" s="6" t="s">
        <v>47</v>
      </c>
      <c r="AH77" s="7">
        <f t="shared" ref="AH77" si="121">MAX(S77,AC77,AE77)</f>
        <v>1035</v>
      </c>
      <c r="AI77" s="7">
        <f t="shared" ref="AI77" si="122">MIN(AD77,AF77)</f>
        <v>1111</v>
      </c>
      <c r="AJ77" s="7">
        <f t="shared" ref="AJ77" si="123">MAX(T77,W77)</f>
        <v>694</v>
      </c>
      <c r="AK77" s="7">
        <f t="shared" ref="AK77" si="124">X77</f>
        <v>1054</v>
      </c>
      <c r="AL77" s="7">
        <f t="shared" ref="AL77" si="125">(AH77+AJ77)</f>
        <v>1729</v>
      </c>
      <c r="AM77" s="7">
        <f t="shared" ref="AM77" si="126">(AI77+AK77)</f>
        <v>2165</v>
      </c>
      <c r="AN77" s="7">
        <f t="shared" ref="AN77" si="127">(280+M77+280)</f>
        <v>2660</v>
      </c>
      <c r="AO77" s="7">
        <f t="shared" ref="AO77" si="128">(280+M77+280)</f>
        <v>2660</v>
      </c>
    </row>
    <row r="78" spans="1:41" s="2" customFormat="1" x14ac:dyDescent="0.2">
      <c r="A78">
        <f t="shared" si="1"/>
        <v>77</v>
      </c>
      <c r="B78" t="s">
        <v>14</v>
      </c>
      <c r="C78">
        <v>1</v>
      </c>
      <c r="D78" t="s">
        <v>12</v>
      </c>
      <c r="E78" s="10">
        <v>1</v>
      </c>
      <c r="F78" t="s">
        <v>10</v>
      </c>
      <c r="G78" s="4">
        <v>700</v>
      </c>
      <c r="H78" s="2">
        <f t="shared" si="2"/>
        <v>405</v>
      </c>
      <c r="I78" s="2">
        <f t="shared" si="3"/>
        <v>150</v>
      </c>
      <c r="J78" s="4" t="s">
        <v>19</v>
      </c>
      <c r="K78" s="4">
        <v>0</v>
      </c>
      <c r="L78" s="2">
        <v>1100</v>
      </c>
      <c r="M78" s="4">
        <v>2100</v>
      </c>
      <c r="N78" s="4">
        <v>1200</v>
      </c>
      <c r="O78" s="4">
        <v>780</v>
      </c>
      <c r="P78" s="4">
        <v>62</v>
      </c>
      <c r="Q78" s="4">
        <v>45</v>
      </c>
      <c r="R78" s="2" t="s">
        <v>47</v>
      </c>
      <c r="S78" s="2">
        <f t="shared" si="4"/>
        <v>765</v>
      </c>
      <c r="T78" s="2">
        <f t="shared" si="5"/>
        <v>510</v>
      </c>
      <c r="U78" s="4"/>
      <c r="V78" s="4"/>
      <c r="W78" s="4">
        <f t="shared" si="8"/>
        <v>694</v>
      </c>
      <c r="X78" s="4">
        <f t="shared" si="9"/>
        <v>1054</v>
      </c>
      <c r="Y78" s="4"/>
      <c r="AA78" s="4"/>
      <c r="AB78" s="4"/>
      <c r="AC78" s="2">
        <f t="shared" ref="AC78:AC109" si="129">(740+130)</f>
        <v>870</v>
      </c>
      <c r="AD78" s="2">
        <f t="shared" ref="AD78:AD109" si="130">(740+600)</f>
        <v>1340</v>
      </c>
      <c r="AE78" s="2">
        <f t="shared" si="23"/>
        <v>842</v>
      </c>
      <c r="AF78" s="2">
        <f t="shared" si="24"/>
        <v>1111</v>
      </c>
      <c r="AG78" s="2" t="s">
        <v>47</v>
      </c>
      <c r="AH78" s="4">
        <f t="shared" si="25"/>
        <v>870</v>
      </c>
      <c r="AI78" s="4">
        <f t="shared" si="26"/>
        <v>1111</v>
      </c>
      <c r="AJ78" s="4">
        <f t="shared" si="27"/>
        <v>694</v>
      </c>
      <c r="AK78" s="4">
        <f t="shared" si="28"/>
        <v>1054</v>
      </c>
      <c r="AL78" s="4">
        <f t="shared" si="29"/>
        <v>1564</v>
      </c>
      <c r="AM78" s="4">
        <f t="shared" si="30"/>
        <v>2165</v>
      </c>
      <c r="AN78" s="4">
        <f>(280+M78+25+25)</f>
        <v>2430</v>
      </c>
      <c r="AO78" s="4">
        <v>3520</v>
      </c>
    </row>
    <row r="79" spans="1:41" s="2" customFormat="1" x14ac:dyDescent="0.2">
      <c r="A79">
        <f t="shared" si="1"/>
        <v>78</v>
      </c>
      <c r="B79" t="s">
        <v>14</v>
      </c>
      <c r="C79">
        <v>1</v>
      </c>
      <c r="D79" t="s">
        <v>12</v>
      </c>
      <c r="E79" s="10">
        <v>1</v>
      </c>
      <c r="F79" t="s">
        <v>10</v>
      </c>
      <c r="G79">
        <v>800</v>
      </c>
      <c r="H79" s="2">
        <f t="shared" si="2"/>
        <v>455</v>
      </c>
      <c r="I79" s="2">
        <f t="shared" si="3"/>
        <v>150</v>
      </c>
      <c r="J79" s="4" t="s">
        <v>18</v>
      </c>
      <c r="K79" s="4">
        <v>30</v>
      </c>
      <c r="L79" s="2">
        <v>1100</v>
      </c>
      <c r="M79" s="4">
        <v>2100</v>
      </c>
      <c r="N79" s="4">
        <v>1200</v>
      </c>
      <c r="O79" s="4">
        <v>780</v>
      </c>
      <c r="P79" s="4">
        <v>62</v>
      </c>
      <c r="Q79" s="4">
        <v>45</v>
      </c>
      <c r="R79" s="2" t="s">
        <v>47</v>
      </c>
      <c r="S79" s="2">
        <f t="shared" si="4"/>
        <v>835</v>
      </c>
      <c r="T79" s="2">
        <f t="shared" si="5"/>
        <v>590</v>
      </c>
      <c r="U79" s="4"/>
      <c r="V79" s="4"/>
      <c r="W79" s="4">
        <f t="shared" si="8"/>
        <v>694</v>
      </c>
      <c r="X79" s="4">
        <f t="shared" si="9"/>
        <v>1054</v>
      </c>
      <c r="Y79" s="4"/>
      <c r="Z79"/>
      <c r="AA79" s="4"/>
      <c r="AB79" s="4"/>
      <c r="AC79" s="2">
        <f t="shared" si="129"/>
        <v>870</v>
      </c>
      <c r="AD79" s="2">
        <f t="shared" si="130"/>
        <v>1340</v>
      </c>
      <c r="AE79" s="2">
        <f t="shared" si="23"/>
        <v>842</v>
      </c>
      <c r="AF79" s="2">
        <f t="shared" si="24"/>
        <v>1111</v>
      </c>
      <c r="AG79" s="2" t="s">
        <v>47</v>
      </c>
      <c r="AH79" s="4">
        <f t="shared" si="25"/>
        <v>870</v>
      </c>
      <c r="AI79" s="4">
        <f t="shared" si="26"/>
        <v>1111</v>
      </c>
      <c r="AJ79" s="4">
        <f t="shared" si="27"/>
        <v>694</v>
      </c>
      <c r="AK79" s="4">
        <f t="shared" si="28"/>
        <v>1054</v>
      </c>
      <c r="AL79" s="4">
        <f t="shared" si="29"/>
        <v>1564</v>
      </c>
      <c r="AM79" s="4">
        <f t="shared" si="30"/>
        <v>2165</v>
      </c>
      <c r="AN79" s="4">
        <f t="shared" ref="AN79:AN93" si="131">(280+M79+25+25)</f>
        <v>2430</v>
      </c>
      <c r="AO79" s="4">
        <v>3520</v>
      </c>
    </row>
    <row r="80" spans="1:41" s="2" customFormat="1" x14ac:dyDescent="0.2">
      <c r="A80">
        <f t="shared" si="1"/>
        <v>79</v>
      </c>
      <c r="B80" t="s">
        <v>14</v>
      </c>
      <c r="C80">
        <v>1</v>
      </c>
      <c r="D80" t="s">
        <v>12</v>
      </c>
      <c r="E80" s="10">
        <v>1</v>
      </c>
      <c r="F80" t="s">
        <v>10</v>
      </c>
      <c r="G80">
        <v>800</v>
      </c>
      <c r="H80" s="2">
        <f t="shared" si="2"/>
        <v>455</v>
      </c>
      <c r="I80" s="2">
        <f t="shared" si="3"/>
        <v>150</v>
      </c>
      <c r="J80" s="4" t="s">
        <v>19</v>
      </c>
      <c r="K80" s="4">
        <v>0</v>
      </c>
      <c r="L80" s="2">
        <v>1100</v>
      </c>
      <c r="M80" s="4">
        <v>2100</v>
      </c>
      <c r="N80" s="4">
        <v>1200</v>
      </c>
      <c r="O80" s="4">
        <v>780</v>
      </c>
      <c r="P80" s="4">
        <v>62</v>
      </c>
      <c r="Q80" s="4">
        <v>45</v>
      </c>
      <c r="R80" s="2" t="s">
        <v>47</v>
      </c>
      <c r="S80" s="2">
        <f t="shared" si="4"/>
        <v>865</v>
      </c>
      <c r="T80" s="2">
        <f t="shared" si="5"/>
        <v>560</v>
      </c>
      <c r="U80" s="4"/>
      <c r="V80" s="4"/>
      <c r="W80" s="4">
        <f t="shared" si="8"/>
        <v>694</v>
      </c>
      <c r="X80" s="4">
        <f t="shared" si="9"/>
        <v>1054</v>
      </c>
      <c r="Y80" s="4"/>
      <c r="Z80"/>
      <c r="AA80" s="4"/>
      <c r="AB80" s="4"/>
      <c r="AC80" s="2">
        <f t="shared" si="129"/>
        <v>870</v>
      </c>
      <c r="AD80" s="2">
        <f t="shared" si="130"/>
        <v>1340</v>
      </c>
      <c r="AE80" s="2">
        <f t="shared" si="23"/>
        <v>842</v>
      </c>
      <c r="AF80" s="2">
        <f t="shared" si="24"/>
        <v>1111</v>
      </c>
      <c r="AG80" s="2" t="s">
        <v>47</v>
      </c>
      <c r="AH80" s="4">
        <f t="shared" si="25"/>
        <v>870</v>
      </c>
      <c r="AI80" s="4">
        <f t="shared" si="26"/>
        <v>1111</v>
      </c>
      <c r="AJ80" s="4">
        <f t="shared" si="27"/>
        <v>694</v>
      </c>
      <c r="AK80" s="4">
        <f t="shared" si="28"/>
        <v>1054</v>
      </c>
      <c r="AL80" s="4">
        <f t="shared" si="29"/>
        <v>1564</v>
      </c>
      <c r="AM80" s="4">
        <f t="shared" si="30"/>
        <v>2165</v>
      </c>
      <c r="AN80" s="4">
        <f t="shared" si="131"/>
        <v>2430</v>
      </c>
      <c r="AO80" s="4">
        <v>3520</v>
      </c>
    </row>
    <row r="81" spans="1:41" s="2" customFormat="1" x14ac:dyDescent="0.2">
      <c r="A81">
        <f t="shared" si="1"/>
        <v>80</v>
      </c>
      <c r="B81" t="s">
        <v>14</v>
      </c>
      <c r="C81">
        <v>1</v>
      </c>
      <c r="D81" t="s">
        <v>12</v>
      </c>
      <c r="E81" s="10">
        <v>1</v>
      </c>
      <c r="F81" t="s">
        <v>10</v>
      </c>
      <c r="G81">
        <v>900</v>
      </c>
      <c r="H81" s="2">
        <f>G81/2+IF(F81="CLD",65,55)</f>
        <v>505</v>
      </c>
      <c r="I81" s="2">
        <f>IF(F81="CLD",G81/2+65,150)</f>
        <v>150</v>
      </c>
      <c r="J81" s="4" t="s">
        <v>18</v>
      </c>
      <c r="K81" s="4">
        <v>50</v>
      </c>
      <c r="L81" s="2">
        <v>1100</v>
      </c>
      <c r="M81" s="4">
        <v>2100</v>
      </c>
      <c r="N81" s="4">
        <v>1200</v>
      </c>
      <c r="O81" s="4">
        <v>780</v>
      </c>
      <c r="P81" s="4">
        <v>62</v>
      </c>
      <c r="Q81" s="4">
        <v>45</v>
      </c>
      <c r="R81" s="2" t="s">
        <v>47</v>
      </c>
      <c r="S81" s="2">
        <f>(-K81+G81/2+H81+10)</f>
        <v>915</v>
      </c>
      <c r="T81" s="2">
        <f>(K81+G81/2+I81+10)</f>
        <v>660</v>
      </c>
      <c r="U81" s="4"/>
      <c r="V81" s="4"/>
      <c r="W81" s="4">
        <f>(L81/2+40+P81+42)</f>
        <v>694</v>
      </c>
      <c r="X81" s="4">
        <f>(L81/2+40+P81+402)</f>
        <v>1054</v>
      </c>
      <c r="Y81" s="4"/>
      <c r="Z81"/>
      <c r="AA81" s="4"/>
      <c r="AB81" s="4"/>
      <c r="AC81" s="2">
        <f t="shared" si="129"/>
        <v>870</v>
      </c>
      <c r="AD81" s="2">
        <f t="shared" si="130"/>
        <v>1340</v>
      </c>
      <c r="AE81" s="2">
        <f>(L81/2+40+P81+190)</f>
        <v>842</v>
      </c>
      <c r="AF81" s="2">
        <f>(L81/2+40+P81+459)</f>
        <v>1111</v>
      </c>
      <c r="AG81" s="2" t="s">
        <v>47</v>
      </c>
      <c r="AH81" s="4">
        <f>MAX(S81,AC81,AE81)</f>
        <v>915</v>
      </c>
      <c r="AI81" s="4">
        <f>MIN(AD81,AF81)</f>
        <v>1111</v>
      </c>
      <c r="AJ81" s="4">
        <f>MAX(T81,W81)</f>
        <v>694</v>
      </c>
      <c r="AK81" s="4">
        <f>X81</f>
        <v>1054</v>
      </c>
      <c r="AL81" s="4">
        <f>(AH81+AJ81)</f>
        <v>1609</v>
      </c>
      <c r="AM81" s="4">
        <f>(AI81+AK81)</f>
        <v>2165</v>
      </c>
      <c r="AN81" s="4">
        <f>(280+M81+25+25)</f>
        <v>2430</v>
      </c>
      <c r="AO81" s="4">
        <v>3520</v>
      </c>
    </row>
    <row r="82" spans="1:41" s="2" customFormat="1" x14ac:dyDescent="0.2">
      <c r="A82">
        <f t="shared" si="1"/>
        <v>81</v>
      </c>
      <c r="B82" t="s">
        <v>14</v>
      </c>
      <c r="C82">
        <v>1</v>
      </c>
      <c r="D82" t="s">
        <v>12</v>
      </c>
      <c r="E82" s="10">
        <v>1</v>
      </c>
      <c r="F82" t="s">
        <v>10</v>
      </c>
      <c r="G82">
        <v>1000</v>
      </c>
      <c r="H82" s="2">
        <f t="shared" si="2"/>
        <v>555</v>
      </c>
      <c r="I82" s="2">
        <f t="shared" si="3"/>
        <v>150</v>
      </c>
      <c r="J82" s="4" t="s">
        <v>18</v>
      </c>
      <c r="K82" s="4">
        <v>30</v>
      </c>
      <c r="L82" s="2">
        <v>1100</v>
      </c>
      <c r="M82" s="4">
        <v>2100</v>
      </c>
      <c r="N82" s="4">
        <v>1200</v>
      </c>
      <c r="O82" s="4">
        <v>780</v>
      </c>
      <c r="P82" s="4">
        <v>62</v>
      </c>
      <c r="Q82" s="4">
        <v>45</v>
      </c>
      <c r="R82" s="2" t="s">
        <v>47</v>
      </c>
      <c r="S82" s="2">
        <f t="shared" si="4"/>
        <v>1035</v>
      </c>
      <c r="T82" s="2">
        <f t="shared" si="5"/>
        <v>690</v>
      </c>
      <c r="U82" s="4"/>
      <c r="V82" s="4"/>
      <c r="W82" s="4">
        <f t="shared" si="8"/>
        <v>694</v>
      </c>
      <c r="X82" s="4">
        <f t="shared" si="9"/>
        <v>1054</v>
      </c>
      <c r="Y82" s="4"/>
      <c r="Z82"/>
      <c r="AA82" s="4"/>
      <c r="AB82" s="4"/>
      <c r="AC82" s="2">
        <f t="shared" si="129"/>
        <v>870</v>
      </c>
      <c r="AD82" s="2">
        <f t="shared" si="130"/>
        <v>1340</v>
      </c>
      <c r="AE82" s="2">
        <f t="shared" si="23"/>
        <v>842</v>
      </c>
      <c r="AF82" s="2">
        <f t="shared" si="24"/>
        <v>1111</v>
      </c>
      <c r="AG82" s="2" t="s">
        <v>47</v>
      </c>
      <c r="AH82" s="4">
        <f t="shared" si="25"/>
        <v>1035</v>
      </c>
      <c r="AI82" s="4">
        <f t="shared" si="26"/>
        <v>1111</v>
      </c>
      <c r="AJ82" s="4">
        <f t="shared" si="27"/>
        <v>694</v>
      </c>
      <c r="AK82" s="4">
        <f t="shared" si="28"/>
        <v>1054</v>
      </c>
      <c r="AL82" s="4">
        <f t="shared" si="29"/>
        <v>1729</v>
      </c>
      <c r="AM82" s="4">
        <f t="shared" si="30"/>
        <v>2165</v>
      </c>
      <c r="AN82" s="4">
        <f t="shared" si="131"/>
        <v>2430</v>
      </c>
      <c r="AO82" s="4">
        <v>3520</v>
      </c>
    </row>
    <row r="83" spans="1:41" s="2" customFormat="1" x14ac:dyDescent="0.2">
      <c r="A83">
        <f t="shared" si="1"/>
        <v>82</v>
      </c>
      <c r="B83" t="s">
        <v>14</v>
      </c>
      <c r="C83">
        <v>1</v>
      </c>
      <c r="D83" t="s">
        <v>12</v>
      </c>
      <c r="E83" s="10">
        <v>1</v>
      </c>
      <c r="F83" t="s">
        <v>11</v>
      </c>
      <c r="G83">
        <v>700</v>
      </c>
      <c r="H83" s="2">
        <f t="shared" si="2"/>
        <v>415</v>
      </c>
      <c r="I83" s="2">
        <f t="shared" si="3"/>
        <v>415</v>
      </c>
      <c r="J83" s="4" t="s">
        <v>19</v>
      </c>
      <c r="K83" s="4">
        <v>0</v>
      </c>
      <c r="L83" s="2">
        <v>1100</v>
      </c>
      <c r="M83" s="4">
        <v>2100</v>
      </c>
      <c r="N83" s="4">
        <v>1200</v>
      </c>
      <c r="O83" s="4">
        <v>780</v>
      </c>
      <c r="P83" s="4">
        <v>62</v>
      </c>
      <c r="Q83" s="4">
        <v>45</v>
      </c>
      <c r="R83" s="2" t="s">
        <v>47</v>
      </c>
      <c r="S83" s="2">
        <f t="shared" si="4"/>
        <v>775</v>
      </c>
      <c r="T83" s="2">
        <f t="shared" si="5"/>
        <v>775</v>
      </c>
      <c r="U83" s="4"/>
      <c r="V83" s="4"/>
      <c r="W83" s="4">
        <f t="shared" si="8"/>
        <v>694</v>
      </c>
      <c r="X83" s="4">
        <f t="shared" si="9"/>
        <v>1054</v>
      </c>
      <c r="Y83" s="4"/>
      <c r="Z83"/>
      <c r="AA83" s="4"/>
      <c r="AB83" s="4"/>
      <c r="AC83" s="2">
        <f t="shared" si="129"/>
        <v>870</v>
      </c>
      <c r="AD83" s="2">
        <f t="shared" si="130"/>
        <v>1340</v>
      </c>
      <c r="AE83" s="2">
        <f t="shared" si="23"/>
        <v>842</v>
      </c>
      <c r="AF83" s="2">
        <f t="shared" si="24"/>
        <v>1111</v>
      </c>
      <c r="AG83" s="2" t="s">
        <v>47</v>
      </c>
      <c r="AH83" s="4">
        <f t="shared" si="25"/>
        <v>870</v>
      </c>
      <c r="AI83" s="4">
        <f t="shared" si="26"/>
        <v>1111</v>
      </c>
      <c r="AJ83" s="4">
        <f t="shared" si="27"/>
        <v>775</v>
      </c>
      <c r="AK83" s="4">
        <f t="shared" si="28"/>
        <v>1054</v>
      </c>
      <c r="AL83" s="4">
        <f t="shared" si="29"/>
        <v>1645</v>
      </c>
      <c r="AM83" s="4">
        <f t="shared" si="30"/>
        <v>2165</v>
      </c>
      <c r="AN83" s="4">
        <f t="shared" si="131"/>
        <v>2430</v>
      </c>
      <c r="AO83" s="4">
        <v>3520</v>
      </c>
    </row>
    <row r="84" spans="1:41" s="2" customFormat="1" x14ac:dyDescent="0.2">
      <c r="A84">
        <f t="shared" si="1"/>
        <v>83</v>
      </c>
      <c r="B84" t="s">
        <v>14</v>
      </c>
      <c r="C84">
        <v>1</v>
      </c>
      <c r="D84" t="s">
        <v>12</v>
      </c>
      <c r="E84" s="10">
        <v>1</v>
      </c>
      <c r="F84" t="s">
        <v>11</v>
      </c>
      <c r="G84">
        <v>800</v>
      </c>
      <c r="H84" s="2">
        <f t="shared" si="2"/>
        <v>465</v>
      </c>
      <c r="I84" s="2">
        <f t="shared" si="3"/>
        <v>465</v>
      </c>
      <c r="J84" s="4" t="s">
        <v>19</v>
      </c>
      <c r="K84" s="4">
        <v>0</v>
      </c>
      <c r="L84" s="2">
        <v>1100</v>
      </c>
      <c r="M84" s="4">
        <v>2100</v>
      </c>
      <c r="N84" s="4">
        <v>1200</v>
      </c>
      <c r="O84" s="4">
        <v>780</v>
      </c>
      <c r="P84" s="4">
        <v>62</v>
      </c>
      <c r="Q84" s="4">
        <v>45</v>
      </c>
      <c r="R84" s="2" t="s">
        <v>47</v>
      </c>
      <c r="S84" s="2">
        <f t="shared" si="4"/>
        <v>875</v>
      </c>
      <c r="T84" s="2">
        <f t="shared" si="5"/>
        <v>875</v>
      </c>
      <c r="U84" s="4"/>
      <c r="V84" s="4"/>
      <c r="W84" s="4">
        <f t="shared" si="8"/>
        <v>694</v>
      </c>
      <c r="X84" s="4">
        <f t="shared" si="9"/>
        <v>1054</v>
      </c>
      <c r="Y84" s="4"/>
      <c r="Z84"/>
      <c r="AA84" s="4"/>
      <c r="AB84" s="4"/>
      <c r="AC84" s="2">
        <f t="shared" si="129"/>
        <v>870</v>
      </c>
      <c r="AD84" s="2">
        <f t="shared" si="130"/>
        <v>1340</v>
      </c>
      <c r="AE84" s="2">
        <f t="shared" si="23"/>
        <v>842</v>
      </c>
      <c r="AF84" s="2">
        <f t="shared" si="24"/>
        <v>1111</v>
      </c>
      <c r="AG84" s="2" t="s">
        <v>47</v>
      </c>
      <c r="AH84" s="4">
        <f t="shared" si="25"/>
        <v>875</v>
      </c>
      <c r="AI84" s="4">
        <f t="shared" si="26"/>
        <v>1111</v>
      </c>
      <c r="AJ84" s="4">
        <f t="shared" si="27"/>
        <v>875</v>
      </c>
      <c r="AK84" s="4">
        <f t="shared" si="28"/>
        <v>1054</v>
      </c>
      <c r="AL84" s="4">
        <f t="shared" si="29"/>
        <v>1750</v>
      </c>
      <c r="AM84" s="4">
        <f t="shared" si="30"/>
        <v>2165</v>
      </c>
      <c r="AN84" s="4">
        <f t="shared" si="131"/>
        <v>2430</v>
      </c>
      <c r="AO84" s="4">
        <v>3520</v>
      </c>
    </row>
    <row r="85" spans="1:41" s="1" customFormat="1" x14ac:dyDescent="0.2">
      <c r="A85">
        <f t="shared" si="1"/>
        <v>84</v>
      </c>
      <c r="B85" s="1" t="s">
        <v>14</v>
      </c>
      <c r="C85" s="1">
        <v>1</v>
      </c>
      <c r="D85" s="1" t="s">
        <v>12</v>
      </c>
      <c r="E85" s="11">
        <v>1</v>
      </c>
      <c r="F85" s="1" t="s">
        <v>11</v>
      </c>
      <c r="G85" s="1">
        <v>900</v>
      </c>
      <c r="H85" s="2">
        <f t="shared" si="2"/>
        <v>515</v>
      </c>
      <c r="I85" s="2">
        <f t="shared" si="3"/>
        <v>515</v>
      </c>
      <c r="J85" s="5" t="s">
        <v>19</v>
      </c>
      <c r="K85" s="5">
        <v>0</v>
      </c>
      <c r="L85" s="1">
        <v>1100</v>
      </c>
      <c r="M85" s="5">
        <v>2100</v>
      </c>
      <c r="N85" s="5">
        <v>1200</v>
      </c>
      <c r="O85" s="5">
        <v>780</v>
      </c>
      <c r="P85" s="5">
        <v>62</v>
      </c>
      <c r="Q85" s="5">
        <v>45</v>
      </c>
      <c r="R85" s="2" t="s">
        <v>47</v>
      </c>
      <c r="S85" s="1">
        <f t="shared" si="4"/>
        <v>975</v>
      </c>
      <c r="T85" s="1">
        <f t="shared" si="5"/>
        <v>975</v>
      </c>
      <c r="U85" s="5"/>
      <c r="V85" s="5"/>
      <c r="W85" s="5">
        <f t="shared" si="8"/>
        <v>694</v>
      </c>
      <c r="X85" s="5">
        <f t="shared" si="9"/>
        <v>1054</v>
      </c>
      <c r="Y85" s="5"/>
      <c r="AA85" s="5"/>
      <c r="AB85" s="5"/>
      <c r="AC85" s="1">
        <f t="shared" si="129"/>
        <v>870</v>
      </c>
      <c r="AD85" s="1">
        <f t="shared" si="130"/>
        <v>1340</v>
      </c>
      <c r="AE85" s="1">
        <f t="shared" si="23"/>
        <v>842</v>
      </c>
      <c r="AF85" s="1">
        <f t="shared" si="24"/>
        <v>1111</v>
      </c>
      <c r="AG85" s="2" t="s">
        <v>47</v>
      </c>
      <c r="AH85" s="5">
        <f t="shared" si="25"/>
        <v>975</v>
      </c>
      <c r="AI85" s="5">
        <f t="shared" si="26"/>
        <v>1111</v>
      </c>
      <c r="AJ85" s="5">
        <f t="shared" si="27"/>
        <v>975</v>
      </c>
      <c r="AK85" s="5">
        <f t="shared" si="28"/>
        <v>1054</v>
      </c>
      <c r="AL85" s="5">
        <f t="shared" si="29"/>
        <v>1950</v>
      </c>
      <c r="AM85" s="5">
        <f t="shared" si="30"/>
        <v>2165</v>
      </c>
      <c r="AN85" s="5">
        <f t="shared" si="131"/>
        <v>2430</v>
      </c>
      <c r="AO85" s="4">
        <v>3520</v>
      </c>
    </row>
    <row r="86" spans="1:41" s="2" customFormat="1" x14ac:dyDescent="0.2">
      <c r="A86">
        <f t="shared" si="1"/>
        <v>85</v>
      </c>
      <c r="B86" t="s">
        <v>14</v>
      </c>
      <c r="C86">
        <v>1</v>
      </c>
      <c r="D86" t="s">
        <v>12</v>
      </c>
      <c r="E86" s="10">
        <v>1.6</v>
      </c>
      <c r="F86" t="s">
        <v>10</v>
      </c>
      <c r="G86" s="4">
        <v>700</v>
      </c>
      <c r="H86" s="2">
        <f t="shared" si="2"/>
        <v>405</v>
      </c>
      <c r="I86" s="2">
        <f t="shared" si="3"/>
        <v>150</v>
      </c>
      <c r="J86" s="4" t="s">
        <v>19</v>
      </c>
      <c r="K86" s="4">
        <v>0</v>
      </c>
      <c r="L86" s="2">
        <v>1100</v>
      </c>
      <c r="M86" s="4">
        <v>2100</v>
      </c>
      <c r="N86" s="4">
        <v>1200</v>
      </c>
      <c r="O86" s="4">
        <v>780</v>
      </c>
      <c r="P86" s="4">
        <v>62</v>
      </c>
      <c r="Q86" s="4">
        <v>45</v>
      </c>
      <c r="R86" s="2" t="s">
        <v>47</v>
      </c>
      <c r="S86" s="2">
        <f t="shared" si="4"/>
        <v>765</v>
      </c>
      <c r="T86" s="2">
        <f t="shared" si="5"/>
        <v>510</v>
      </c>
      <c r="U86" s="4"/>
      <c r="V86" s="4"/>
      <c r="W86" s="4">
        <f t="shared" si="8"/>
        <v>694</v>
      </c>
      <c r="X86" s="4">
        <f t="shared" si="9"/>
        <v>1054</v>
      </c>
      <c r="Y86" s="4"/>
      <c r="AA86" s="4"/>
      <c r="AB86" s="4"/>
      <c r="AC86" s="2">
        <f t="shared" si="129"/>
        <v>870</v>
      </c>
      <c r="AD86" s="2">
        <f t="shared" si="130"/>
        <v>1340</v>
      </c>
      <c r="AE86" s="2">
        <f t="shared" si="23"/>
        <v>842</v>
      </c>
      <c r="AF86" s="2">
        <f t="shared" si="24"/>
        <v>1111</v>
      </c>
      <c r="AG86" s="2" t="s">
        <v>47</v>
      </c>
      <c r="AH86" s="4">
        <f t="shared" si="25"/>
        <v>870</v>
      </c>
      <c r="AI86" s="4">
        <f t="shared" si="26"/>
        <v>1111</v>
      </c>
      <c r="AJ86" s="4">
        <f t="shared" si="27"/>
        <v>694</v>
      </c>
      <c r="AK86" s="4">
        <f t="shared" si="28"/>
        <v>1054</v>
      </c>
      <c r="AL86" s="4">
        <f t="shared" si="29"/>
        <v>1564</v>
      </c>
      <c r="AM86" s="4">
        <f t="shared" si="30"/>
        <v>2165</v>
      </c>
      <c r="AN86" s="4">
        <f t="shared" si="131"/>
        <v>2430</v>
      </c>
      <c r="AO86" s="4">
        <v>3520</v>
      </c>
    </row>
    <row r="87" spans="1:41" s="2" customFormat="1" x14ac:dyDescent="0.2">
      <c r="A87">
        <f t="shared" si="1"/>
        <v>86</v>
      </c>
      <c r="B87" t="s">
        <v>14</v>
      </c>
      <c r="C87">
        <v>1</v>
      </c>
      <c r="D87" t="s">
        <v>12</v>
      </c>
      <c r="E87" s="10">
        <v>1.6</v>
      </c>
      <c r="F87" t="s">
        <v>10</v>
      </c>
      <c r="G87">
        <v>800</v>
      </c>
      <c r="H87" s="2">
        <f t="shared" si="2"/>
        <v>455</v>
      </c>
      <c r="I87" s="2">
        <f t="shared" si="3"/>
        <v>150</v>
      </c>
      <c r="J87" s="4" t="s">
        <v>18</v>
      </c>
      <c r="K87" s="4">
        <v>30</v>
      </c>
      <c r="L87" s="2">
        <v>1100</v>
      </c>
      <c r="M87" s="4">
        <v>2100</v>
      </c>
      <c r="N87" s="4">
        <v>1200</v>
      </c>
      <c r="O87" s="4">
        <v>780</v>
      </c>
      <c r="P87" s="4">
        <v>62</v>
      </c>
      <c r="Q87" s="4">
        <v>45</v>
      </c>
      <c r="R87" s="2" t="s">
        <v>47</v>
      </c>
      <c r="S87" s="2">
        <f t="shared" si="4"/>
        <v>835</v>
      </c>
      <c r="T87" s="2">
        <f t="shared" si="5"/>
        <v>590</v>
      </c>
      <c r="U87" s="4"/>
      <c r="V87" s="4"/>
      <c r="W87" s="4">
        <f t="shared" si="8"/>
        <v>694</v>
      </c>
      <c r="X87" s="4">
        <f t="shared" si="9"/>
        <v>1054</v>
      </c>
      <c r="Y87" s="4"/>
      <c r="Z87"/>
      <c r="AA87" s="4"/>
      <c r="AB87" s="4"/>
      <c r="AC87" s="2">
        <f t="shared" si="129"/>
        <v>870</v>
      </c>
      <c r="AD87" s="2">
        <f t="shared" si="130"/>
        <v>1340</v>
      </c>
      <c r="AE87" s="2">
        <f t="shared" si="23"/>
        <v>842</v>
      </c>
      <c r="AF87" s="2">
        <f t="shared" si="24"/>
        <v>1111</v>
      </c>
      <c r="AG87" s="2" t="s">
        <v>47</v>
      </c>
      <c r="AH87" s="4">
        <f t="shared" si="25"/>
        <v>870</v>
      </c>
      <c r="AI87" s="4">
        <f t="shared" si="26"/>
        <v>1111</v>
      </c>
      <c r="AJ87" s="4">
        <f t="shared" si="27"/>
        <v>694</v>
      </c>
      <c r="AK87" s="4">
        <f t="shared" si="28"/>
        <v>1054</v>
      </c>
      <c r="AL87" s="4">
        <f t="shared" si="29"/>
        <v>1564</v>
      </c>
      <c r="AM87" s="4">
        <f t="shared" si="30"/>
        <v>2165</v>
      </c>
      <c r="AN87" s="4">
        <f t="shared" si="131"/>
        <v>2430</v>
      </c>
      <c r="AO87" s="4">
        <v>3520</v>
      </c>
    </row>
    <row r="88" spans="1:41" s="2" customFormat="1" x14ac:dyDescent="0.2">
      <c r="A88">
        <f t="shared" si="1"/>
        <v>87</v>
      </c>
      <c r="B88" t="s">
        <v>14</v>
      </c>
      <c r="C88">
        <v>1</v>
      </c>
      <c r="D88" t="s">
        <v>12</v>
      </c>
      <c r="E88" s="10">
        <v>1.6</v>
      </c>
      <c r="F88" t="s">
        <v>10</v>
      </c>
      <c r="G88">
        <v>800</v>
      </c>
      <c r="H88" s="2">
        <f t="shared" si="2"/>
        <v>455</v>
      </c>
      <c r="I88" s="2">
        <f t="shared" si="3"/>
        <v>150</v>
      </c>
      <c r="J88" s="4" t="s">
        <v>19</v>
      </c>
      <c r="K88" s="4">
        <v>0</v>
      </c>
      <c r="L88" s="2">
        <v>1100</v>
      </c>
      <c r="M88" s="4">
        <v>2100</v>
      </c>
      <c r="N88" s="4">
        <v>1200</v>
      </c>
      <c r="O88" s="4">
        <v>780</v>
      </c>
      <c r="P88" s="4">
        <v>62</v>
      </c>
      <c r="Q88" s="4">
        <v>45</v>
      </c>
      <c r="R88" s="2" t="s">
        <v>47</v>
      </c>
      <c r="S88" s="2">
        <f t="shared" si="4"/>
        <v>865</v>
      </c>
      <c r="T88" s="2">
        <f t="shared" si="5"/>
        <v>560</v>
      </c>
      <c r="U88" s="4"/>
      <c r="V88" s="4"/>
      <c r="W88" s="4">
        <f t="shared" si="8"/>
        <v>694</v>
      </c>
      <c r="X88" s="4">
        <f t="shared" si="9"/>
        <v>1054</v>
      </c>
      <c r="Y88" s="4"/>
      <c r="Z88"/>
      <c r="AA88" s="4"/>
      <c r="AB88" s="4"/>
      <c r="AC88" s="2">
        <f t="shared" si="129"/>
        <v>870</v>
      </c>
      <c r="AD88" s="2">
        <f t="shared" si="130"/>
        <v>1340</v>
      </c>
      <c r="AE88" s="2">
        <f t="shared" si="23"/>
        <v>842</v>
      </c>
      <c r="AF88" s="2">
        <f t="shared" si="24"/>
        <v>1111</v>
      </c>
      <c r="AG88" s="2" t="s">
        <v>47</v>
      </c>
      <c r="AH88" s="4">
        <f t="shared" si="25"/>
        <v>870</v>
      </c>
      <c r="AI88" s="4">
        <f t="shared" si="26"/>
        <v>1111</v>
      </c>
      <c r="AJ88" s="4">
        <f t="shared" si="27"/>
        <v>694</v>
      </c>
      <c r="AK88" s="4">
        <f t="shared" si="28"/>
        <v>1054</v>
      </c>
      <c r="AL88" s="4">
        <f t="shared" si="29"/>
        <v>1564</v>
      </c>
      <c r="AM88" s="4">
        <f t="shared" si="30"/>
        <v>2165</v>
      </c>
      <c r="AN88" s="4">
        <f t="shared" si="131"/>
        <v>2430</v>
      </c>
      <c r="AO88" s="4">
        <v>3520</v>
      </c>
    </row>
    <row r="89" spans="1:41" s="2" customFormat="1" x14ac:dyDescent="0.2">
      <c r="A89">
        <f t="shared" ref="A89:A152" si="132">A88+1</f>
        <v>88</v>
      </c>
      <c r="B89" t="s">
        <v>14</v>
      </c>
      <c r="C89">
        <v>1</v>
      </c>
      <c r="D89" t="s">
        <v>12</v>
      </c>
      <c r="E89" s="10">
        <v>1.6</v>
      </c>
      <c r="F89" t="s">
        <v>10</v>
      </c>
      <c r="G89">
        <v>900</v>
      </c>
      <c r="H89" s="2">
        <f>G89/2+IF(F89="CLD",65,55)</f>
        <v>505</v>
      </c>
      <c r="I89" s="2">
        <f>IF(F89="CLD",G89/2+65,150)</f>
        <v>150</v>
      </c>
      <c r="J89" s="4" t="s">
        <v>18</v>
      </c>
      <c r="K89" s="4">
        <v>50</v>
      </c>
      <c r="L89" s="2">
        <v>1100</v>
      </c>
      <c r="M89" s="4">
        <v>2100</v>
      </c>
      <c r="N89" s="4">
        <v>1200</v>
      </c>
      <c r="O89" s="4">
        <v>780</v>
      </c>
      <c r="P89" s="4">
        <v>62</v>
      </c>
      <c r="Q89" s="4">
        <v>45</v>
      </c>
      <c r="R89" s="2" t="s">
        <v>47</v>
      </c>
      <c r="S89" s="2">
        <f>(-K89+G89/2+H89+10)</f>
        <v>915</v>
      </c>
      <c r="T89" s="2">
        <f>(K89+G89/2+I89+10)</f>
        <v>660</v>
      </c>
      <c r="U89" s="4"/>
      <c r="V89" s="4"/>
      <c r="W89" s="4">
        <f>(L89/2+40+P89+42)</f>
        <v>694</v>
      </c>
      <c r="X89" s="4">
        <f>(L89/2+40+P89+402)</f>
        <v>1054</v>
      </c>
      <c r="Y89" s="4"/>
      <c r="Z89"/>
      <c r="AA89" s="4"/>
      <c r="AB89" s="4"/>
      <c r="AC89" s="2">
        <f t="shared" si="129"/>
        <v>870</v>
      </c>
      <c r="AD89" s="2">
        <f t="shared" si="130"/>
        <v>1340</v>
      </c>
      <c r="AE89" s="2">
        <f>(L89/2+40+P89+190)</f>
        <v>842</v>
      </c>
      <c r="AF89" s="2">
        <f>(L89/2+40+P89+459)</f>
        <v>1111</v>
      </c>
      <c r="AG89" s="2" t="s">
        <v>47</v>
      </c>
      <c r="AH89" s="4">
        <f>MAX(S89,AC89,AE89)</f>
        <v>915</v>
      </c>
      <c r="AI89" s="4">
        <f>MIN(AD89,AF89)</f>
        <v>1111</v>
      </c>
      <c r="AJ89" s="4">
        <f>MAX(T89,W89)</f>
        <v>694</v>
      </c>
      <c r="AK89" s="4">
        <f>X89</f>
        <v>1054</v>
      </c>
      <c r="AL89" s="4">
        <f>(AH89+AJ89)</f>
        <v>1609</v>
      </c>
      <c r="AM89" s="4">
        <f>(AI89+AK89)</f>
        <v>2165</v>
      </c>
      <c r="AN89" s="4">
        <f>(280+M89+25+25)</f>
        <v>2430</v>
      </c>
      <c r="AO89" s="4">
        <v>3520</v>
      </c>
    </row>
    <row r="90" spans="1:41" s="2" customFormat="1" x14ac:dyDescent="0.2">
      <c r="A90">
        <f t="shared" si="132"/>
        <v>89</v>
      </c>
      <c r="B90" t="s">
        <v>14</v>
      </c>
      <c r="C90">
        <v>1</v>
      </c>
      <c r="D90" t="s">
        <v>12</v>
      </c>
      <c r="E90" s="10">
        <v>1.6</v>
      </c>
      <c r="F90" t="s">
        <v>10</v>
      </c>
      <c r="G90">
        <v>1000</v>
      </c>
      <c r="H90" s="2">
        <f t="shared" si="2"/>
        <v>555</v>
      </c>
      <c r="I90" s="2">
        <f t="shared" si="3"/>
        <v>150</v>
      </c>
      <c r="J90" s="4" t="s">
        <v>18</v>
      </c>
      <c r="K90" s="4">
        <v>30</v>
      </c>
      <c r="L90" s="2">
        <v>1100</v>
      </c>
      <c r="M90" s="4">
        <v>2100</v>
      </c>
      <c r="N90" s="4">
        <v>1200</v>
      </c>
      <c r="O90" s="4">
        <v>780</v>
      </c>
      <c r="P90" s="4">
        <v>62</v>
      </c>
      <c r="Q90" s="4">
        <v>45</v>
      </c>
      <c r="R90" s="2" t="s">
        <v>47</v>
      </c>
      <c r="S90" s="2">
        <f t="shared" si="4"/>
        <v>1035</v>
      </c>
      <c r="T90" s="2">
        <f t="shared" si="5"/>
        <v>690</v>
      </c>
      <c r="U90" s="4"/>
      <c r="V90" s="4"/>
      <c r="W90" s="4">
        <f t="shared" si="8"/>
        <v>694</v>
      </c>
      <c r="X90" s="4">
        <f t="shared" si="9"/>
        <v>1054</v>
      </c>
      <c r="Y90" s="4"/>
      <c r="Z90"/>
      <c r="AA90" s="4"/>
      <c r="AB90" s="4"/>
      <c r="AC90" s="2">
        <f t="shared" si="129"/>
        <v>870</v>
      </c>
      <c r="AD90" s="2">
        <f t="shared" si="130"/>
        <v>1340</v>
      </c>
      <c r="AE90" s="2">
        <f t="shared" si="23"/>
        <v>842</v>
      </c>
      <c r="AF90" s="2">
        <f t="shared" si="24"/>
        <v>1111</v>
      </c>
      <c r="AG90" s="2" t="s">
        <v>47</v>
      </c>
      <c r="AH90" s="4">
        <f t="shared" si="25"/>
        <v>1035</v>
      </c>
      <c r="AI90" s="4">
        <f t="shared" si="26"/>
        <v>1111</v>
      </c>
      <c r="AJ90" s="4">
        <f t="shared" si="27"/>
        <v>694</v>
      </c>
      <c r="AK90" s="4">
        <f t="shared" si="28"/>
        <v>1054</v>
      </c>
      <c r="AL90" s="4">
        <f t="shared" si="29"/>
        <v>1729</v>
      </c>
      <c r="AM90" s="4">
        <f t="shared" si="30"/>
        <v>2165</v>
      </c>
      <c r="AN90" s="4">
        <f t="shared" si="131"/>
        <v>2430</v>
      </c>
      <c r="AO90" s="4">
        <v>3520</v>
      </c>
    </row>
    <row r="91" spans="1:41" s="2" customFormat="1" x14ac:dyDescent="0.2">
      <c r="A91">
        <f t="shared" si="132"/>
        <v>90</v>
      </c>
      <c r="B91" t="s">
        <v>14</v>
      </c>
      <c r="C91">
        <v>1</v>
      </c>
      <c r="D91" t="s">
        <v>12</v>
      </c>
      <c r="E91" s="10">
        <v>1.6</v>
      </c>
      <c r="F91" t="s">
        <v>11</v>
      </c>
      <c r="G91">
        <v>700</v>
      </c>
      <c r="H91" s="2">
        <f t="shared" si="2"/>
        <v>415</v>
      </c>
      <c r="I91" s="2">
        <f t="shared" si="3"/>
        <v>415</v>
      </c>
      <c r="J91" s="4" t="s">
        <v>19</v>
      </c>
      <c r="K91" s="4">
        <v>0</v>
      </c>
      <c r="L91" s="2">
        <v>1100</v>
      </c>
      <c r="M91" s="4">
        <v>2100</v>
      </c>
      <c r="N91" s="4">
        <v>1200</v>
      </c>
      <c r="O91" s="4">
        <v>780</v>
      </c>
      <c r="P91" s="4">
        <v>62</v>
      </c>
      <c r="Q91" s="4">
        <v>45</v>
      </c>
      <c r="R91" s="2" t="s">
        <v>47</v>
      </c>
      <c r="S91" s="2">
        <f t="shared" si="4"/>
        <v>775</v>
      </c>
      <c r="T91" s="2">
        <f t="shared" si="5"/>
        <v>775</v>
      </c>
      <c r="U91" s="4"/>
      <c r="V91" s="4"/>
      <c r="W91" s="4">
        <f t="shared" si="8"/>
        <v>694</v>
      </c>
      <c r="X91" s="4">
        <f t="shared" si="9"/>
        <v>1054</v>
      </c>
      <c r="Y91" s="4"/>
      <c r="Z91"/>
      <c r="AA91" s="4"/>
      <c r="AB91" s="4"/>
      <c r="AC91" s="2">
        <f t="shared" si="129"/>
        <v>870</v>
      </c>
      <c r="AD91" s="2">
        <f t="shared" si="130"/>
        <v>1340</v>
      </c>
      <c r="AE91" s="2">
        <f t="shared" si="23"/>
        <v>842</v>
      </c>
      <c r="AF91" s="2">
        <f t="shared" si="24"/>
        <v>1111</v>
      </c>
      <c r="AG91" s="2" t="s">
        <v>47</v>
      </c>
      <c r="AH91" s="4">
        <f t="shared" si="25"/>
        <v>870</v>
      </c>
      <c r="AI91" s="4">
        <f t="shared" si="26"/>
        <v>1111</v>
      </c>
      <c r="AJ91" s="4">
        <f t="shared" si="27"/>
        <v>775</v>
      </c>
      <c r="AK91" s="4">
        <f t="shared" si="28"/>
        <v>1054</v>
      </c>
      <c r="AL91" s="4">
        <f t="shared" si="29"/>
        <v>1645</v>
      </c>
      <c r="AM91" s="4">
        <f t="shared" si="30"/>
        <v>2165</v>
      </c>
      <c r="AN91" s="4">
        <f t="shared" si="131"/>
        <v>2430</v>
      </c>
      <c r="AO91" s="4">
        <v>3520</v>
      </c>
    </row>
    <row r="92" spans="1:41" s="2" customFormat="1" x14ac:dyDescent="0.2">
      <c r="A92">
        <f t="shared" si="132"/>
        <v>91</v>
      </c>
      <c r="B92" t="s">
        <v>14</v>
      </c>
      <c r="C92">
        <v>1</v>
      </c>
      <c r="D92" t="s">
        <v>12</v>
      </c>
      <c r="E92" s="10">
        <v>1.6</v>
      </c>
      <c r="F92" t="s">
        <v>11</v>
      </c>
      <c r="G92">
        <v>800</v>
      </c>
      <c r="H92" s="2">
        <f t="shared" si="2"/>
        <v>465</v>
      </c>
      <c r="I92" s="2">
        <f t="shared" si="3"/>
        <v>465</v>
      </c>
      <c r="J92" s="4" t="s">
        <v>19</v>
      </c>
      <c r="K92" s="4">
        <v>0</v>
      </c>
      <c r="L92" s="2">
        <v>1100</v>
      </c>
      <c r="M92" s="4">
        <v>2100</v>
      </c>
      <c r="N92" s="4">
        <v>1200</v>
      </c>
      <c r="O92" s="4">
        <v>780</v>
      </c>
      <c r="P92" s="4">
        <v>62</v>
      </c>
      <c r="Q92" s="4">
        <v>45</v>
      </c>
      <c r="R92" s="2" t="s">
        <v>47</v>
      </c>
      <c r="S92" s="2">
        <f t="shared" si="4"/>
        <v>875</v>
      </c>
      <c r="T92" s="2">
        <f t="shared" si="5"/>
        <v>875</v>
      </c>
      <c r="U92" s="4"/>
      <c r="V92" s="4"/>
      <c r="W92" s="4">
        <f t="shared" si="8"/>
        <v>694</v>
      </c>
      <c r="X92" s="4">
        <f t="shared" si="9"/>
        <v>1054</v>
      </c>
      <c r="Y92" s="4"/>
      <c r="Z92"/>
      <c r="AA92" s="4"/>
      <c r="AB92" s="4"/>
      <c r="AC92" s="2">
        <f t="shared" si="129"/>
        <v>870</v>
      </c>
      <c r="AD92" s="2">
        <f t="shared" si="130"/>
        <v>1340</v>
      </c>
      <c r="AE92" s="2">
        <f t="shared" si="23"/>
        <v>842</v>
      </c>
      <c r="AF92" s="2">
        <f t="shared" si="24"/>
        <v>1111</v>
      </c>
      <c r="AG92" s="2" t="s">
        <v>47</v>
      </c>
      <c r="AH92" s="4">
        <f t="shared" si="25"/>
        <v>875</v>
      </c>
      <c r="AI92" s="4">
        <f t="shared" si="26"/>
        <v>1111</v>
      </c>
      <c r="AJ92" s="4">
        <f t="shared" si="27"/>
        <v>875</v>
      </c>
      <c r="AK92" s="4">
        <f t="shared" si="28"/>
        <v>1054</v>
      </c>
      <c r="AL92" s="4">
        <f t="shared" si="29"/>
        <v>1750</v>
      </c>
      <c r="AM92" s="4">
        <f t="shared" si="30"/>
        <v>2165</v>
      </c>
      <c r="AN92" s="4">
        <f t="shared" si="131"/>
        <v>2430</v>
      </c>
      <c r="AO92" s="4">
        <v>3520</v>
      </c>
    </row>
    <row r="93" spans="1:41" s="1" customFormat="1" x14ac:dyDescent="0.2">
      <c r="A93">
        <f t="shared" si="132"/>
        <v>92</v>
      </c>
      <c r="B93" s="1" t="s">
        <v>14</v>
      </c>
      <c r="C93" s="1">
        <v>1</v>
      </c>
      <c r="D93" s="1" t="s">
        <v>12</v>
      </c>
      <c r="E93" s="11">
        <v>1.6</v>
      </c>
      <c r="F93" s="1" t="s">
        <v>11</v>
      </c>
      <c r="G93" s="1">
        <v>900</v>
      </c>
      <c r="H93" s="2">
        <f t="shared" si="2"/>
        <v>515</v>
      </c>
      <c r="I93" s="2">
        <f t="shared" si="3"/>
        <v>515</v>
      </c>
      <c r="J93" s="5" t="s">
        <v>19</v>
      </c>
      <c r="K93" s="5">
        <v>0</v>
      </c>
      <c r="L93" s="1">
        <v>1100</v>
      </c>
      <c r="M93" s="5">
        <v>2100</v>
      </c>
      <c r="N93" s="5">
        <v>1200</v>
      </c>
      <c r="O93" s="5">
        <v>780</v>
      </c>
      <c r="P93" s="5">
        <v>62</v>
      </c>
      <c r="Q93" s="5">
        <v>45</v>
      </c>
      <c r="R93" s="2" t="s">
        <v>47</v>
      </c>
      <c r="S93" s="1">
        <f t="shared" si="4"/>
        <v>975</v>
      </c>
      <c r="T93" s="1">
        <f t="shared" si="5"/>
        <v>975</v>
      </c>
      <c r="U93" s="5"/>
      <c r="V93" s="5"/>
      <c r="W93" s="5">
        <f t="shared" si="8"/>
        <v>694</v>
      </c>
      <c r="X93" s="5">
        <f t="shared" si="9"/>
        <v>1054</v>
      </c>
      <c r="Y93" s="5"/>
      <c r="AA93" s="5"/>
      <c r="AB93" s="5"/>
      <c r="AC93" s="1">
        <f t="shared" si="129"/>
        <v>870</v>
      </c>
      <c r="AD93" s="1">
        <f t="shared" si="130"/>
        <v>1340</v>
      </c>
      <c r="AE93" s="1">
        <f t="shared" si="23"/>
        <v>842</v>
      </c>
      <c r="AF93" s="1">
        <f t="shared" si="24"/>
        <v>1111</v>
      </c>
      <c r="AG93" s="2" t="s">
        <v>47</v>
      </c>
      <c r="AH93" s="5">
        <f t="shared" si="25"/>
        <v>975</v>
      </c>
      <c r="AI93" s="5">
        <f t="shared" si="26"/>
        <v>1111</v>
      </c>
      <c r="AJ93" s="5">
        <f t="shared" si="27"/>
        <v>975</v>
      </c>
      <c r="AK93" s="5">
        <f t="shared" si="28"/>
        <v>1054</v>
      </c>
      <c r="AL93" s="5">
        <f t="shared" si="29"/>
        <v>1950</v>
      </c>
      <c r="AM93" s="5">
        <f t="shared" si="30"/>
        <v>2165</v>
      </c>
      <c r="AN93" s="5">
        <f t="shared" si="131"/>
        <v>2430</v>
      </c>
      <c r="AO93" s="4">
        <v>3520</v>
      </c>
    </row>
    <row r="94" spans="1:41" s="2" customFormat="1" x14ac:dyDescent="0.2">
      <c r="A94">
        <f t="shared" si="132"/>
        <v>93</v>
      </c>
      <c r="B94" t="s">
        <v>14</v>
      </c>
      <c r="C94">
        <v>2</v>
      </c>
      <c r="D94" t="s">
        <v>12</v>
      </c>
      <c r="E94" s="10">
        <v>1</v>
      </c>
      <c r="F94" t="s">
        <v>10</v>
      </c>
      <c r="G94" s="4">
        <v>700</v>
      </c>
      <c r="H94" s="2">
        <f t="shared" si="2"/>
        <v>405</v>
      </c>
      <c r="I94" s="2">
        <f t="shared" si="3"/>
        <v>150</v>
      </c>
      <c r="J94" s="4" t="s">
        <v>19</v>
      </c>
      <c r="K94" s="4">
        <v>0</v>
      </c>
      <c r="L94" s="2">
        <v>1100</v>
      </c>
      <c r="M94" s="4">
        <v>2100</v>
      </c>
      <c r="N94" s="4">
        <v>1200</v>
      </c>
      <c r="O94" s="4">
        <v>780</v>
      </c>
      <c r="P94" s="4">
        <v>62</v>
      </c>
      <c r="Q94" s="4">
        <v>45</v>
      </c>
      <c r="R94" s="2" t="s">
        <v>47</v>
      </c>
      <c r="S94" s="2">
        <f t="shared" si="4"/>
        <v>765</v>
      </c>
      <c r="T94" s="2">
        <f t="shared" si="5"/>
        <v>510</v>
      </c>
      <c r="U94" s="4"/>
      <c r="V94" s="4"/>
      <c r="W94" s="4">
        <f t="shared" si="8"/>
        <v>694</v>
      </c>
      <c r="X94" s="4">
        <f t="shared" si="9"/>
        <v>1054</v>
      </c>
      <c r="Y94" s="4"/>
      <c r="AA94" s="4"/>
      <c r="AB94" s="4"/>
      <c r="AC94" s="2">
        <f t="shared" si="129"/>
        <v>870</v>
      </c>
      <c r="AD94" s="2">
        <f t="shared" si="130"/>
        <v>1340</v>
      </c>
      <c r="AE94" s="2">
        <f t="shared" si="23"/>
        <v>842</v>
      </c>
      <c r="AF94" s="2">
        <f t="shared" si="24"/>
        <v>1111</v>
      </c>
      <c r="AG94" s="2" t="s">
        <v>47</v>
      </c>
      <c r="AH94" s="4">
        <f t="shared" si="25"/>
        <v>870</v>
      </c>
      <c r="AI94" s="4">
        <f t="shared" si="26"/>
        <v>1111</v>
      </c>
      <c r="AJ94" s="4">
        <f t="shared" si="27"/>
        <v>694</v>
      </c>
      <c r="AK94" s="4">
        <f t="shared" si="28"/>
        <v>1054</v>
      </c>
      <c r="AL94" s="4">
        <f t="shared" si="29"/>
        <v>1564</v>
      </c>
      <c r="AM94" s="4">
        <f t="shared" si="30"/>
        <v>2165</v>
      </c>
      <c r="AN94" s="4">
        <f t="shared" ref="AN94:AN109" si="133">(280+M94+280)</f>
        <v>2660</v>
      </c>
      <c r="AO94" s="4">
        <f t="shared" ref="AO94:AO109" si="134">(280+M94+280)</f>
        <v>2660</v>
      </c>
    </row>
    <row r="95" spans="1:41" s="2" customFormat="1" x14ac:dyDescent="0.2">
      <c r="A95">
        <f t="shared" si="132"/>
        <v>94</v>
      </c>
      <c r="B95" t="s">
        <v>14</v>
      </c>
      <c r="C95">
        <v>2</v>
      </c>
      <c r="D95" t="s">
        <v>12</v>
      </c>
      <c r="E95" s="10">
        <v>1</v>
      </c>
      <c r="F95" t="s">
        <v>10</v>
      </c>
      <c r="G95">
        <v>800</v>
      </c>
      <c r="H95" s="2">
        <f t="shared" si="2"/>
        <v>455</v>
      </c>
      <c r="I95" s="2">
        <f t="shared" si="3"/>
        <v>150</v>
      </c>
      <c r="J95" s="4" t="s">
        <v>18</v>
      </c>
      <c r="K95" s="4">
        <v>30</v>
      </c>
      <c r="L95" s="2">
        <v>1100</v>
      </c>
      <c r="M95" s="4">
        <v>2100</v>
      </c>
      <c r="N95" s="4">
        <v>1200</v>
      </c>
      <c r="O95" s="4">
        <v>780</v>
      </c>
      <c r="P95" s="4">
        <v>62</v>
      </c>
      <c r="Q95" s="4">
        <v>45</v>
      </c>
      <c r="R95" s="2" t="s">
        <v>47</v>
      </c>
      <c r="S95" s="2">
        <f t="shared" si="4"/>
        <v>835</v>
      </c>
      <c r="T95" s="2">
        <f t="shared" si="5"/>
        <v>590</v>
      </c>
      <c r="U95" s="4"/>
      <c r="V95" s="4"/>
      <c r="W95" s="4">
        <f t="shared" si="8"/>
        <v>694</v>
      </c>
      <c r="X95" s="4">
        <f t="shared" si="9"/>
        <v>1054</v>
      </c>
      <c r="Y95" s="4"/>
      <c r="Z95"/>
      <c r="AA95" s="4"/>
      <c r="AB95" s="4"/>
      <c r="AC95" s="2">
        <f t="shared" si="129"/>
        <v>870</v>
      </c>
      <c r="AD95" s="2">
        <f t="shared" si="130"/>
        <v>1340</v>
      </c>
      <c r="AE95" s="2">
        <f t="shared" si="23"/>
        <v>842</v>
      </c>
      <c r="AF95" s="2">
        <f t="shared" si="24"/>
        <v>1111</v>
      </c>
      <c r="AG95" s="2" t="s">
        <v>47</v>
      </c>
      <c r="AH95" s="4">
        <f t="shared" si="25"/>
        <v>870</v>
      </c>
      <c r="AI95" s="4">
        <f t="shared" si="26"/>
        <v>1111</v>
      </c>
      <c r="AJ95" s="4">
        <f t="shared" si="27"/>
        <v>694</v>
      </c>
      <c r="AK95" s="4">
        <f t="shared" si="28"/>
        <v>1054</v>
      </c>
      <c r="AL95" s="4">
        <f t="shared" si="29"/>
        <v>1564</v>
      </c>
      <c r="AM95" s="4">
        <f t="shared" si="30"/>
        <v>2165</v>
      </c>
      <c r="AN95" s="4">
        <f t="shared" si="133"/>
        <v>2660</v>
      </c>
      <c r="AO95" s="4">
        <f t="shared" si="134"/>
        <v>2660</v>
      </c>
    </row>
    <row r="96" spans="1:41" s="2" customFormat="1" x14ac:dyDescent="0.2">
      <c r="A96">
        <f t="shared" si="132"/>
        <v>95</v>
      </c>
      <c r="B96" t="s">
        <v>14</v>
      </c>
      <c r="C96">
        <v>2</v>
      </c>
      <c r="D96" t="s">
        <v>12</v>
      </c>
      <c r="E96" s="10">
        <v>1</v>
      </c>
      <c r="F96" t="s">
        <v>10</v>
      </c>
      <c r="G96">
        <v>800</v>
      </c>
      <c r="H96" s="2">
        <f t="shared" si="2"/>
        <v>455</v>
      </c>
      <c r="I96" s="2">
        <f t="shared" si="3"/>
        <v>150</v>
      </c>
      <c r="J96" s="4" t="s">
        <v>19</v>
      </c>
      <c r="K96" s="4">
        <v>0</v>
      </c>
      <c r="L96" s="2">
        <v>1100</v>
      </c>
      <c r="M96" s="4">
        <v>2100</v>
      </c>
      <c r="N96" s="4">
        <v>1200</v>
      </c>
      <c r="O96" s="4">
        <v>780</v>
      </c>
      <c r="P96" s="4">
        <v>62</v>
      </c>
      <c r="Q96" s="4">
        <v>45</v>
      </c>
      <c r="R96" s="2" t="s">
        <v>47</v>
      </c>
      <c r="S96" s="2">
        <f t="shared" si="4"/>
        <v>865</v>
      </c>
      <c r="T96" s="2">
        <f t="shared" si="5"/>
        <v>560</v>
      </c>
      <c r="U96" s="4"/>
      <c r="V96" s="4"/>
      <c r="W96" s="4">
        <f t="shared" si="8"/>
        <v>694</v>
      </c>
      <c r="X96" s="4">
        <f t="shared" si="9"/>
        <v>1054</v>
      </c>
      <c r="Y96" s="4"/>
      <c r="Z96"/>
      <c r="AA96" s="4"/>
      <c r="AB96" s="4"/>
      <c r="AC96" s="2">
        <f t="shared" si="129"/>
        <v>870</v>
      </c>
      <c r="AD96" s="2">
        <f t="shared" si="130"/>
        <v>1340</v>
      </c>
      <c r="AE96" s="2">
        <f t="shared" si="23"/>
        <v>842</v>
      </c>
      <c r="AF96" s="2">
        <f t="shared" si="24"/>
        <v>1111</v>
      </c>
      <c r="AG96" s="2" t="s">
        <v>47</v>
      </c>
      <c r="AH96" s="4">
        <f t="shared" si="25"/>
        <v>870</v>
      </c>
      <c r="AI96" s="4">
        <f t="shared" si="26"/>
        <v>1111</v>
      </c>
      <c r="AJ96" s="4">
        <f t="shared" si="27"/>
        <v>694</v>
      </c>
      <c r="AK96" s="4">
        <f t="shared" si="28"/>
        <v>1054</v>
      </c>
      <c r="AL96" s="4">
        <f t="shared" si="29"/>
        <v>1564</v>
      </c>
      <c r="AM96" s="4">
        <f t="shared" si="30"/>
        <v>2165</v>
      </c>
      <c r="AN96" s="4">
        <f t="shared" si="133"/>
        <v>2660</v>
      </c>
      <c r="AO96" s="4">
        <f t="shared" si="134"/>
        <v>2660</v>
      </c>
    </row>
    <row r="97" spans="1:41" s="2" customFormat="1" x14ac:dyDescent="0.2">
      <c r="A97">
        <f t="shared" si="132"/>
        <v>96</v>
      </c>
      <c r="B97" t="s">
        <v>14</v>
      </c>
      <c r="C97">
        <v>2</v>
      </c>
      <c r="D97" t="s">
        <v>12</v>
      </c>
      <c r="E97" s="10">
        <v>1</v>
      </c>
      <c r="F97" t="s">
        <v>10</v>
      </c>
      <c r="G97">
        <v>900</v>
      </c>
      <c r="H97" s="2">
        <f>G97/2+IF(F97="CLD",65,55)</f>
        <v>505</v>
      </c>
      <c r="I97" s="2">
        <f>IF(F97="CLD",G97/2+65,150)</f>
        <v>150</v>
      </c>
      <c r="J97" s="4" t="s">
        <v>18</v>
      </c>
      <c r="K97" s="4">
        <v>50</v>
      </c>
      <c r="L97" s="2">
        <v>1100</v>
      </c>
      <c r="M97" s="4">
        <v>2100</v>
      </c>
      <c r="N97" s="4">
        <v>1200</v>
      </c>
      <c r="O97" s="4">
        <v>780</v>
      </c>
      <c r="P97" s="4">
        <v>62</v>
      </c>
      <c r="Q97" s="4">
        <v>45</v>
      </c>
      <c r="R97" s="2" t="s">
        <v>47</v>
      </c>
      <c r="S97" s="2">
        <f>(-K97+G97/2+H97+10)</f>
        <v>915</v>
      </c>
      <c r="T97" s="2">
        <f>(K97+G97/2+I97+10)</f>
        <v>660</v>
      </c>
      <c r="U97" s="4"/>
      <c r="V97" s="4"/>
      <c r="W97" s="4">
        <f>(L97/2+40+P97+42)</f>
        <v>694</v>
      </c>
      <c r="X97" s="4">
        <f>(L97/2+40+P97+402)</f>
        <v>1054</v>
      </c>
      <c r="Y97" s="4"/>
      <c r="Z97"/>
      <c r="AA97" s="4"/>
      <c r="AB97" s="4"/>
      <c r="AC97" s="2">
        <f t="shared" si="129"/>
        <v>870</v>
      </c>
      <c r="AD97" s="2">
        <f t="shared" si="130"/>
        <v>1340</v>
      </c>
      <c r="AE97" s="2">
        <f>(L97/2+40+P97+190)</f>
        <v>842</v>
      </c>
      <c r="AF97" s="2">
        <f>(L97/2+40+P97+459)</f>
        <v>1111</v>
      </c>
      <c r="AG97" s="2" t="s">
        <v>47</v>
      </c>
      <c r="AH97" s="4">
        <f>MAX(S97,AC97,AE97)</f>
        <v>915</v>
      </c>
      <c r="AI97" s="4">
        <f>MIN(AD97,AF97)</f>
        <v>1111</v>
      </c>
      <c r="AJ97" s="4">
        <f>MAX(T97,W97)</f>
        <v>694</v>
      </c>
      <c r="AK97" s="4">
        <f>X97</f>
        <v>1054</v>
      </c>
      <c r="AL97" s="4">
        <f>(AH97+AJ97)</f>
        <v>1609</v>
      </c>
      <c r="AM97" s="4">
        <f>(AI97+AK97)</f>
        <v>2165</v>
      </c>
      <c r="AN97" s="4">
        <f>(280+M97+280)</f>
        <v>2660</v>
      </c>
      <c r="AO97" s="4">
        <f>(280+M97+280)</f>
        <v>2660</v>
      </c>
    </row>
    <row r="98" spans="1:41" s="2" customFormat="1" x14ac:dyDescent="0.2">
      <c r="A98">
        <f t="shared" si="132"/>
        <v>97</v>
      </c>
      <c r="B98" t="s">
        <v>14</v>
      </c>
      <c r="C98">
        <v>2</v>
      </c>
      <c r="D98" t="s">
        <v>12</v>
      </c>
      <c r="E98" s="10">
        <v>1</v>
      </c>
      <c r="F98" t="s">
        <v>10</v>
      </c>
      <c r="G98">
        <v>1000</v>
      </c>
      <c r="H98" s="2">
        <f t="shared" si="2"/>
        <v>555</v>
      </c>
      <c r="I98" s="2">
        <f t="shared" si="3"/>
        <v>150</v>
      </c>
      <c r="J98" s="4" t="s">
        <v>18</v>
      </c>
      <c r="K98" s="4">
        <v>30</v>
      </c>
      <c r="L98" s="2">
        <v>1100</v>
      </c>
      <c r="M98" s="4">
        <v>2100</v>
      </c>
      <c r="N98" s="4">
        <v>1200</v>
      </c>
      <c r="O98" s="4">
        <v>780</v>
      </c>
      <c r="P98" s="4">
        <v>62</v>
      </c>
      <c r="Q98" s="4">
        <v>45</v>
      </c>
      <c r="R98" s="2" t="s">
        <v>47</v>
      </c>
      <c r="S98" s="2">
        <f t="shared" si="4"/>
        <v>1035</v>
      </c>
      <c r="T98" s="2">
        <f t="shared" si="5"/>
        <v>690</v>
      </c>
      <c r="U98" s="4"/>
      <c r="V98" s="4"/>
      <c r="W98" s="4">
        <f t="shared" si="8"/>
        <v>694</v>
      </c>
      <c r="X98" s="4">
        <f t="shared" si="9"/>
        <v>1054</v>
      </c>
      <c r="Y98" s="4"/>
      <c r="Z98"/>
      <c r="AA98" s="4"/>
      <c r="AB98" s="4"/>
      <c r="AC98" s="2">
        <f t="shared" si="129"/>
        <v>870</v>
      </c>
      <c r="AD98" s="2">
        <f t="shared" si="130"/>
        <v>1340</v>
      </c>
      <c r="AE98" s="2">
        <f t="shared" si="23"/>
        <v>842</v>
      </c>
      <c r="AF98" s="2">
        <f t="shared" si="24"/>
        <v>1111</v>
      </c>
      <c r="AG98" s="2" t="s">
        <v>47</v>
      </c>
      <c r="AH98" s="4">
        <f t="shared" si="25"/>
        <v>1035</v>
      </c>
      <c r="AI98" s="4">
        <f t="shared" si="26"/>
        <v>1111</v>
      </c>
      <c r="AJ98" s="4">
        <f t="shared" si="27"/>
        <v>694</v>
      </c>
      <c r="AK98" s="4">
        <f t="shared" si="28"/>
        <v>1054</v>
      </c>
      <c r="AL98" s="4">
        <f t="shared" si="29"/>
        <v>1729</v>
      </c>
      <c r="AM98" s="4">
        <f t="shared" si="30"/>
        <v>2165</v>
      </c>
      <c r="AN98" s="4">
        <f t="shared" si="133"/>
        <v>2660</v>
      </c>
      <c r="AO98" s="4">
        <f t="shared" si="134"/>
        <v>2660</v>
      </c>
    </row>
    <row r="99" spans="1:41" s="2" customFormat="1" x14ac:dyDescent="0.2">
      <c r="A99">
        <f t="shared" si="132"/>
        <v>98</v>
      </c>
      <c r="B99" t="s">
        <v>14</v>
      </c>
      <c r="C99">
        <v>2</v>
      </c>
      <c r="D99" t="s">
        <v>12</v>
      </c>
      <c r="E99" s="10">
        <v>1</v>
      </c>
      <c r="F99" t="s">
        <v>11</v>
      </c>
      <c r="G99">
        <v>700</v>
      </c>
      <c r="H99" s="2">
        <f t="shared" si="2"/>
        <v>415</v>
      </c>
      <c r="I99" s="2">
        <f t="shared" si="3"/>
        <v>415</v>
      </c>
      <c r="J99" s="4" t="s">
        <v>19</v>
      </c>
      <c r="K99" s="4">
        <v>0</v>
      </c>
      <c r="L99" s="2">
        <v>1100</v>
      </c>
      <c r="M99" s="4">
        <v>2100</v>
      </c>
      <c r="N99" s="4">
        <v>1200</v>
      </c>
      <c r="O99" s="4">
        <v>780</v>
      </c>
      <c r="P99" s="4">
        <v>62</v>
      </c>
      <c r="Q99" s="4">
        <v>45</v>
      </c>
      <c r="R99" s="2" t="s">
        <v>47</v>
      </c>
      <c r="S99" s="2">
        <f t="shared" si="4"/>
        <v>775</v>
      </c>
      <c r="T99" s="2">
        <f t="shared" si="5"/>
        <v>775</v>
      </c>
      <c r="U99" s="4"/>
      <c r="V99" s="4"/>
      <c r="W99" s="4">
        <f t="shared" si="8"/>
        <v>694</v>
      </c>
      <c r="X99" s="4">
        <f t="shared" si="9"/>
        <v>1054</v>
      </c>
      <c r="Y99" s="4"/>
      <c r="Z99"/>
      <c r="AA99" s="4"/>
      <c r="AB99" s="4"/>
      <c r="AC99" s="2">
        <f t="shared" si="129"/>
        <v>870</v>
      </c>
      <c r="AD99" s="2">
        <f t="shared" si="130"/>
        <v>1340</v>
      </c>
      <c r="AE99" s="2">
        <f t="shared" si="23"/>
        <v>842</v>
      </c>
      <c r="AF99" s="2">
        <f t="shared" si="24"/>
        <v>1111</v>
      </c>
      <c r="AG99" s="2" t="s">
        <v>47</v>
      </c>
      <c r="AH99" s="4">
        <f t="shared" si="25"/>
        <v>870</v>
      </c>
      <c r="AI99" s="4">
        <f t="shared" si="26"/>
        <v>1111</v>
      </c>
      <c r="AJ99" s="4">
        <f t="shared" si="27"/>
        <v>775</v>
      </c>
      <c r="AK99" s="4">
        <f t="shared" si="28"/>
        <v>1054</v>
      </c>
      <c r="AL99" s="4">
        <f t="shared" si="29"/>
        <v>1645</v>
      </c>
      <c r="AM99" s="4">
        <f t="shared" si="30"/>
        <v>2165</v>
      </c>
      <c r="AN99" s="4">
        <f t="shared" si="133"/>
        <v>2660</v>
      </c>
      <c r="AO99" s="4">
        <f t="shared" si="134"/>
        <v>2660</v>
      </c>
    </row>
    <row r="100" spans="1:41" s="2" customFormat="1" x14ac:dyDescent="0.2">
      <c r="A100">
        <f t="shared" si="132"/>
        <v>99</v>
      </c>
      <c r="B100" t="s">
        <v>14</v>
      </c>
      <c r="C100">
        <v>2</v>
      </c>
      <c r="D100" t="s">
        <v>12</v>
      </c>
      <c r="E100" s="10">
        <v>1</v>
      </c>
      <c r="F100" t="s">
        <v>11</v>
      </c>
      <c r="G100">
        <v>800</v>
      </c>
      <c r="H100" s="2">
        <f t="shared" ref="H100:H200" si="135">G100/2+IF(F100="CLD",65,55)</f>
        <v>465</v>
      </c>
      <c r="I100" s="2">
        <f t="shared" ref="I100:I200" si="136">IF(F100="CLD",G100/2+65,150)</f>
        <v>465</v>
      </c>
      <c r="J100" s="4" t="s">
        <v>19</v>
      </c>
      <c r="K100" s="4">
        <v>0</v>
      </c>
      <c r="L100" s="2">
        <v>1100</v>
      </c>
      <c r="M100" s="4">
        <v>2100</v>
      </c>
      <c r="N100" s="4">
        <v>1200</v>
      </c>
      <c r="O100" s="4">
        <v>780</v>
      </c>
      <c r="P100" s="4">
        <v>62</v>
      </c>
      <c r="Q100" s="4">
        <v>45</v>
      </c>
      <c r="R100" s="2" t="s">
        <v>47</v>
      </c>
      <c r="S100" s="2">
        <f t="shared" si="4"/>
        <v>875</v>
      </c>
      <c r="T100" s="2">
        <f t="shared" si="5"/>
        <v>875</v>
      </c>
      <c r="U100" s="4"/>
      <c r="V100" s="4"/>
      <c r="W100" s="4">
        <f t="shared" si="8"/>
        <v>694</v>
      </c>
      <c r="X100" s="4">
        <f t="shared" si="9"/>
        <v>1054</v>
      </c>
      <c r="Y100" s="4"/>
      <c r="Z100"/>
      <c r="AA100" s="4"/>
      <c r="AB100" s="4"/>
      <c r="AC100" s="2">
        <f t="shared" si="129"/>
        <v>870</v>
      </c>
      <c r="AD100" s="2">
        <f t="shared" si="130"/>
        <v>1340</v>
      </c>
      <c r="AE100" s="2">
        <f t="shared" si="23"/>
        <v>842</v>
      </c>
      <c r="AF100" s="2">
        <f t="shared" si="24"/>
        <v>1111</v>
      </c>
      <c r="AG100" s="2" t="s">
        <v>47</v>
      </c>
      <c r="AH100" s="4">
        <f t="shared" si="25"/>
        <v>875</v>
      </c>
      <c r="AI100" s="4">
        <f t="shared" si="26"/>
        <v>1111</v>
      </c>
      <c r="AJ100" s="4">
        <f t="shared" si="27"/>
        <v>875</v>
      </c>
      <c r="AK100" s="4">
        <f t="shared" si="28"/>
        <v>1054</v>
      </c>
      <c r="AL100" s="4">
        <f t="shared" si="29"/>
        <v>1750</v>
      </c>
      <c r="AM100" s="4">
        <f t="shared" si="30"/>
        <v>2165</v>
      </c>
      <c r="AN100" s="4">
        <f t="shared" si="133"/>
        <v>2660</v>
      </c>
      <c r="AO100" s="4">
        <f t="shared" si="134"/>
        <v>2660</v>
      </c>
    </row>
    <row r="101" spans="1:41" s="1" customFormat="1" x14ac:dyDescent="0.2">
      <c r="A101">
        <f t="shared" si="132"/>
        <v>100</v>
      </c>
      <c r="B101" s="1" t="s">
        <v>14</v>
      </c>
      <c r="C101" s="1">
        <v>2</v>
      </c>
      <c r="D101" s="1" t="s">
        <v>12</v>
      </c>
      <c r="E101" s="11">
        <v>1</v>
      </c>
      <c r="F101" s="1" t="s">
        <v>11</v>
      </c>
      <c r="G101" s="1">
        <v>900</v>
      </c>
      <c r="H101" s="2">
        <f t="shared" si="135"/>
        <v>515</v>
      </c>
      <c r="I101" s="2">
        <f t="shared" si="136"/>
        <v>515</v>
      </c>
      <c r="J101" s="5" t="s">
        <v>19</v>
      </c>
      <c r="K101" s="5">
        <v>0</v>
      </c>
      <c r="L101" s="1">
        <v>1100</v>
      </c>
      <c r="M101" s="5">
        <v>2100</v>
      </c>
      <c r="N101" s="5">
        <v>1200</v>
      </c>
      <c r="O101" s="5">
        <v>780</v>
      </c>
      <c r="P101" s="5">
        <v>62</v>
      </c>
      <c r="Q101" s="5">
        <v>45</v>
      </c>
      <c r="R101" s="2" t="s">
        <v>47</v>
      </c>
      <c r="S101" s="1">
        <f t="shared" si="4"/>
        <v>975</v>
      </c>
      <c r="T101" s="1">
        <f t="shared" si="5"/>
        <v>975</v>
      </c>
      <c r="U101" s="5"/>
      <c r="V101" s="5"/>
      <c r="W101" s="5">
        <f t="shared" si="8"/>
        <v>694</v>
      </c>
      <c r="X101" s="5">
        <f t="shared" si="9"/>
        <v>1054</v>
      </c>
      <c r="Y101" s="5"/>
      <c r="AA101" s="5"/>
      <c r="AB101" s="5"/>
      <c r="AC101" s="1">
        <f t="shared" si="129"/>
        <v>870</v>
      </c>
      <c r="AD101" s="1">
        <f t="shared" si="130"/>
        <v>1340</v>
      </c>
      <c r="AE101" s="1">
        <f t="shared" si="23"/>
        <v>842</v>
      </c>
      <c r="AF101" s="1">
        <f t="shared" si="24"/>
        <v>1111</v>
      </c>
      <c r="AG101" s="2" t="s">
        <v>47</v>
      </c>
      <c r="AH101" s="5">
        <f t="shared" si="25"/>
        <v>975</v>
      </c>
      <c r="AI101" s="5">
        <f t="shared" si="26"/>
        <v>1111</v>
      </c>
      <c r="AJ101" s="5">
        <f t="shared" si="27"/>
        <v>975</v>
      </c>
      <c r="AK101" s="5">
        <f t="shared" si="28"/>
        <v>1054</v>
      </c>
      <c r="AL101" s="5">
        <f t="shared" si="29"/>
        <v>1950</v>
      </c>
      <c r="AM101" s="5">
        <f t="shared" si="30"/>
        <v>2165</v>
      </c>
      <c r="AN101" s="5">
        <f t="shared" si="133"/>
        <v>2660</v>
      </c>
      <c r="AO101" s="5">
        <f t="shared" si="134"/>
        <v>2660</v>
      </c>
    </row>
    <row r="102" spans="1:41" s="2" customFormat="1" x14ac:dyDescent="0.2">
      <c r="A102">
        <f t="shared" si="132"/>
        <v>101</v>
      </c>
      <c r="B102" t="s">
        <v>14</v>
      </c>
      <c r="C102">
        <v>2</v>
      </c>
      <c r="D102" t="s">
        <v>12</v>
      </c>
      <c r="E102" s="10">
        <v>1.6</v>
      </c>
      <c r="F102" t="s">
        <v>10</v>
      </c>
      <c r="G102" s="4">
        <v>700</v>
      </c>
      <c r="H102" s="2">
        <f t="shared" si="135"/>
        <v>405</v>
      </c>
      <c r="I102" s="2">
        <f t="shared" si="136"/>
        <v>150</v>
      </c>
      <c r="J102" s="4" t="s">
        <v>19</v>
      </c>
      <c r="K102" s="4">
        <v>0</v>
      </c>
      <c r="L102" s="2">
        <v>1100</v>
      </c>
      <c r="M102" s="4">
        <v>2100</v>
      </c>
      <c r="N102" s="4">
        <v>1200</v>
      </c>
      <c r="O102" s="4">
        <v>780</v>
      </c>
      <c r="P102" s="4">
        <v>62</v>
      </c>
      <c r="Q102" s="4">
        <v>45</v>
      </c>
      <c r="R102" s="2" t="s">
        <v>47</v>
      </c>
      <c r="S102" s="2">
        <f t="shared" si="4"/>
        <v>765</v>
      </c>
      <c r="T102" s="2">
        <f t="shared" si="5"/>
        <v>510</v>
      </c>
      <c r="U102" s="4"/>
      <c r="V102" s="4"/>
      <c r="W102" s="4">
        <f t="shared" si="8"/>
        <v>694</v>
      </c>
      <c r="X102" s="4">
        <f t="shared" si="9"/>
        <v>1054</v>
      </c>
      <c r="Y102" s="4"/>
      <c r="AA102" s="4"/>
      <c r="AB102" s="4"/>
      <c r="AC102" s="2">
        <f t="shared" si="129"/>
        <v>870</v>
      </c>
      <c r="AD102" s="2">
        <f t="shared" si="130"/>
        <v>1340</v>
      </c>
      <c r="AE102" s="2">
        <f t="shared" si="23"/>
        <v>842</v>
      </c>
      <c r="AF102" s="2">
        <f t="shared" si="24"/>
        <v>1111</v>
      </c>
      <c r="AG102" s="2" t="s">
        <v>47</v>
      </c>
      <c r="AH102" s="4">
        <f t="shared" si="25"/>
        <v>870</v>
      </c>
      <c r="AI102" s="4">
        <f t="shared" si="26"/>
        <v>1111</v>
      </c>
      <c r="AJ102" s="4">
        <f t="shared" si="27"/>
        <v>694</v>
      </c>
      <c r="AK102" s="4">
        <f t="shared" si="28"/>
        <v>1054</v>
      </c>
      <c r="AL102" s="4">
        <f t="shared" si="29"/>
        <v>1564</v>
      </c>
      <c r="AM102" s="4">
        <f t="shared" si="30"/>
        <v>2165</v>
      </c>
      <c r="AN102" s="4">
        <f t="shared" si="133"/>
        <v>2660</v>
      </c>
      <c r="AO102" s="4">
        <f t="shared" si="134"/>
        <v>2660</v>
      </c>
    </row>
    <row r="103" spans="1:41" s="2" customFormat="1" x14ac:dyDescent="0.2">
      <c r="A103">
        <f t="shared" si="132"/>
        <v>102</v>
      </c>
      <c r="B103" t="s">
        <v>14</v>
      </c>
      <c r="C103">
        <v>2</v>
      </c>
      <c r="D103" t="s">
        <v>12</v>
      </c>
      <c r="E103" s="10">
        <v>1.6</v>
      </c>
      <c r="F103" t="s">
        <v>10</v>
      </c>
      <c r="G103">
        <v>800</v>
      </c>
      <c r="H103" s="2">
        <f t="shared" si="135"/>
        <v>455</v>
      </c>
      <c r="I103" s="2">
        <f t="shared" si="136"/>
        <v>150</v>
      </c>
      <c r="J103" s="4" t="s">
        <v>18</v>
      </c>
      <c r="K103" s="4">
        <v>30</v>
      </c>
      <c r="L103" s="2">
        <v>1100</v>
      </c>
      <c r="M103" s="4">
        <v>2100</v>
      </c>
      <c r="N103" s="4">
        <v>1200</v>
      </c>
      <c r="O103" s="4">
        <v>780</v>
      </c>
      <c r="P103" s="4">
        <v>62</v>
      </c>
      <c r="Q103" s="4">
        <v>45</v>
      </c>
      <c r="R103" s="2" t="s">
        <v>47</v>
      </c>
      <c r="S103" s="2">
        <f t="shared" si="4"/>
        <v>835</v>
      </c>
      <c r="T103" s="2">
        <f t="shared" si="5"/>
        <v>590</v>
      </c>
      <c r="U103" s="4"/>
      <c r="V103" s="4"/>
      <c r="W103" s="4">
        <f t="shared" si="8"/>
        <v>694</v>
      </c>
      <c r="X103" s="4">
        <f t="shared" si="9"/>
        <v>1054</v>
      </c>
      <c r="Y103" s="4"/>
      <c r="Z103"/>
      <c r="AA103" s="4"/>
      <c r="AB103" s="4"/>
      <c r="AC103" s="2">
        <f t="shared" si="129"/>
        <v>870</v>
      </c>
      <c r="AD103" s="2">
        <f t="shared" si="130"/>
        <v>1340</v>
      </c>
      <c r="AE103" s="2">
        <f t="shared" si="23"/>
        <v>842</v>
      </c>
      <c r="AF103" s="2">
        <f t="shared" si="24"/>
        <v>1111</v>
      </c>
      <c r="AG103" s="2" t="s">
        <v>47</v>
      </c>
      <c r="AH103" s="4">
        <f t="shared" si="25"/>
        <v>870</v>
      </c>
      <c r="AI103" s="4">
        <f t="shared" si="26"/>
        <v>1111</v>
      </c>
      <c r="AJ103" s="4">
        <f t="shared" si="27"/>
        <v>694</v>
      </c>
      <c r="AK103" s="4">
        <f t="shared" si="28"/>
        <v>1054</v>
      </c>
      <c r="AL103" s="4">
        <f t="shared" si="29"/>
        <v>1564</v>
      </c>
      <c r="AM103" s="4">
        <f t="shared" si="30"/>
        <v>2165</v>
      </c>
      <c r="AN103" s="4">
        <f t="shared" si="133"/>
        <v>2660</v>
      </c>
      <c r="AO103" s="4">
        <f t="shared" si="134"/>
        <v>2660</v>
      </c>
    </row>
    <row r="104" spans="1:41" s="2" customFormat="1" x14ac:dyDescent="0.2">
      <c r="A104">
        <f t="shared" si="132"/>
        <v>103</v>
      </c>
      <c r="B104" t="s">
        <v>14</v>
      </c>
      <c r="C104">
        <v>2</v>
      </c>
      <c r="D104" t="s">
        <v>12</v>
      </c>
      <c r="E104" s="10">
        <v>1.6</v>
      </c>
      <c r="F104" t="s">
        <v>10</v>
      </c>
      <c r="G104">
        <v>800</v>
      </c>
      <c r="H104" s="2">
        <f t="shared" si="135"/>
        <v>455</v>
      </c>
      <c r="I104" s="2">
        <f t="shared" si="136"/>
        <v>150</v>
      </c>
      <c r="J104" s="4" t="s">
        <v>19</v>
      </c>
      <c r="K104" s="4">
        <v>0</v>
      </c>
      <c r="L104" s="2">
        <v>1100</v>
      </c>
      <c r="M104" s="4">
        <v>2100</v>
      </c>
      <c r="N104" s="4">
        <v>1200</v>
      </c>
      <c r="O104" s="4">
        <v>780</v>
      </c>
      <c r="P104" s="4">
        <v>62</v>
      </c>
      <c r="Q104" s="4">
        <v>45</v>
      </c>
      <c r="R104" s="2" t="s">
        <v>47</v>
      </c>
      <c r="S104" s="2">
        <f t="shared" si="4"/>
        <v>865</v>
      </c>
      <c r="T104" s="2">
        <f t="shared" si="5"/>
        <v>560</v>
      </c>
      <c r="U104" s="4"/>
      <c r="V104" s="4"/>
      <c r="W104" s="4">
        <f t="shared" si="8"/>
        <v>694</v>
      </c>
      <c r="X104" s="4">
        <f t="shared" si="9"/>
        <v>1054</v>
      </c>
      <c r="Y104" s="4"/>
      <c r="Z104"/>
      <c r="AA104" s="4"/>
      <c r="AB104" s="4"/>
      <c r="AC104" s="2">
        <f t="shared" si="129"/>
        <v>870</v>
      </c>
      <c r="AD104" s="2">
        <f t="shared" si="130"/>
        <v>1340</v>
      </c>
      <c r="AE104" s="2">
        <f t="shared" si="23"/>
        <v>842</v>
      </c>
      <c r="AF104" s="2">
        <f t="shared" si="24"/>
        <v>1111</v>
      </c>
      <c r="AG104" s="2" t="s">
        <v>47</v>
      </c>
      <c r="AH104" s="4">
        <f t="shared" si="25"/>
        <v>870</v>
      </c>
      <c r="AI104" s="4">
        <f t="shared" si="26"/>
        <v>1111</v>
      </c>
      <c r="AJ104" s="4">
        <f t="shared" si="27"/>
        <v>694</v>
      </c>
      <c r="AK104" s="4">
        <f t="shared" si="28"/>
        <v>1054</v>
      </c>
      <c r="AL104" s="4">
        <f t="shared" si="29"/>
        <v>1564</v>
      </c>
      <c r="AM104" s="4">
        <f t="shared" si="30"/>
        <v>2165</v>
      </c>
      <c r="AN104" s="4">
        <f t="shared" si="133"/>
        <v>2660</v>
      </c>
      <c r="AO104" s="4">
        <f t="shared" si="134"/>
        <v>2660</v>
      </c>
    </row>
    <row r="105" spans="1:41" s="2" customFormat="1" x14ac:dyDescent="0.2">
      <c r="A105">
        <f t="shared" si="132"/>
        <v>104</v>
      </c>
      <c r="B105" t="s">
        <v>14</v>
      </c>
      <c r="C105">
        <v>2</v>
      </c>
      <c r="D105" t="s">
        <v>12</v>
      </c>
      <c r="E105" s="10">
        <v>1.6</v>
      </c>
      <c r="F105" t="s">
        <v>10</v>
      </c>
      <c r="G105">
        <v>900</v>
      </c>
      <c r="H105" s="2">
        <f>G105/2+IF(F105="CLD",65,55)</f>
        <v>505</v>
      </c>
      <c r="I105" s="2">
        <f>IF(F105="CLD",G105/2+65,150)</f>
        <v>150</v>
      </c>
      <c r="J105" s="4" t="s">
        <v>18</v>
      </c>
      <c r="K105" s="4">
        <v>50</v>
      </c>
      <c r="L105" s="2">
        <v>1100</v>
      </c>
      <c r="M105" s="4">
        <v>2100</v>
      </c>
      <c r="N105" s="4">
        <v>1200</v>
      </c>
      <c r="O105" s="4">
        <v>780</v>
      </c>
      <c r="P105" s="4">
        <v>62</v>
      </c>
      <c r="Q105" s="4">
        <v>45</v>
      </c>
      <c r="R105" s="2" t="s">
        <v>47</v>
      </c>
      <c r="S105" s="2">
        <f>(-K105+G105/2+H105+10)</f>
        <v>915</v>
      </c>
      <c r="T105" s="2">
        <f>(K105+G105/2+I105+10)</f>
        <v>660</v>
      </c>
      <c r="U105" s="4"/>
      <c r="V105" s="4"/>
      <c r="W105" s="4">
        <f>(L105/2+40+P105+42)</f>
        <v>694</v>
      </c>
      <c r="X105" s="4">
        <f>(L105/2+40+P105+402)</f>
        <v>1054</v>
      </c>
      <c r="Y105" s="4"/>
      <c r="Z105"/>
      <c r="AA105" s="4"/>
      <c r="AB105" s="4"/>
      <c r="AC105" s="2">
        <f t="shared" si="129"/>
        <v>870</v>
      </c>
      <c r="AD105" s="2">
        <f t="shared" si="130"/>
        <v>1340</v>
      </c>
      <c r="AE105" s="2">
        <f>(L105/2+40+P105+190)</f>
        <v>842</v>
      </c>
      <c r="AF105" s="2">
        <f>(L105/2+40+P105+459)</f>
        <v>1111</v>
      </c>
      <c r="AG105" s="2" t="s">
        <v>47</v>
      </c>
      <c r="AH105" s="4">
        <f>MAX(S105,AC105,AE105)</f>
        <v>915</v>
      </c>
      <c r="AI105" s="4">
        <f>MIN(AD105,AF105)</f>
        <v>1111</v>
      </c>
      <c r="AJ105" s="4">
        <f>MAX(T105,W105)</f>
        <v>694</v>
      </c>
      <c r="AK105" s="4">
        <f>X105</f>
        <v>1054</v>
      </c>
      <c r="AL105" s="4">
        <f>(AH105+AJ105)</f>
        <v>1609</v>
      </c>
      <c r="AM105" s="4">
        <f>(AI105+AK105)</f>
        <v>2165</v>
      </c>
      <c r="AN105" s="4">
        <f>(280+M105+280)</f>
        <v>2660</v>
      </c>
      <c r="AO105" s="4">
        <f>(280+M105+280)</f>
        <v>2660</v>
      </c>
    </row>
    <row r="106" spans="1:41" s="2" customFormat="1" x14ac:dyDescent="0.2">
      <c r="A106">
        <f t="shared" si="132"/>
        <v>105</v>
      </c>
      <c r="B106" t="s">
        <v>14</v>
      </c>
      <c r="C106">
        <v>2</v>
      </c>
      <c r="D106" t="s">
        <v>12</v>
      </c>
      <c r="E106" s="10">
        <v>1.6</v>
      </c>
      <c r="F106" t="s">
        <v>10</v>
      </c>
      <c r="G106">
        <v>1000</v>
      </c>
      <c r="H106" s="2">
        <f t="shared" si="135"/>
        <v>555</v>
      </c>
      <c r="I106" s="2">
        <f t="shared" si="136"/>
        <v>150</v>
      </c>
      <c r="J106" s="4" t="s">
        <v>18</v>
      </c>
      <c r="K106" s="4">
        <v>30</v>
      </c>
      <c r="L106" s="2">
        <v>1100</v>
      </c>
      <c r="M106" s="4">
        <v>2100</v>
      </c>
      <c r="N106" s="4">
        <v>1200</v>
      </c>
      <c r="O106" s="4">
        <v>780</v>
      </c>
      <c r="P106" s="4">
        <v>62</v>
      </c>
      <c r="Q106" s="4">
        <v>45</v>
      </c>
      <c r="R106" s="2" t="s">
        <v>47</v>
      </c>
      <c r="S106" s="2">
        <f t="shared" si="4"/>
        <v>1035</v>
      </c>
      <c r="T106" s="2">
        <f t="shared" si="5"/>
        <v>690</v>
      </c>
      <c r="U106" s="4"/>
      <c r="V106" s="4"/>
      <c r="W106" s="4">
        <f t="shared" si="8"/>
        <v>694</v>
      </c>
      <c r="X106" s="4">
        <f t="shared" si="9"/>
        <v>1054</v>
      </c>
      <c r="Y106" s="4"/>
      <c r="Z106"/>
      <c r="AA106" s="4"/>
      <c r="AB106" s="4"/>
      <c r="AC106" s="2">
        <f t="shared" si="129"/>
        <v>870</v>
      </c>
      <c r="AD106" s="2">
        <f t="shared" si="130"/>
        <v>1340</v>
      </c>
      <c r="AE106" s="2">
        <f t="shared" si="23"/>
        <v>842</v>
      </c>
      <c r="AF106" s="2">
        <f t="shared" si="24"/>
        <v>1111</v>
      </c>
      <c r="AG106" s="2" t="s">
        <v>47</v>
      </c>
      <c r="AH106" s="4">
        <f t="shared" si="25"/>
        <v>1035</v>
      </c>
      <c r="AI106" s="4">
        <f t="shared" si="26"/>
        <v>1111</v>
      </c>
      <c r="AJ106" s="4">
        <f t="shared" si="27"/>
        <v>694</v>
      </c>
      <c r="AK106" s="4">
        <f t="shared" si="28"/>
        <v>1054</v>
      </c>
      <c r="AL106" s="4">
        <f t="shared" si="29"/>
        <v>1729</v>
      </c>
      <c r="AM106" s="4">
        <f t="shared" si="30"/>
        <v>2165</v>
      </c>
      <c r="AN106" s="4">
        <f t="shared" si="133"/>
        <v>2660</v>
      </c>
      <c r="AO106" s="4">
        <f t="shared" si="134"/>
        <v>2660</v>
      </c>
    </row>
    <row r="107" spans="1:41" s="2" customFormat="1" x14ac:dyDescent="0.2">
      <c r="A107">
        <f t="shared" si="132"/>
        <v>106</v>
      </c>
      <c r="B107" t="s">
        <v>14</v>
      </c>
      <c r="C107">
        <v>2</v>
      </c>
      <c r="D107" t="s">
        <v>12</v>
      </c>
      <c r="E107" s="10">
        <v>1.6</v>
      </c>
      <c r="F107" t="s">
        <v>11</v>
      </c>
      <c r="G107">
        <v>700</v>
      </c>
      <c r="H107" s="2">
        <f t="shared" si="135"/>
        <v>415</v>
      </c>
      <c r="I107" s="2">
        <f t="shared" si="136"/>
        <v>415</v>
      </c>
      <c r="J107" s="4" t="s">
        <v>19</v>
      </c>
      <c r="K107" s="4">
        <v>0</v>
      </c>
      <c r="L107" s="2">
        <v>1100</v>
      </c>
      <c r="M107" s="4">
        <v>2100</v>
      </c>
      <c r="N107" s="4">
        <v>1200</v>
      </c>
      <c r="O107" s="4">
        <v>780</v>
      </c>
      <c r="P107" s="4">
        <v>62</v>
      </c>
      <c r="Q107" s="4">
        <v>45</v>
      </c>
      <c r="R107" s="2" t="s">
        <v>47</v>
      </c>
      <c r="S107" s="2">
        <f t="shared" ref="S107:S123" si="137">(-K107+G107/2+H107+10)</f>
        <v>775</v>
      </c>
      <c r="T107" s="2">
        <f t="shared" ref="T107:T123" si="138">(K107+G107/2+I107+10)</f>
        <v>775</v>
      </c>
      <c r="U107" s="4"/>
      <c r="V107" s="4"/>
      <c r="W107" s="4">
        <f t="shared" ref="W107:W123" si="139">(L107/2+40+P107+42)</f>
        <v>694</v>
      </c>
      <c r="X107" s="4">
        <f t="shared" ref="X107:X123" si="140">(L107/2+40+P107+402)</f>
        <v>1054</v>
      </c>
      <c r="Y107" s="4"/>
      <c r="Z107"/>
      <c r="AA107" s="4"/>
      <c r="AB107" s="4"/>
      <c r="AC107" s="2">
        <f t="shared" si="129"/>
        <v>870</v>
      </c>
      <c r="AD107" s="2">
        <f t="shared" si="130"/>
        <v>1340</v>
      </c>
      <c r="AE107" s="2">
        <f t="shared" si="23"/>
        <v>842</v>
      </c>
      <c r="AF107" s="2">
        <f t="shared" si="24"/>
        <v>1111</v>
      </c>
      <c r="AG107" s="2" t="s">
        <v>47</v>
      </c>
      <c r="AH107" s="4">
        <f t="shared" si="25"/>
        <v>870</v>
      </c>
      <c r="AI107" s="4">
        <f t="shared" si="26"/>
        <v>1111</v>
      </c>
      <c r="AJ107" s="4">
        <f t="shared" si="27"/>
        <v>775</v>
      </c>
      <c r="AK107" s="4">
        <f t="shared" si="28"/>
        <v>1054</v>
      </c>
      <c r="AL107" s="4">
        <f t="shared" si="29"/>
        <v>1645</v>
      </c>
      <c r="AM107" s="4">
        <f t="shared" si="30"/>
        <v>2165</v>
      </c>
      <c r="AN107" s="4">
        <f t="shared" si="133"/>
        <v>2660</v>
      </c>
      <c r="AO107" s="4">
        <f t="shared" si="134"/>
        <v>2660</v>
      </c>
    </row>
    <row r="108" spans="1:41" s="2" customFormat="1" x14ac:dyDescent="0.2">
      <c r="A108">
        <f t="shared" si="132"/>
        <v>107</v>
      </c>
      <c r="B108" t="s">
        <v>14</v>
      </c>
      <c r="C108">
        <v>2</v>
      </c>
      <c r="D108" t="s">
        <v>12</v>
      </c>
      <c r="E108" s="10">
        <v>1.6</v>
      </c>
      <c r="F108" t="s">
        <v>11</v>
      </c>
      <c r="G108">
        <v>800</v>
      </c>
      <c r="H108" s="2">
        <f t="shared" si="135"/>
        <v>465</v>
      </c>
      <c r="I108" s="2">
        <f t="shared" si="136"/>
        <v>465</v>
      </c>
      <c r="J108" s="4" t="s">
        <v>19</v>
      </c>
      <c r="K108" s="4">
        <v>0</v>
      </c>
      <c r="L108" s="2">
        <v>1100</v>
      </c>
      <c r="M108" s="4">
        <v>2100</v>
      </c>
      <c r="N108" s="4">
        <v>1200</v>
      </c>
      <c r="O108" s="4">
        <v>780</v>
      </c>
      <c r="P108" s="4">
        <v>62</v>
      </c>
      <c r="Q108" s="4">
        <v>45</v>
      </c>
      <c r="R108" s="2" t="s">
        <v>47</v>
      </c>
      <c r="S108" s="2">
        <f t="shared" si="137"/>
        <v>875</v>
      </c>
      <c r="T108" s="2">
        <f t="shared" si="138"/>
        <v>875</v>
      </c>
      <c r="U108" s="4"/>
      <c r="V108" s="4"/>
      <c r="W108" s="4">
        <f t="shared" si="139"/>
        <v>694</v>
      </c>
      <c r="X108" s="4">
        <f t="shared" si="140"/>
        <v>1054</v>
      </c>
      <c r="Y108" s="4"/>
      <c r="Z108"/>
      <c r="AA108" s="4"/>
      <c r="AB108" s="4"/>
      <c r="AC108" s="2">
        <f t="shared" si="129"/>
        <v>870</v>
      </c>
      <c r="AD108" s="2">
        <f t="shared" si="130"/>
        <v>1340</v>
      </c>
      <c r="AE108" s="2">
        <f t="shared" si="23"/>
        <v>842</v>
      </c>
      <c r="AF108" s="2">
        <f t="shared" si="24"/>
        <v>1111</v>
      </c>
      <c r="AG108" s="2" t="s">
        <v>47</v>
      </c>
      <c r="AH108" s="4">
        <f t="shared" si="25"/>
        <v>875</v>
      </c>
      <c r="AI108" s="4">
        <f t="shared" si="26"/>
        <v>1111</v>
      </c>
      <c r="AJ108" s="4">
        <f t="shared" si="27"/>
        <v>875</v>
      </c>
      <c r="AK108" s="4">
        <f t="shared" si="28"/>
        <v>1054</v>
      </c>
      <c r="AL108" s="4">
        <f t="shared" si="29"/>
        <v>1750</v>
      </c>
      <c r="AM108" s="4">
        <f t="shared" si="30"/>
        <v>2165</v>
      </c>
      <c r="AN108" s="4">
        <f t="shared" si="133"/>
        <v>2660</v>
      </c>
      <c r="AO108" s="4">
        <f t="shared" si="134"/>
        <v>2660</v>
      </c>
    </row>
    <row r="109" spans="1:41" s="6" customFormat="1" ht="13.5" thickBot="1" x14ac:dyDescent="0.25">
      <c r="A109">
        <f t="shared" si="132"/>
        <v>108</v>
      </c>
      <c r="B109" s="6" t="s">
        <v>14</v>
      </c>
      <c r="C109" s="6">
        <v>2</v>
      </c>
      <c r="D109" s="6" t="s">
        <v>12</v>
      </c>
      <c r="E109" s="13">
        <v>1.6</v>
      </c>
      <c r="F109" s="6" t="s">
        <v>11</v>
      </c>
      <c r="G109" s="6">
        <v>900</v>
      </c>
      <c r="H109" s="6">
        <f t="shared" si="135"/>
        <v>515</v>
      </c>
      <c r="I109" s="6">
        <f t="shared" si="136"/>
        <v>515</v>
      </c>
      <c r="J109" s="7" t="s">
        <v>19</v>
      </c>
      <c r="K109" s="7">
        <v>0</v>
      </c>
      <c r="L109" s="6">
        <v>1100</v>
      </c>
      <c r="M109" s="7">
        <v>2100</v>
      </c>
      <c r="N109" s="7">
        <v>1200</v>
      </c>
      <c r="O109" s="7">
        <v>780</v>
      </c>
      <c r="P109" s="7">
        <v>62</v>
      </c>
      <c r="Q109" s="7">
        <v>45</v>
      </c>
      <c r="R109" s="6" t="s">
        <v>47</v>
      </c>
      <c r="S109" s="6">
        <f t="shared" si="137"/>
        <v>975</v>
      </c>
      <c r="T109" s="6">
        <f t="shared" si="138"/>
        <v>975</v>
      </c>
      <c r="U109" s="7"/>
      <c r="V109" s="7"/>
      <c r="W109" s="7">
        <f t="shared" si="139"/>
        <v>694</v>
      </c>
      <c r="X109" s="7">
        <f t="shared" si="140"/>
        <v>1054</v>
      </c>
      <c r="Y109" s="7"/>
      <c r="AA109" s="7"/>
      <c r="AB109" s="7"/>
      <c r="AC109" s="6">
        <f t="shared" si="129"/>
        <v>870</v>
      </c>
      <c r="AD109" s="6">
        <f t="shared" si="130"/>
        <v>1340</v>
      </c>
      <c r="AE109" s="6">
        <f t="shared" si="23"/>
        <v>842</v>
      </c>
      <c r="AF109" s="6">
        <f t="shared" si="24"/>
        <v>1111</v>
      </c>
      <c r="AG109" s="6" t="s">
        <v>47</v>
      </c>
      <c r="AH109" s="7">
        <f t="shared" si="25"/>
        <v>975</v>
      </c>
      <c r="AI109" s="7">
        <f t="shared" si="26"/>
        <v>1111</v>
      </c>
      <c r="AJ109" s="7">
        <f t="shared" si="27"/>
        <v>975</v>
      </c>
      <c r="AK109" s="7">
        <f t="shared" si="28"/>
        <v>1054</v>
      </c>
      <c r="AL109" s="7">
        <f t="shared" si="29"/>
        <v>1950</v>
      </c>
      <c r="AM109" s="7">
        <f t="shared" si="30"/>
        <v>2165</v>
      </c>
      <c r="AN109" s="7">
        <f t="shared" si="133"/>
        <v>2660</v>
      </c>
      <c r="AO109" s="7">
        <f t="shared" si="134"/>
        <v>2660</v>
      </c>
    </row>
    <row r="110" spans="1:41" s="2" customFormat="1" x14ac:dyDescent="0.2">
      <c r="A110">
        <f t="shared" si="132"/>
        <v>109</v>
      </c>
      <c r="B110" s="2" t="s">
        <v>15</v>
      </c>
      <c r="C110" s="2">
        <v>1</v>
      </c>
      <c r="D110" s="2" t="s">
        <v>12</v>
      </c>
      <c r="E110" s="14">
        <v>1</v>
      </c>
      <c r="F110" s="2" t="s">
        <v>10</v>
      </c>
      <c r="G110" s="2">
        <v>800</v>
      </c>
      <c r="H110" s="2">
        <f t="shared" si="135"/>
        <v>455</v>
      </c>
      <c r="I110" s="2">
        <f t="shared" si="136"/>
        <v>150</v>
      </c>
      <c r="J110" s="4" t="s">
        <v>19</v>
      </c>
      <c r="K110" s="4">
        <v>0</v>
      </c>
      <c r="L110" s="4">
        <v>1600</v>
      </c>
      <c r="M110" s="2">
        <v>1400</v>
      </c>
      <c r="N110" s="4">
        <v>880</v>
      </c>
      <c r="O110" s="4">
        <v>780</v>
      </c>
      <c r="P110" s="4">
        <v>62</v>
      </c>
      <c r="Q110" s="4">
        <v>45</v>
      </c>
      <c r="R110" s="2" t="s">
        <v>47</v>
      </c>
      <c r="S110" s="2">
        <f t="shared" si="137"/>
        <v>865</v>
      </c>
      <c r="T110" s="2">
        <f t="shared" si="138"/>
        <v>560</v>
      </c>
      <c r="U110" s="4">
        <f t="shared" ref="U110:U126" si="141">(L110/2+40+P110+42)</f>
        <v>944</v>
      </c>
      <c r="V110" s="4">
        <f t="shared" ref="V110:V126" si="142">(L110/2+40+P110+402)</f>
        <v>1304</v>
      </c>
      <c r="W110" s="4">
        <f t="shared" si="139"/>
        <v>944</v>
      </c>
      <c r="X110" s="4">
        <f t="shared" si="140"/>
        <v>1304</v>
      </c>
      <c r="Y110" s="4"/>
      <c r="Z110" s="4"/>
      <c r="AA110" s="4"/>
      <c r="AB110" s="4"/>
      <c r="AG110" s="2" t="s">
        <v>47</v>
      </c>
      <c r="AH110" s="4">
        <f t="shared" ref="AH110:AH126" si="143">MAX(S110,U110)</f>
        <v>944</v>
      </c>
      <c r="AI110" s="4">
        <f t="shared" ref="AI110:AI123" si="144">V110</f>
        <v>1304</v>
      </c>
      <c r="AJ110" s="4">
        <f t="shared" ref="AJ110:AJ126" si="145">MAX(T110,W110)</f>
        <v>944</v>
      </c>
      <c r="AK110" s="4">
        <f t="shared" ref="AK110:AK123" si="146">X110</f>
        <v>1304</v>
      </c>
      <c r="AL110" s="4">
        <f t="shared" si="29"/>
        <v>1888</v>
      </c>
      <c r="AM110" s="4">
        <f t="shared" si="30"/>
        <v>2608</v>
      </c>
      <c r="AN110" s="4">
        <f t="shared" ref="AN110:AN119" si="147">(N110+960+130)</f>
        <v>1970</v>
      </c>
      <c r="AO110" s="4">
        <f t="shared" ref="AO110:AO119" si="148">(N110+960+600)</f>
        <v>2440</v>
      </c>
    </row>
    <row r="111" spans="1:41" s="2" customFormat="1" x14ac:dyDescent="0.2">
      <c r="A111">
        <f t="shared" si="132"/>
        <v>110</v>
      </c>
      <c r="B111" s="2" t="s">
        <v>15</v>
      </c>
      <c r="C111" s="2">
        <v>1</v>
      </c>
      <c r="D111" s="2" t="s">
        <v>12</v>
      </c>
      <c r="E111" s="14">
        <v>1</v>
      </c>
      <c r="F111" s="2" t="s">
        <v>10</v>
      </c>
      <c r="G111" s="2">
        <v>900</v>
      </c>
      <c r="H111" s="2">
        <f>G111/2+IF(F111="CLD",65,55)</f>
        <v>505</v>
      </c>
      <c r="I111" s="2">
        <f>IF(F111="CLD",G111/2+65,150)</f>
        <v>150</v>
      </c>
      <c r="J111" s="4" t="s">
        <v>19</v>
      </c>
      <c r="K111" s="4">
        <v>0</v>
      </c>
      <c r="L111" s="4">
        <v>1600</v>
      </c>
      <c r="M111" s="2">
        <v>1400</v>
      </c>
      <c r="N111" s="4">
        <v>880</v>
      </c>
      <c r="O111" s="4">
        <v>780</v>
      </c>
      <c r="P111" s="4">
        <v>62</v>
      </c>
      <c r="Q111" s="4">
        <v>45</v>
      </c>
      <c r="R111" s="2" t="s">
        <v>47</v>
      </c>
      <c r="S111" s="2">
        <f>(-K111+G111/2+H111+10)</f>
        <v>965</v>
      </c>
      <c r="T111" s="2">
        <f>(K111+G111/2+I111+10)</f>
        <v>610</v>
      </c>
      <c r="U111" s="4">
        <f>(L111/2+40+P111+42)</f>
        <v>944</v>
      </c>
      <c r="V111" s="4">
        <f>(L111/2+40+P111+402)</f>
        <v>1304</v>
      </c>
      <c r="W111" s="4">
        <f>(L111/2+40+P111+42)</f>
        <v>944</v>
      </c>
      <c r="X111" s="4">
        <f>(L111/2+40+P111+402)</f>
        <v>1304</v>
      </c>
      <c r="Y111" s="4"/>
      <c r="Z111" s="4"/>
      <c r="AA111" s="4"/>
      <c r="AB111" s="4"/>
      <c r="AG111" s="2" t="s">
        <v>47</v>
      </c>
      <c r="AH111" s="4">
        <f>MAX(S111,U111)</f>
        <v>965</v>
      </c>
      <c r="AI111" s="4">
        <f>V111</f>
        <v>1304</v>
      </c>
      <c r="AJ111" s="4">
        <f>MAX(T111,W111)</f>
        <v>944</v>
      </c>
      <c r="AK111" s="4">
        <f>X111</f>
        <v>1304</v>
      </c>
      <c r="AL111" s="4">
        <f t="shared" ref="AL111:AM113" si="149">(AH111+AJ111)</f>
        <v>1909</v>
      </c>
      <c r="AM111" s="4">
        <f t="shared" si="149"/>
        <v>2608</v>
      </c>
      <c r="AN111" s="4">
        <f>(N111+960+130)</f>
        <v>1970</v>
      </c>
      <c r="AO111" s="4">
        <f>(N111+960+600)</f>
        <v>2440</v>
      </c>
    </row>
    <row r="112" spans="1:41" s="2" customFormat="1" x14ac:dyDescent="0.2">
      <c r="A112">
        <f t="shared" si="132"/>
        <v>111</v>
      </c>
      <c r="B112" s="2" t="s">
        <v>15</v>
      </c>
      <c r="C112" s="2">
        <v>1</v>
      </c>
      <c r="D112" s="2" t="s">
        <v>12</v>
      </c>
      <c r="E112" s="14">
        <v>1</v>
      </c>
      <c r="F112" s="2" t="s">
        <v>10</v>
      </c>
      <c r="G112" s="2">
        <v>1000</v>
      </c>
      <c r="H112" s="2">
        <f t="shared" si="135"/>
        <v>555</v>
      </c>
      <c r="I112" s="2">
        <f t="shared" si="136"/>
        <v>150</v>
      </c>
      <c r="J112" s="4" t="s">
        <v>19</v>
      </c>
      <c r="K112" s="4">
        <v>0</v>
      </c>
      <c r="L112" s="4">
        <v>1600</v>
      </c>
      <c r="M112" s="2">
        <v>1400</v>
      </c>
      <c r="N112" s="4">
        <v>880</v>
      </c>
      <c r="O112" s="4">
        <v>780</v>
      </c>
      <c r="P112" s="4">
        <v>62</v>
      </c>
      <c r="Q112" s="4">
        <v>45</v>
      </c>
      <c r="R112" s="2" t="s">
        <v>47</v>
      </c>
      <c r="S112" s="2">
        <f>(-K112+G112/2+H112+10)</f>
        <v>1065</v>
      </c>
      <c r="T112" s="2">
        <f>(K112+G112/2+I112+10)</f>
        <v>660</v>
      </c>
      <c r="U112" s="4">
        <f t="shared" si="141"/>
        <v>944</v>
      </c>
      <c r="V112" s="4">
        <f t="shared" si="142"/>
        <v>1304</v>
      </c>
      <c r="W112" s="4">
        <f>(L112/2+40+P112+42)</f>
        <v>944</v>
      </c>
      <c r="X112" s="4">
        <f>(L112/2+40+P112+402)</f>
        <v>1304</v>
      </c>
      <c r="Y112" s="4"/>
      <c r="Z112" s="4"/>
      <c r="AA112" s="4"/>
      <c r="AB112" s="4"/>
      <c r="AG112" s="2" t="s">
        <v>47</v>
      </c>
      <c r="AH112" s="4">
        <f t="shared" si="143"/>
        <v>1065</v>
      </c>
      <c r="AI112" s="4">
        <f t="shared" si="144"/>
        <v>1304</v>
      </c>
      <c r="AJ112" s="4">
        <f t="shared" si="145"/>
        <v>944</v>
      </c>
      <c r="AK112" s="4">
        <f t="shared" si="146"/>
        <v>1304</v>
      </c>
      <c r="AL112" s="4">
        <f t="shared" si="149"/>
        <v>2009</v>
      </c>
      <c r="AM112" s="4">
        <f t="shared" si="149"/>
        <v>2608</v>
      </c>
      <c r="AN112" s="4">
        <f t="shared" si="147"/>
        <v>1970</v>
      </c>
      <c r="AO112" s="4">
        <f t="shared" si="148"/>
        <v>2440</v>
      </c>
    </row>
    <row r="113" spans="1:41" s="2" customFormat="1" x14ac:dyDescent="0.2">
      <c r="A113">
        <f t="shared" si="132"/>
        <v>112</v>
      </c>
      <c r="B113" s="2" t="s">
        <v>15</v>
      </c>
      <c r="C113" s="2">
        <v>1</v>
      </c>
      <c r="D113" s="2" t="s">
        <v>12</v>
      </c>
      <c r="E113" s="14">
        <v>1</v>
      </c>
      <c r="F113" s="2" t="s">
        <v>11</v>
      </c>
      <c r="G113" s="2">
        <v>800</v>
      </c>
      <c r="H113" s="2">
        <f t="shared" si="135"/>
        <v>465</v>
      </c>
      <c r="I113" s="2">
        <f t="shared" si="136"/>
        <v>465</v>
      </c>
      <c r="J113" s="4" t="s">
        <v>19</v>
      </c>
      <c r="K113" s="4">
        <v>0</v>
      </c>
      <c r="L113" s="4">
        <v>1600</v>
      </c>
      <c r="M113" s="2">
        <v>1400</v>
      </c>
      <c r="N113" s="4">
        <v>880</v>
      </c>
      <c r="O113" s="4">
        <v>780</v>
      </c>
      <c r="P113" s="4">
        <v>62</v>
      </c>
      <c r="Q113" s="4">
        <v>45</v>
      </c>
      <c r="R113" s="2" t="s">
        <v>47</v>
      </c>
      <c r="S113" s="2">
        <f>(-K113+G113/2+H113+10)</f>
        <v>875</v>
      </c>
      <c r="T113" s="2">
        <f>(K113+G113/2+I113+10)</f>
        <v>875</v>
      </c>
      <c r="U113" s="4">
        <f t="shared" si="141"/>
        <v>944</v>
      </c>
      <c r="V113" s="4">
        <f t="shared" si="142"/>
        <v>1304</v>
      </c>
      <c r="W113" s="4">
        <f>(L113/2+40+P113+42)</f>
        <v>944</v>
      </c>
      <c r="X113" s="4">
        <f>(L113/2+40+P113+402)</f>
        <v>1304</v>
      </c>
      <c r="Y113" s="4"/>
      <c r="Z113" s="4"/>
      <c r="AA113" s="4"/>
      <c r="AB113" s="4"/>
      <c r="AG113" s="2" t="s">
        <v>47</v>
      </c>
      <c r="AH113" s="4">
        <f t="shared" si="143"/>
        <v>944</v>
      </c>
      <c r="AI113" s="4">
        <f t="shared" si="144"/>
        <v>1304</v>
      </c>
      <c r="AJ113" s="4">
        <f t="shared" si="145"/>
        <v>944</v>
      </c>
      <c r="AK113" s="4">
        <f t="shared" si="146"/>
        <v>1304</v>
      </c>
      <c r="AL113" s="4">
        <f t="shared" si="149"/>
        <v>1888</v>
      </c>
      <c r="AM113" s="4">
        <f t="shared" si="149"/>
        <v>2608</v>
      </c>
      <c r="AN113" s="4">
        <f t="shared" si="147"/>
        <v>1970</v>
      </c>
      <c r="AO113" s="4">
        <f t="shared" si="148"/>
        <v>2440</v>
      </c>
    </row>
    <row r="114" spans="1:41" s="1" customFormat="1" x14ac:dyDescent="0.2">
      <c r="A114">
        <f t="shared" si="132"/>
        <v>113</v>
      </c>
      <c r="B114" s="1" t="s">
        <v>15</v>
      </c>
      <c r="C114" s="1">
        <v>1</v>
      </c>
      <c r="D114" s="1" t="s">
        <v>12</v>
      </c>
      <c r="E114" s="11">
        <v>1</v>
      </c>
      <c r="F114" s="1" t="s">
        <v>11</v>
      </c>
      <c r="G114" s="1">
        <v>900</v>
      </c>
      <c r="H114" s="1">
        <f t="shared" si="135"/>
        <v>515</v>
      </c>
      <c r="I114" s="1">
        <f t="shared" si="136"/>
        <v>515</v>
      </c>
      <c r="J114" s="5" t="s">
        <v>19</v>
      </c>
      <c r="K114" s="5">
        <v>0</v>
      </c>
      <c r="L114" s="5">
        <v>1600</v>
      </c>
      <c r="M114" s="1">
        <v>1400</v>
      </c>
      <c r="N114" s="5">
        <v>880</v>
      </c>
      <c r="O114" s="5">
        <v>780</v>
      </c>
      <c r="P114" s="5">
        <v>62</v>
      </c>
      <c r="Q114" s="5">
        <v>45</v>
      </c>
      <c r="R114" s="1" t="s">
        <v>47</v>
      </c>
      <c r="S114" s="1">
        <f t="shared" si="137"/>
        <v>975</v>
      </c>
      <c r="T114" s="1">
        <f t="shared" si="138"/>
        <v>975</v>
      </c>
      <c r="U114" s="5">
        <f t="shared" si="141"/>
        <v>944</v>
      </c>
      <c r="V114" s="5">
        <f t="shared" si="142"/>
        <v>1304</v>
      </c>
      <c r="W114" s="5">
        <f t="shared" si="139"/>
        <v>944</v>
      </c>
      <c r="X114" s="5">
        <f t="shared" si="140"/>
        <v>1304</v>
      </c>
      <c r="Y114" s="5"/>
      <c r="Z114" s="5"/>
      <c r="AA114" s="5"/>
      <c r="AB114" s="5"/>
      <c r="AG114" s="1" t="s">
        <v>47</v>
      </c>
      <c r="AH114" s="5">
        <f t="shared" si="143"/>
        <v>975</v>
      </c>
      <c r="AI114" s="5">
        <f t="shared" si="144"/>
        <v>1304</v>
      </c>
      <c r="AJ114" s="5">
        <f t="shared" si="145"/>
        <v>975</v>
      </c>
      <c r="AK114" s="5">
        <f t="shared" si="146"/>
        <v>1304</v>
      </c>
      <c r="AL114" s="5">
        <f t="shared" si="29"/>
        <v>1950</v>
      </c>
      <c r="AM114" s="5">
        <f t="shared" si="30"/>
        <v>2608</v>
      </c>
      <c r="AN114" s="5">
        <f t="shared" si="147"/>
        <v>1970</v>
      </c>
      <c r="AO114" s="5">
        <f t="shared" si="148"/>
        <v>2440</v>
      </c>
    </row>
    <row r="115" spans="1:41" s="2" customFormat="1" x14ac:dyDescent="0.2">
      <c r="A115">
        <f t="shared" si="132"/>
        <v>114</v>
      </c>
      <c r="B115" s="2" t="s">
        <v>15</v>
      </c>
      <c r="C115" s="2">
        <v>1</v>
      </c>
      <c r="D115" s="2" t="s">
        <v>12</v>
      </c>
      <c r="E115" s="14">
        <v>1.6</v>
      </c>
      <c r="F115" s="2" t="s">
        <v>10</v>
      </c>
      <c r="G115" s="2">
        <v>800</v>
      </c>
      <c r="H115" s="2">
        <f t="shared" si="135"/>
        <v>455</v>
      </c>
      <c r="I115" s="2">
        <f t="shared" si="136"/>
        <v>150</v>
      </c>
      <c r="J115" s="2" t="s">
        <v>19</v>
      </c>
      <c r="K115" s="2">
        <v>0</v>
      </c>
      <c r="L115" s="2">
        <v>1600</v>
      </c>
      <c r="M115" s="2">
        <v>1400</v>
      </c>
      <c r="N115" s="2">
        <v>880</v>
      </c>
      <c r="O115" s="4">
        <v>780</v>
      </c>
      <c r="P115" s="4">
        <v>62</v>
      </c>
      <c r="Q115" s="4">
        <v>45</v>
      </c>
      <c r="R115" s="2" t="s">
        <v>47</v>
      </c>
      <c r="S115" s="2">
        <f t="shared" si="137"/>
        <v>865</v>
      </c>
      <c r="T115" s="2">
        <f t="shared" si="138"/>
        <v>560</v>
      </c>
      <c r="U115" s="4">
        <f t="shared" si="141"/>
        <v>944</v>
      </c>
      <c r="V115" s="4">
        <f t="shared" si="142"/>
        <v>1304</v>
      </c>
      <c r="W115" s="4">
        <f t="shared" si="139"/>
        <v>944</v>
      </c>
      <c r="X115" s="4">
        <f t="shared" si="140"/>
        <v>1304</v>
      </c>
      <c r="Y115" s="4"/>
      <c r="Z115" s="4"/>
      <c r="AA115" s="4"/>
      <c r="AB115" s="4"/>
      <c r="AG115" s="2" t="s">
        <v>47</v>
      </c>
      <c r="AH115" s="4">
        <f t="shared" si="143"/>
        <v>944</v>
      </c>
      <c r="AI115" s="4">
        <f t="shared" si="144"/>
        <v>1304</v>
      </c>
      <c r="AJ115" s="4">
        <f t="shared" si="145"/>
        <v>944</v>
      </c>
      <c r="AK115" s="4">
        <f t="shared" si="146"/>
        <v>1304</v>
      </c>
      <c r="AL115" s="4">
        <f t="shared" si="29"/>
        <v>1888</v>
      </c>
      <c r="AM115" s="4">
        <f t="shared" si="30"/>
        <v>2608</v>
      </c>
      <c r="AN115" s="4">
        <f t="shared" si="147"/>
        <v>1970</v>
      </c>
      <c r="AO115" s="4">
        <f t="shared" si="148"/>
        <v>2440</v>
      </c>
    </row>
    <row r="116" spans="1:41" s="2" customFormat="1" x14ac:dyDescent="0.2">
      <c r="A116">
        <f t="shared" si="132"/>
        <v>115</v>
      </c>
      <c r="B116" s="2" t="s">
        <v>15</v>
      </c>
      <c r="C116" s="2">
        <v>1</v>
      </c>
      <c r="D116" s="2" t="s">
        <v>12</v>
      </c>
      <c r="E116" s="14">
        <v>1.6</v>
      </c>
      <c r="F116" s="2" t="s">
        <v>10</v>
      </c>
      <c r="G116" s="2">
        <v>900</v>
      </c>
      <c r="H116" s="2">
        <f>G116/2+IF(F116="CLD",65,55)</f>
        <v>505</v>
      </c>
      <c r="I116" s="2">
        <f>IF(F116="CLD",G116/2+65,150)</f>
        <v>150</v>
      </c>
      <c r="J116" s="2" t="s">
        <v>19</v>
      </c>
      <c r="K116" s="2">
        <v>0</v>
      </c>
      <c r="L116" s="2">
        <v>1600</v>
      </c>
      <c r="M116" s="2">
        <v>1400</v>
      </c>
      <c r="N116" s="2">
        <v>880</v>
      </c>
      <c r="O116" s="4">
        <v>780</v>
      </c>
      <c r="P116" s="4">
        <v>62</v>
      </c>
      <c r="Q116" s="4">
        <v>45</v>
      </c>
      <c r="R116" s="2" t="s">
        <v>47</v>
      </c>
      <c r="S116" s="2">
        <f>(-K116+G116/2+H116+10)</f>
        <v>965</v>
      </c>
      <c r="T116" s="2">
        <f>(K116+G116/2+I116+10)</f>
        <v>610</v>
      </c>
      <c r="U116" s="4">
        <f>(L116/2+40+P116+42)</f>
        <v>944</v>
      </c>
      <c r="V116" s="4">
        <f>(L116/2+40+P116+402)</f>
        <v>1304</v>
      </c>
      <c r="W116" s="4">
        <f>(L116/2+40+P116+42)</f>
        <v>944</v>
      </c>
      <c r="X116" s="4">
        <f>(L116/2+40+P116+402)</f>
        <v>1304</v>
      </c>
      <c r="Y116" s="4"/>
      <c r="Z116" s="4"/>
      <c r="AA116" s="4"/>
      <c r="AB116" s="4"/>
      <c r="AG116" s="2" t="s">
        <v>47</v>
      </c>
      <c r="AH116" s="4">
        <f>MAX(S116,U116)</f>
        <v>965</v>
      </c>
      <c r="AI116" s="4">
        <f>V116</f>
        <v>1304</v>
      </c>
      <c r="AJ116" s="4">
        <f>MAX(T116,W116)</f>
        <v>944</v>
      </c>
      <c r="AK116" s="4">
        <f>X116</f>
        <v>1304</v>
      </c>
      <c r="AL116" s="4">
        <f t="shared" ref="AL116:AM118" si="150">(AH116+AJ116)</f>
        <v>1909</v>
      </c>
      <c r="AM116" s="4">
        <f t="shared" si="150"/>
        <v>2608</v>
      </c>
      <c r="AN116" s="4">
        <f>(N116+960+130)</f>
        <v>1970</v>
      </c>
      <c r="AO116" s="4">
        <f>(N116+960+600)</f>
        <v>2440</v>
      </c>
    </row>
    <row r="117" spans="1:41" s="2" customFormat="1" x14ac:dyDescent="0.2">
      <c r="A117">
        <f t="shared" si="132"/>
        <v>116</v>
      </c>
      <c r="B117" s="2" t="s">
        <v>15</v>
      </c>
      <c r="C117" s="2">
        <v>1</v>
      </c>
      <c r="D117" s="2" t="s">
        <v>12</v>
      </c>
      <c r="E117" s="14">
        <v>1.6</v>
      </c>
      <c r="F117" s="2" t="s">
        <v>10</v>
      </c>
      <c r="G117" s="2">
        <v>1000</v>
      </c>
      <c r="H117" s="2">
        <f t="shared" si="135"/>
        <v>555</v>
      </c>
      <c r="I117" s="2">
        <f t="shared" si="136"/>
        <v>150</v>
      </c>
      <c r="J117" s="2" t="s">
        <v>19</v>
      </c>
      <c r="K117" s="2">
        <v>0</v>
      </c>
      <c r="L117" s="2">
        <v>1600</v>
      </c>
      <c r="M117" s="2">
        <v>1400</v>
      </c>
      <c r="N117" s="2">
        <v>880</v>
      </c>
      <c r="O117" s="4">
        <v>780</v>
      </c>
      <c r="P117" s="4">
        <v>62</v>
      </c>
      <c r="Q117" s="4">
        <v>45</v>
      </c>
      <c r="R117" s="2" t="s">
        <v>47</v>
      </c>
      <c r="S117" s="2">
        <f>(-K117+G117/2+H117+10)</f>
        <v>1065</v>
      </c>
      <c r="T117" s="2">
        <f>(K117+G117/2+I117+10)</f>
        <v>660</v>
      </c>
      <c r="U117" s="4">
        <f t="shared" si="141"/>
        <v>944</v>
      </c>
      <c r="V117" s="4">
        <f t="shared" si="142"/>
        <v>1304</v>
      </c>
      <c r="W117" s="4">
        <f>(L117/2+40+P117+42)</f>
        <v>944</v>
      </c>
      <c r="X117" s="4">
        <f>(L117/2+40+P117+402)</f>
        <v>1304</v>
      </c>
      <c r="Y117" s="4"/>
      <c r="Z117" s="4"/>
      <c r="AA117" s="4"/>
      <c r="AB117" s="4"/>
      <c r="AG117" s="2" t="s">
        <v>47</v>
      </c>
      <c r="AH117" s="4">
        <f t="shared" si="143"/>
        <v>1065</v>
      </c>
      <c r="AI117" s="4">
        <f t="shared" si="144"/>
        <v>1304</v>
      </c>
      <c r="AJ117" s="4">
        <f t="shared" si="145"/>
        <v>944</v>
      </c>
      <c r="AK117" s="4">
        <f t="shared" si="146"/>
        <v>1304</v>
      </c>
      <c r="AL117" s="4">
        <f t="shared" si="150"/>
        <v>2009</v>
      </c>
      <c r="AM117" s="4">
        <f t="shared" si="150"/>
        <v>2608</v>
      </c>
      <c r="AN117" s="4">
        <f t="shared" si="147"/>
        <v>1970</v>
      </c>
      <c r="AO117" s="4">
        <f t="shared" si="148"/>
        <v>2440</v>
      </c>
    </row>
    <row r="118" spans="1:41" s="2" customFormat="1" x14ac:dyDescent="0.2">
      <c r="A118">
        <f t="shared" si="132"/>
        <v>117</v>
      </c>
      <c r="B118" s="2" t="s">
        <v>15</v>
      </c>
      <c r="C118" s="2">
        <v>1</v>
      </c>
      <c r="D118" s="2" t="s">
        <v>12</v>
      </c>
      <c r="E118" s="14">
        <v>1.6</v>
      </c>
      <c r="F118" s="2" t="s">
        <v>11</v>
      </c>
      <c r="G118" s="2">
        <v>800</v>
      </c>
      <c r="H118" s="2">
        <f t="shared" si="135"/>
        <v>465</v>
      </c>
      <c r="I118" s="2">
        <f t="shared" si="136"/>
        <v>465</v>
      </c>
      <c r="J118" s="2" t="s">
        <v>19</v>
      </c>
      <c r="K118" s="2">
        <v>0</v>
      </c>
      <c r="L118" s="2">
        <v>1600</v>
      </c>
      <c r="M118" s="2">
        <v>1400</v>
      </c>
      <c r="N118" s="2">
        <v>880</v>
      </c>
      <c r="O118" s="4">
        <v>780</v>
      </c>
      <c r="P118" s="4">
        <v>62</v>
      </c>
      <c r="Q118" s="4">
        <v>45</v>
      </c>
      <c r="R118" s="2" t="s">
        <v>47</v>
      </c>
      <c r="S118" s="2">
        <f>(-K118+G118/2+H118+10)</f>
        <v>875</v>
      </c>
      <c r="T118" s="2">
        <f>(K118+G118/2+I118+10)</f>
        <v>875</v>
      </c>
      <c r="U118" s="4">
        <f t="shared" si="141"/>
        <v>944</v>
      </c>
      <c r="V118" s="4">
        <f t="shared" si="142"/>
        <v>1304</v>
      </c>
      <c r="W118" s="4">
        <f>(L118/2+40+P118+42)</f>
        <v>944</v>
      </c>
      <c r="X118" s="4">
        <f>(L118/2+40+P118+402)</f>
        <v>1304</v>
      </c>
      <c r="Y118" s="4"/>
      <c r="Z118" s="4"/>
      <c r="AA118" s="4"/>
      <c r="AB118" s="4"/>
      <c r="AG118" s="2" t="s">
        <v>47</v>
      </c>
      <c r="AH118" s="4">
        <f t="shared" si="143"/>
        <v>944</v>
      </c>
      <c r="AI118" s="4">
        <f t="shared" si="144"/>
        <v>1304</v>
      </c>
      <c r="AJ118" s="4">
        <f t="shared" si="145"/>
        <v>944</v>
      </c>
      <c r="AK118" s="4">
        <f t="shared" si="146"/>
        <v>1304</v>
      </c>
      <c r="AL118" s="4">
        <f t="shared" si="150"/>
        <v>1888</v>
      </c>
      <c r="AM118" s="4">
        <f t="shared" si="150"/>
        <v>2608</v>
      </c>
      <c r="AN118" s="4">
        <f t="shared" si="147"/>
        <v>1970</v>
      </c>
      <c r="AO118" s="4">
        <f t="shared" si="148"/>
        <v>2440</v>
      </c>
    </row>
    <row r="119" spans="1:41" s="6" customFormat="1" ht="13.5" thickBot="1" x14ac:dyDescent="0.25">
      <c r="A119">
        <f t="shared" si="132"/>
        <v>118</v>
      </c>
      <c r="B119" s="6" t="s">
        <v>15</v>
      </c>
      <c r="C119" s="6">
        <v>1</v>
      </c>
      <c r="D119" s="6" t="s">
        <v>12</v>
      </c>
      <c r="E119" s="13">
        <v>1.6</v>
      </c>
      <c r="F119" s="6" t="s">
        <v>11</v>
      </c>
      <c r="G119" s="6">
        <v>900</v>
      </c>
      <c r="H119" s="6">
        <f t="shared" si="135"/>
        <v>515</v>
      </c>
      <c r="I119" s="6">
        <f t="shared" si="136"/>
        <v>515</v>
      </c>
      <c r="J119" s="6" t="s">
        <v>19</v>
      </c>
      <c r="K119" s="6">
        <v>0</v>
      </c>
      <c r="L119" s="6">
        <v>1600</v>
      </c>
      <c r="M119" s="6">
        <v>1400</v>
      </c>
      <c r="N119" s="6">
        <v>880</v>
      </c>
      <c r="O119" s="7">
        <v>780</v>
      </c>
      <c r="P119" s="7">
        <v>62</v>
      </c>
      <c r="Q119" s="7">
        <v>45</v>
      </c>
      <c r="R119" s="6" t="s">
        <v>47</v>
      </c>
      <c r="S119" s="6">
        <f t="shared" si="137"/>
        <v>975</v>
      </c>
      <c r="T119" s="6">
        <f t="shared" si="138"/>
        <v>975</v>
      </c>
      <c r="U119" s="7">
        <f t="shared" si="141"/>
        <v>944</v>
      </c>
      <c r="V119" s="7">
        <f t="shared" si="142"/>
        <v>1304</v>
      </c>
      <c r="W119" s="7">
        <f t="shared" si="139"/>
        <v>944</v>
      </c>
      <c r="X119" s="7">
        <f t="shared" si="140"/>
        <v>1304</v>
      </c>
      <c r="Y119" s="7"/>
      <c r="Z119" s="7"/>
      <c r="AA119" s="7"/>
      <c r="AB119" s="7"/>
      <c r="AG119" s="6" t="s">
        <v>47</v>
      </c>
      <c r="AH119" s="7">
        <f t="shared" si="143"/>
        <v>975</v>
      </c>
      <c r="AI119" s="7">
        <f t="shared" si="144"/>
        <v>1304</v>
      </c>
      <c r="AJ119" s="7">
        <f t="shared" si="145"/>
        <v>975</v>
      </c>
      <c r="AK119" s="7">
        <f t="shared" si="146"/>
        <v>1304</v>
      </c>
      <c r="AL119" s="7">
        <f t="shared" si="29"/>
        <v>1950</v>
      </c>
      <c r="AM119" s="7">
        <f t="shared" si="30"/>
        <v>2608</v>
      </c>
      <c r="AN119" s="7">
        <f t="shared" si="147"/>
        <v>1970</v>
      </c>
      <c r="AO119" s="7">
        <f t="shared" si="148"/>
        <v>2440</v>
      </c>
    </row>
    <row r="120" spans="1:41" s="2" customFormat="1" x14ac:dyDescent="0.2">
      <c r="A120">
        <f t="shared" si="132"/>
        <v>119</v>
      </c>
      <c r="B120" s="4" t="s">
        <v>20</v>
      </c>
      <c r="C120" s="2">
        <v>1</v>
      </c>
      <c r="D120" s="2" t="s">
        <v>12</v>
      </c>
      <c r="E120" s="14">
        <v>1</v>
      </c>
      <c r="F120" s="2" t="s">
        <v>10</v>
      </c>
      <c r="G120" s="2">
        <v>1100</v>
      </c>
      <c r="H120" s="2">
        <f>G120/2+IF(F120="CLD",65,55)</f>
        <v>605</v>
      </c>
      <c r="I120" s="2">
        <f>IF(F120="CLD",G120/2+65,150)</f>
        <v>150</v>
      </c>
      <c r="J120" s="4" t="s">
        <v>18</v>
      </c>
      <c r="K120" s="4">
        <v>350</v>
      </c>
      <c r="L120" s="4">
        <v>2100</v>
      </c>
      <c r="M120" s="2">
        <v>1100</v>
      </c>
      <c r="N120" s="4">
        <v>760</v>
      </c>
      <c r="O120" s="4">
        <v>1570</v>
      </c>
      <c r="P120" s="4">
        <v>62</v>
      </c>
      <c r="Q120" s="4">
        <v>45</v>
      </c>
      <c r="R120" s="2" t="s">
        <v>47</v>
      </c>
      <c r="S120" s="2">
        <f>(-K120+G120/2+H120+10)</f>
        <v>815</v>
      </c>
      <c r="T120" s="2">
        <f>(K120+G120/2+I120+10)</f>
        <v>1060</v>
      </c>
      <c r="U120" s="4">
        <f>(L120/2+40+P120+42)</f>
        <v>1194</v>
      </c>
      <c r="V120" s="4">
        <f>(L120/2+40+P120+402)</f>
        <v>1554</v>
      </c>
      <c r="W120" s="4">
        <f>(L120/2+40+P120+42)</f>
        <v>1194</v>
      </c>
      <c r="X120" s="4">
        <f>(L120/2+40+P120+402)</f>
        <v>1554</v>
      </c>
      <c r="Y120" s="4"/>
      <c r="Z120" s="4"/>
      <c r="AA120" s="4"/>
      <c r="AB120" s="4"/>
      <c r="AG120" s="2" t="s">
        <v>47</v>
      </c>
      <c r="AH120" s="4">
        <f>MAX(S120,U120)</f>
        <v>1194</v>
      </c>
      <c r="AI120" s="4">
        <f>V120</f>
        <v>1554</v>
      </c>
      <c r="AJ120" s="4">
        <f>MAX(T120,W120)</f>
        <v>1194</v>
      </c>
      <c r="AK120" s="4">
        <f>X120</f>
        <v>1554</v>
      </c>
      <c r="AL120" s="4">
        <f>(AH120+AJ120)</f>
        <v>2388</v>
      </c>
      <c r="AM120" s="4">
        <f>(AI120+AK120)</f>
        <v>3108</v>
      </c>
      <c r="AN120" s="4">
        <f>(N120+775+130)</f>
        <v>1665</v>
      </c>
      <c r="AO120" s="4">
        <f>(N120+775+600)</f>
        <v>2135</v>
      </c>
    </row>
    <row r="121" spans="1:41" s="1" customFormat="1" x14ac:dyDescent="0.2">
      <c r="A121">
        <f t="shared" si="132"/>
        <v>120</v>
      </c>
      <c r="B121" s="5" t="s">
        <v>20</v>
      </c>
      <c r="C121" s="1">
        <v>1</v>
      </c>
      <c r="D121" s="1" t="s">
        <v>12</v>
      </c>
      <c r="E121" s="11">
        <v>1</v>
      </c>
      <c r="F121" s="1" t="s">
        <v>10</v>
      </c>
      <c r="G121" s="1">
        <v>1200</v>
      </c>
      <c r="H121" s="1">
        <f t="shared" si="135"/>
        <v>655</v>
      </c>
      <c r="I121" s="1">
        <f t="shared" si="136"/>
        <v>150</v>
      </c>
      <c r="J121" s="5" t="s">
        <v>18</v>
      </c>
      <c r="K121" s="5">
        <v>350</v>
      </c>
      <c r="L121" s="5">
        <v>2100</v>
      </c>
      <c r="M121" s="1">
        <v>1100</v>
      </c>
      <c r="N121" s="5">
        <v>760</v>
      </c>
      <c r="O121" s="5">
        <v>1570</v>
      </c>
      <c r="P121" s="5">
        <v>62</v>
      </c>
      <c r="Q121" s="5">
        <v>45</v>
      </c>
      <c r="R121" s="1" t="s">
        <v>47</v>
      </c>
      <c r="S121" s="1">
        <f t="shared" si="137"/>
        <v>915</v>
      </c>
      <c r="T121" s="1">
        <f t="shared" si="138"/>
        <v>1110</v>
      </c>
      <c r="U121" s="5">
        <f t="shared" si="141"/>
        <v>1194</v>
      </c>
      <c r="V121" s="5">
        <f t="shared" si="142"/>
        <v>1554</v>
      </c>
      <c r="W121" s="5">
        <f t="shared" si="139"/>
        <v>1194</v>
      </c>
      <c r="X121" s="5">
        <f t="shared" si="140"/>
        <v>1554</v>
      </c>
      <c r="Y121" s="5"/>
      <c r="Z121" s="5"/>
      <c r="AA121" s="5"/>
      <c r="AB121" s="5"/>
      <c r="AG121" s="1" t="s">
        <v>47</v>
      </c>
      <c r="AH121" s="5">
        <f t="shared" si="143"/>
        <v>1194</v>
      </c>
      <c r="AI121" s="5">
        <f t="shared" si="144"/>
        <v>1554</v>
      </c>
      <c r="AJ121" s="5">
        <f t="shared" si="145"/>
        <v>1194</v>
      </c>
      <c r="AK121" s="5">
        <f t="shared" si="146"/>
        <v>1554</v>
      </c>
      <c r="AL121" s="5">
        <f t="shared" si="29"/>
        <v>2388</v>
      </c>
      <c r="AM121" s="5">
        <f t="shared" si="30"/>
        <v>3108</v>
      </c>
      <c r="AN121" s="5">
        <f>(N121+775+130)</f>
        <v>1665</v>
      </c>
      <c r="AO121" s="5">
        <f>(N121+775+600)</f>
        <v>2135</v>
      </c>
    </row>
    <row r="122" spans="1:41" s="2" customFormat="1" x14ac:dyDescent="0.2">
      <c r="A122">
        <f t="shared" si="132"/>
        <v>121</v>
      </c>
      <c r="B122" s="2" t="s">
        <v>20</v>
      </c>
      <c r="C122" s="2">
        <v>1</v>
      </c>
      <c r="D122" s="2" t="s">
        <v>12</v>
      </c>
      <c r="E122" s="14">
        <v>1.6</v>
      </c>
      <c r="F122" s="2" t="s">
        <v>10</v>
      </c>
      <c r="G122" s="2">
        <v>1100</v>
      </c>
      <c r="H122" s="2">
        <f>G122/2+IF(F122="CLD",65,55)</f>
        <v>605</v>
      </c>
      <c r="I122" s="2">
        <f>IF(F122="CLD",G122/2+65,150)</f>
        <v>150</v>
      </c>
      <c r="J122" s="2" t="s">
        <v>18</v>
      </c>
      <c r="K122" s="2">
        <v>350</v>
      </c>
      <c r="L122" s="2">
        <v>2100</v>
      </c>
      <c r="M122" s="2">
        <v>1100</v>
      </c>
      <c r="N122" s="2">
        <v>760</v>
      </c>
      <c r="O122" s="2">
        <v>1570</v>
      </c>
      <c r="P122" s="4">
        <v>62</v>
      </c>
      <c r="Q122" s="4">
        <v>45</v>
      </c>
      <c r="R122" s="2" t="s">
        <v>47</v>
      </c>
      <c r="S122" s="2">
        <f>(-K122+G122/2+H122+10)</f>
        <v>815</v>
      </c>
      <c r="T122" s="2">
        <f>(K122+G122/2+I122+10)</f>
        <v>1060</v>
      </c>
      <c r="U122" s="4">
        <f>(L122/2+40+P122+42)</f>
        <v>1194</v>
      </c>
      <c r="V122" s="4">
        <f>(L122/2+40+P122+402)</f>
        <v>1554</v>
      </c>
      <c r="W122" s="4">
        <f>(L122/2+40+P122+42)</f>
        <v>1194</v>
      </c>
      <c r="X122" s="4">
        <f>(L122/2+40+P122+402)</f>
        <v>1554</v>
      </c>
      <c r="AG122" s="2" t="s">
        <v>47</v>
      </c>
      <c r="AH122" s="4">
        <f>MAX(S122,U122)</f>
        <v>1194</v>
      </c>
      <c r="AI122" s="4">
        <f>V122</f>
        <v>1554</v>
      </c>
      <c r="AJ122" s="4">
        <f>MAX(T122,W122)</f>
        <v>1194</v>
      </c>
      <c r="AK122" s="4">
        <f>X122</f>
        <v>1554</v>
      </c>
      <c r="AL122" s="4">
        <f>(AH122+AJ122)</f>
        <v>2388</v>
      </c>
      <c r="AM122" s="4">
        <f>(AI122+AK122)</f>
        <v>3108</v>
      </c>
      <c r="AN122" s="4">
        <f>(N122+775+130)</f>
        <v>1665</v>
      </c>
      <c r="AO122" s="4">
        <f>(N122+775+600)</f>
        <v>2135</v>
      </c>
    </row>
    <row r="123" spans="1:41" s="6" customFormat="1" ht="13.5" thickBot="1" x14ac:dyDescent="0.25">
      <c r="A123">
        <f t="shared" si="132"/>
        <v>122</v>
      </c>
      <c r="B123" s="6" t="s">
        <v>20</v>
      </c>
      <c r="C123" s="6">
        <v>1</v>
      </c>
      <c r="D123" s="6" t="s">
        <v>12</v>
      </c>
      <c r="E123" s="13">
        <v>1.6</v>
      </c>
      <c r="F123" s="6" t="s">
        <v>10</v>
      </c>
      <c r="G123" s="6">
        <v>1200</v>
      </c>
      <c r="H123" s="2">
        <f t="shared" si="135"/>
        <v>655</v>
      </c>
      <c r="I123" s="2">
        <f t="shared" si="136"/>
        <v>150</v>
      </c>
      <c r="J123" s="6" t="s">
        <v>18</v>
      </c>
      <c r="K123" s="6">
        <v>350</v>
      </c>
      <c r="L123" s="6">
        <v>2100</v>
      </c>
      <c r="M123" s="6">
        <v>1100</v>
      </c>
      <c r="N123" s="6">
        <v>760</v>
      </c>
      <c r="O123" s="6">
        <v>1570</v>
      </c>
      <c r="P123" s="7">
        <v>62</v>
      </c>
      <c r="Q123" s="7">
        <v>45</v>
      </c>
      <c r="R123" s="2" t="s">
        <v>47</v>
      </c>
      <c r="S123" s="6">
        <f t="shared" si="137"/>
        <v>915</v>
      </c>
      <c r="T123" s="6">
        <f t="shared" si="138"/>
        <v>1110</v>
      </c>
      <c r="U123" s="7">
        <f t="shared" si="141"/>
        <v>1194</v>
      </c>
      <c r="V123" s="7">
        <f t="shared" si="142"/>
        <v>1554</v>
      </c>
      <c r="W123" s="7">
        <f t="shared" si="139"/>
        <v>1194</v>
      </c>
      <c r="X123" s="7">
        <f t="shared" si="140"/>
        <v>1554</v>
      </c>
      <c r="AG123" s="2" t="s">
        <v>47</v>
      </c>
      <c r="AH123" s="7">
        <f t="shared" si="143"/>
        <v>1194</v>
      </c>
      <c r="AI123" s="7">
        <f t="shared" si="144"/>
        <v>1554</v>
      </c>
      <c r="AJ123" s="7">
        <f t="shared" si="145"/>
        <v>1194</v>
      </c>
      <c r="AK123" s="7">
        <f t="shared" si="146"/>
        <v>1554</v>
      </c>
      <c r="AL123" s="7">
        <f t="shared" si="29"/>
        <v>2388</v>
      </c>
      <c r="AM123" s="7">
        <f t="shared" si="30"/>
        <v>3108</v>
      </c>
      <c r="AN123" s="7">
        <f>(N123+775+130)</f>
        <v>1665</v>
      </c>
      <c r="AO123" s="7">
        <f>(N123+775+600)</f>
        <v>2135</v>
      </c>
    </row>
    <row r="124" spans="1:41" s="2" customFormat="1" x14ac:dyDescent="0.2">
      <c r="A124">
        <f t="shared" si="132"/>
        <v>123</v>
      </c>
      <c r="B124" t="s">
        <v>17</v>
      </c>
      <c r="C124">
        <v>1</v>
      </c>
      <c r="D124" t="s">
        <v>49</v>
      </c>
      <c r="E124" s="10">
        <v>1</v>
      </c>
      <c r="F124" t="s">
        <v>10</v>
      </c>
      <c r="G124">
        <v>650</v>
      </c>
      <c r="H124" s="2">
        <f>G124/2+IF(F124="CLD",65,55)</f>
        <v>380</v>
      </c>
      <c r="I124" s="2">
        <f>IF(F124="CLD",G124/2+65,150)</f>
        <v>150</v>
      </c>
      <c r="J124" s="2" t="s">
        <v>18</v>
      </c>
      <c r="K124" s="2">
        <v>30</v>
      </c>
      <c r="L124" s="2">
        <v>1100</v>
      </c>
      <c r="M124" s="2">
        <v>950</v>
      </c>
      <c r="N124" s="4">
        <v>720</v>
      </c>
      <c r="O124" s="4">
        <v>780</v>
      </c>
      <c r="P124" s="4">
        <v>68</v>
      </c>
      <c r="Q124" s="4">
        <v>68</v>
      </c>
      <c r="R124" s="2" t="s">
        <v>47</v>
      </c>
      <c r="S124" s="2">
        <f>(-K124+G124/2+H124+10)</f>
        <v>685</v>
      </c>
      <c r="T124" s="2">
        <f>(K124+G124/2+I124+10)</f>
        <v>515</v>
      </c>
      <c r="U124" s="4">
        <f>(L124/2+40+P124+42)</f>
        <v>700</v>
      </c>
      <c r="V124" s="4">
        <f>(L124/2+40+P124+402)</f>
        <v>1060</v>
      </c>
      <c r="W124" s="4">
        <f>(L124/2+40+P124+42)</f>
        <v>700</v>
      </c>
      <c r="X124" s="4">
        <f>(L124/2+40+P124+402)</f>
        <v>1060</v>
      </c>
      <c r="Y124" s="4">
        <f>(O124/2+Q124+50)</f>
        <v>508</v>
      </c>
      <c r="Z124">
        <f>(O124/2+Q124+425)</f>
        <v>883</v>
      </c>
      <c r="AA124" s="4">
        <f>(O124/2+Q124+50)</f>
        <v>508</v>
      </c>
      <c r="AB124" s="4">
        <f>(O124/2+Q124+425)</f>
        <v>883</v>
      </c>
      <c r="AG124" s="2" t="s">
        <v>47</v>
      </c>
      <c r="AH124" s="2">
        <f>MAX(S124,U124)</f>
        <v>700</v>
      </c>
      <c r="AI124" s="2">
        <f>MIN(V124)</f>
        <v>1060</v>
      </c>
      <c r="AJ124" s="2">
        <f>MAX(T124,W124)</f>
        <v>700</v>
      </c>
      <c r="AK124" s="2">
        <f>MIN(X124)</f>
        <v>1060</v>
      </c>
      <c r="AL124" s="4">
        <f t="shared" ref="AL124:AM126" si="151">(AH124+AJ124)</f>
        <v>1400</v>
      </c>
      <c r="AM124" s="4">
        <f t="shared" si="151"/>
        <v>2120</v>
      </c>
      <c r="AN124" s="4">
        <f>(N124+665+190)</f>
        <v>1575</v>
      </c>
      <c r="AO124" s="4">
        <f>(N124+665+460)</f>
        <v>1845</v>
      </c>
    </row>
    <row r="125" spans="1:41" s="2" customFormat="1" x14ac:dyDescent="0.2">
      <c r="A125">
        <f t="shared" si="132"/>
        <v>124</v>
      </c>
      <c r="B125" t="s">
        <v>17</v>
      </c>
      <c r="C125">
        <v>1</v>
      </c>
      <c r="D125" t="s">
        <v>49</v>
      </c>
      <c r="E125" s="10">
        <v>1</v>
      </c>
      <c r="F125" t="s">
        <v>10</v>
      </c>
      <c r="G125">
        <v>650</v>
      </c>
      <c r="H125" s="2">
        <f>G125/2+IF(F125="CLD",65,55)</f>
        <v>380</v>
      </c>
      <c r="I125" s="2">
        <f>IF(F125="CLD",G125/2+65,150)</f>
        <v>150</v>
      </c>
      <c r="J125" s="2" t="s">
        <v>19</v>
      </c>
      <c r="K125" s="2">
        <v>0</v>
      </c>
      <c r="L125" s="2">
        <v>1100</v>
      </c>
      <c r="M125" s="2">
        <v>950</v>
      </c>
      <c r="N125" s="4">
        <v>720</v>
      </c>
      <c r="O125" s="4">
        <v>780</v>
      </c>
      <c r="P125" s="4">
        <v>68</v>
      </c>
      <c r="Q125" s="4">
        <v>68</v>
      </c>
      <c r="R125" s="2" t="s">
        <v>47</v>
      </c>
      <c r="S125" s="2">
        <f>(-K125+G125/2+H125+10)</f>
        <v>715</v>
      </c>
      <c r="T125" s="2">
        <f>(K125+G125/2+I125+10)</f>
        <v>485</v>
      </c>
      <c r="U125" s="4">
        <f>(L125/2+40+P125+42)</f>
        <v>700</v>
      </c>
      <c r="V125" s="4">
        <f>(L125/2+40+P125+402)</f>
        <v>1060</v>
      </c>
      <c r="W125" s="4">
        <f>(L125/2+40+P125+42)</f>
        <v>700</v>
      </c>
      <c r="X125" s="4">
        <f>(L125/2+40+P125+402)</f>
        <v>1060</v>
      </c>
      <c r="Y125" s="4">
        <f>(O125/2+Q125+50)</f>
        <v>508</v>
      </c>
      <c r="Z125">
        <f>(O125/2+Q125+425)</f>
        <v>883</v>
      </c>
      <c r="AA125" s="4">
        <f>(O125/2+Q125+50)</f>
        <v>508</v>
      </c>
      <c r="AB125" s="4">
        <f>(O125/2+Q125+425)</f>
        <v>883</v>
      </c>
      <c r="AG125" s="2" t="s">
        <v>47</v>
      </c>
      <c r="AH125" s="2">
        <f>MAX(S125,U125)</f>
        <v>715</v>
      </c>
      <c r="AI125" s="2">
        <f>MIN(V125)</f>
        <v>1060</v>
      </c>
      <c r="AJ125" s="2">
        <f>MAX(T125,W125)</f>
        <v>700</v>
      </c>
      <c r="AK125" s="2">
        <f>MIN(X125)</f>
        <v>1060</v>
      </c>
      <c r="AL125" s="4">
        <f t="shared" si="151"/>
        <v>1415</v>
      </c>
      <c r="AM125" s="4">
        <f t="shared" si="151"/>
        <v>2120</v>
      </c>
      <c r="AN125" s="4">
        <f>(N125+665+190)</f>
        <v>1575</v>
      </c>
      <c r="AO125" s="4">
        <f>(N125+665+460)</f>
        <v>1845</v>
      </c>
    </row>
    <row r="126" spans="1:41" s="2" customFormat="1" x14ac:dyDescent="0.2">
      <c r="A126">
        <f t="shared" si="132"/>
        <v>125</v>
      </c>
      <c r="B126" t="s">
        <v>17</v>
      </c>
      <c r="C126">
        <v>1</v>
      </c>
      <c r="D126" t="s">
        <v>49</v>
      </c>
      <c r="E126" s="10">
        <v>1</v>
      </c>
      <c r="F126" t="s">
        <v>10</v>
      </c>
      <c r="G126">
        <v>700</v>
      </c>
      <c r="H126" s="2">
        <f t="shared" si="135"/>
        <v>405</v>
      </c>
      <c r="I126" s="2">
        <f t="shared" si="136"/>
        <v>150</v>
      </c>
      <c r="J126" s="2" t="s">
        <v>18</v>
      </c>
      <c r="K126" s="2">
        <v>100</v>
      </c>
      <c r="L126" s="2">
        <v>1100</v>
      </c>
      <c r="M126" s="2">
        <v>950</v>
      </c>
      <c r="N126" s="4">
        <v>720</v>
      </c>
      <c r="O126" s="4">
        <v>780</v>
      </c>
      <c r="P126" s="4">
        <v>68</v>
      </c>
      <c r="Q126" s="4">
        <v>68</v>
      </c>
      <c r="R126" s="2" t="s">
        <v>47</v>
      </c>
      <c r="S126" s="2">
        <f>(-K126+G126/2+H126+10)</f>
        <v>665</v>
      </c>
      <c r="T126" s="2">
        <f>(K126+G126/2+I126+10)</f>
        <v>610</v>
      </c>
      <c r="U126" s="4">
        <f t="shared" si="141"/>
        <v>700</v>
      </c>
      <c r="V126" s="4">
        <f t="shared" si="142"/>
        <v>1060</v>
      </c>
      <c r="W126" s="4">
        <f>(L126/2+40+P126+42)</f>
        <v>700</v>
      </c>
      <c r="X126" s="4">
        <f>(L126/2+40+P126+402)</f>
        <v>1060</v>
      </c>
      <c r="Y126" s="4">
        <f>(O126/2+Q126+50)</f>
        <v>508</v>
      </c>
      <c r="Z126">
        <f>(O126/2+Q126+425)</f>
        <v>883</v>
      </c>
      <c r="AA126" s="4">
        <f>(O126/2+Q126+50)</f>
        <v>508</v>
      </c>
      <c r="AB126" s="4">
        <f>(O126/2+Q126+425)</f>
        <v>883</v>
      </c>
      <c r="AG126" s="2" t="s">
        <v>47</v>
      </c>
      <c r="AH126" s="2">
        <f t="shared" si="143"/>
        <v>700</v>
      </c>
      <c r="AI126" s="2">
        <f>MIN(V126)</f>
        <v>1060</v>
      </c>
      <c r="AJ126" s="2">
        <f t="shared" si="145"/>
        <v>700</v>
      </c>
      <c r="AK126" s="2">
        <f>MIN(X126)</f>
        <v>1060</v>
      </c>
      <c r="AL126" s="4">
        <f t="shared" si="151"/>
        <v>1400</v>
      </c>
      <c r="AM126" s="4">
        <f t="shared" si="151"/>
        <v>2120</v>
      </c>
      <c r="AN126" s="4">
        <f>(N126+665+190)</f>
        <v>1575</v>
      </c>
      <c r="AO126" s="4">
        <f>(N126+665+460)</f>
        <v>1845</v>
      </c>
    </row>
    <row r="127" spans="1:41" s="2" customFormat="1" x14ac:dyDescent="0.2">
      <c r="A127">
        <f t="shared" si="132"/>
        <v>126</v>
      </c>
      <c r="B127" t="s">
        <v>17</v>
      </c>
      <c r="C127">
        <v>1</v>
      </c>
      <c r="D127" t="s">
        <v>49</v>
      </c>
      <c r="E127" s="10">
        <v>1</v>
      </c>
      <c r="F127" t="s">
        <v>10</v>
      </c>
      <c r="G127">
        <v>700</v>
      </c>
      <c r="H127" s="2">
        <f t="shared" si="135"/>
        <v>405</v>
      </c>
      <c r="I127" s="2">
        <f t="shared" si="136"/>
        <v>150</v>
      </c>
      <c r="J127" s="2" t="s">
        <v>19</v>
      </c>
      <c r="K127" s="2">
        <v>0</v>
      </c>
      <c r="L127" s="2">
        <v>1100</v>
      </c>
      <c r="M127" s="2">
        <v>950</v>
      </c>
      <c r="N127" s="4">
        <v>720</v>
      </c>
      <c r="O127" s="4">
        <v>780</v>
      </c>
      <c r="P127" s="4">
        <v>68</v>
      </c>
      <c r="Q127" s="4">
        <v>68</v>
      </c>
      <c r="R127" s="2" t="s">
        <v>47</v>
      </c>
      <c r="S127" s="2">
        <f t="shared" ref="S127:S228" si="152">(-K127+G127/2+H127+10)</f>
        <v>765</v>
      </c>
      <c r="T127" s="2">
        <f t="shared" ref="T127:T228" si="153">(K127+G127/2+I127+10)</f>
        <v>510</v>
      </c>
      <c r="U127" s="4">
        <f t="shared" ref="U127:U143" si="154">(L127/2+40+P127+42)</f>
        <v>700</v>
      </c>
      <c r="V127" s="4">
        <f t="shared" ref="V127:V143" si="155">(L127/2+40+P127+402)</f>
        <v>1060</v>
      </c>
      <c r="W127" s="4">
        <f t="shared" ref="W127:W228" si="156">(L127/2+40+P127+42)</f>
        <v>700</v>
      </c>
      <c r="X127" s="4">
        <f t="shared" ref="X127:X228" si="157">(L127/2+40+P127+402)</f>
        <v>1060</v>
      </c>
      <c r="Y127" s="4">
        <f t="shared" ref="Y127:Y143" si="158">(O127/2+Q127+50)</f>
        <v>508</v>
      </c>
      <c r="Z127">
        <f t="shared" ref="Z127:Z143" si="159">(O127/2+Q127+425)</f>
        <v>883</v>
      </c>
      <c r="AA127" s="4">
        <f t="shared" ref="AA127:AA143" si="160">(O127/2+Q127+50)</f>
        <v>508</v>
      </c>
      <c r="AB127" s="4">
        <f t="shared" ref="AB127:AB143" si="161">(O127/2+Q127+425)</f>
        <v>883</v>
      </c>
      <c r="AG127" s="2" t="s">
        <v>47</v>
      </c>
      <c r="AH127" s="2">
        <f t="shared" ref="AH127:AH143" si="162">MAX(S127,U127)</f>
        <v>765</v>
      </c>
      <c r="AI127" s="2">
        <f t="shared" ref="AI127:AI143" si="163">MIN(V127)</f>
        <v>1060</v>
      </c>
      <c r="AJ127" s="2">
        <f t="shared" ref="AJ127:AJ143" si="164">MAX(T127,W127)</f>
        <v>700</v>
      </c>
      <c r="AK127" s="2">
        <f t="shared" ref="AK127:AK143" si="165">MIN(X127)</f>
        <v>1060</v>
      </c>
      <c r="AL127" s="4">
        <f t="shared" ref="AL127:AL143" si="166">(AH127+AJ127)</f>
        <v>1465</v>
      </c>
      <c r="AM127" s="4">
        <f t="shared" ref="AM127:AM143" si="167">(AI127+AK127)</f>
        <v>2120</v>
      </c>
      <c r="AN127" s="4">
        <f t="shared" ref="AN127:AN143" si="168">(N127+665+190)</f>
        <v>1575</v>
      </c>
      <c r="AO127" s="4">
        <f t="shared" ref="AO127:AO143" si="169">(N127+665+460)</f>
        <v>1845</v>
      </c>
    </row>
    <row r="128" spans="1:41" s="2" customFormat="1" x14ac:dyDescent="0.2">
      <c r="A128">
        <f t="shared" si="132"/>
        <v>127</v>
      </c>
      <c r="B128" t="s">
        <v>17</v>
      </c>
      <c r="C128">
        <v>1</v>
      </c>
      <c r="D128" t="s">
        <v>49</v>
      </c>
      <c r="E128" s="10">
        <v>1</v>
      </c>
      <c r="F128" t="s">
        <v>10</v>
      </c>
      <c r="G128">
        <v>800</v>
      </c>
      <c r="H128" s="2">
        <f t="shared" si="135"/>
        <v>455</v>
      </c>
      <c r="I128" s="2">
        <f t="shared" si="136"/>
        <v>150</v>
      </c>
      <c r="J128" s="2" t="s">
        <v>18</v>
      </c>
      <c r="K128" s="2">
        <v>30</v>
      </c>
      <c r="L128" s="2">
        <v>1100</v>
      </c>
      <c r="M128" s="2">
        <v>950</v>
      </c>
      <c r="N128" s="4">
        <v>720</v>
      </c>
      <c r="O128" s="4">
        <v>780</v>
      </c>
      <c r="P128" s="4">
        <v>68</v>
      </c>
      <c r="Q128" s="4">
        <v>68</v>
      </c>
      <c r="R128" s="2" t="s">
        <v>47</v>
      </c>
      <c r="S128" s="2">
        <f t="shared" si="152"/>
        <v>835</v>
      </c>
      <c r="T128" s="2">
        <f t="shared" si="153"/>
        <v>590</v>
      </c>
      <c r="U128" s="4">
        <f t="shared" si="154"/>
        <v>700</v>
      </c>
      <c r="V128" s="4">
        <f t="shared" si="155"/>
        <v>1060</v>
      </c>
      <c r="W128" s="4">
        <f t="shared" si="156"/>
        <v>700</v>
      </c>
      <c r="X128" s="4">
        <f t="shared" si="157"/>
        <v>1060</v>
      </c>
      <c r="Y128" s="4">
        <f t="shared" si="158"/>
        <v>508</v>
      </c>
      <c r="Z128">
        <f t="shared" si="159"/>
        <v>883</v>
      </c>
      <c r="AA128" s="4">
        <f t="shared" si="160"/>
        <v>508</v>
      </c>
      <c r="AB128" s="4">
        <f t="shared" si="161"/>
        <v>883</v>
      </c>
      <c r="AG128" s="2" t="s">
        <v>47</v>
      </c>
      <c r="AH128" s="2">
        <f t="shared" si="162"/>
        <v>835</v>
      </c>
      <c r="AI128" s="2">
        <f t="shared" si="163"/>
        <v>1060</v>
      </c>
      <c r="AJ128" s="2">
        <f t="shared" si="164"/>
        <v>700</v>
      </c>
      <c r="AK128" s="2">
        <f t="shared" si="165"/>
        <v>1060</v>
      </c>
      <c r="AL128" s="4">
        <f t="shared" si="166"/>
        <v>1535</v>
      </c>
      <c r="AM128" s="4">
        <f t="shared" si="167"/>
        <v>2120</v>
      </c>
      <c r="AN128" s="4">
        <f t="shared" si="168"/>
        <v>1575</v>
      </c>
      <c r="AO128" s="4">
        <f t="shared" si="169"/>
        <v>1845</v>
      </c>
    </row>
    <row r="129" spans="1:41" s="2" customFormat="1" x14ac:dyDescent="0.2">
      <c r="A129">
        <f t="shared" si="132"/>
        <v>128</v>
      </c>
      <c r="B129" t="s">
        <v>17</v>
      </c>
      <c r="C129">
        <v>1</v>
      </c>
      <c r="D129" t="s">
        <v>49</v>
      </c>
      <c r="E129" s="10">
        <v>1</v>
      </c>
      <c r="F129" t="s">
        <v>10</v>
      </c>
      <c r="G129">
        <v>800</v>
      </c>
      <c r="H129" s="2">
        <f t="shared" si="135"/>
        <v>455</v>
      </c>
      <c r="I129" s="2">
        <f t="shared" si="136"/>
        <v>150</v>
      </c>
      <c r="J129" s="2" t="s">
        <v>19</v>
      </c>
      <c r="K129" s="4">
        <v>0</v>
      </c>
      <c r="L129" s="2">
        <v>1100</v>
      </c>
      <c r="M129" s="2">
        <v>950</v>
      </c>
      <c r="N129" s="4">
        <v>720</v>
      </c>
      <c r="O129" s="4">
        <v>780</v>
      </c>
      <c r="P129" s="4">
        <v>68</v>
      </c>
      <c r="Q129" s="4">
        <v>68</v>
      </c>
      <c r="R129" s="2" t="s">
        <v>47</v>
      </c>
      <c r="S129" s="2">
        <f t="shared" si="152"/>
        <v>865</v>
      </c>
      <c r="T129" s="2">
        <f t="shared" si="153"/>
        <v>560</v>
      </c>
      <c r="U129" s="4">
        <f t="shared" si="154"/>
        <v>700</v>
      </c>
      <c r="V129" s="4">
        <f t="shared" si="155"/>
        <v>1060</v>
      </c>
      <c r="W129" s="4">
        <f t="shared" si="156"/>
        <v>700</v>
      </c>
      <c r="X129" s="4">
        <f t="shared" si="157"/>
        <v>1060</v>
      </c>
      <c r="Y129" s="4">
        <f t="shared" si="158"/>
        <v>508</v>
      </c>
      <c r="Z129">
        <f t="shared" si="159"/>
        <v>883</v>
      </c>
      <c r="AA129" s="4">
        <f t="shared" si="160"/>
        <v>508</v>
      </c>
      <c r="AB129" s="4">
        <f t="shared" si="161"/>
        <v>883</v>
      </c>
      <c r="AG129" s="2" t="s">
        <v>47</v>
      </c>
      <c r="AH129" s="2">
        <f t="shared" si="162"/>
        <v>865</v>
      </c>
      <c r="AI129" s="2">
        <f t="shared" si="163"/>
        <v>1060</v>
      </c>
      <c r="AJ129" s="2">
        <f t="shared" si="164"/>
        <v>700</v>
      </c>
      <c r="AK129" s="2">
        <f t="shared" si="165"/>
        <v>1060</v>
      </c>
      <c r="AL129" s="4">
        <f t="shared" si="166"/>
        <v>1565</v>
      </c>
      <c r="AM129" s="4">
        <f t="shared" si="167"/>
        <v>2120</v>
      </c>
      <c r="AN129" s="4">
        <f t="shared" si="168"/>
        <v>1575</v>
      </c>
      <c r="AO129" s="4">
        <f t="shared" si="169"/>
        <v>1845</v>
      </c>
    </row>
    <row r="130" spans="1:41" s="2" customFormat="1" x14ac:dyDescent="0.2">
      <c r="A130">
        <f t="shared" si="132"/>
        <v>129</v>
      </c>
      <c r="B130" t="s">
        <v>17</v>
      </c>
      <c r="C130">
        <v>1</v>
      </c>
      <c r="D130" t="s">
        <v>49</v>
      </c>
      <c r="E130" s="10">
        <v>1</v>
      </c>
      <c r="F130" t="s">
        <v>10</v>
      </c>
      <c r="G130">
        <v>900</v>
      </c>
      <c r="H130" s="2">
        <f>G130/2+IF(F130="CLD",65,55)</f>
        <v>505</v>
      </c>
      <c r="I130" s="2">
        <f>IF(F130="CLD",G130/2+65,150)</f>
        <v>150</v>
      </c>
      <c r="J130" s="2" t="s">
        <v>18</v>
      </c>
      <c r="K130" s="4">
        <v>50</v>
      </c>
      <c r="L130" s="2">
        <v>1100</v>
      </c>
      <c r="M130" s="2">
        <v>950</v>
      </c>
      <c r="N130" s="4">
        <v>720</v>
      </c>
      <c r="O130" s="4">
        <v>780</v>
      </c>
      <c r="P130" s="4">
        <v>68</v>
      </c>
      <c r="Q130" s="4">
        <v>68</v>
      </c>
      <c r="R130" s="2" t="s">
        <v>47</v>
      </c>
      <c r="S130" s="2">
        <f>(-K130+G130/2+H130+10)</f>
        <v>915</v>
      </c>
      <c r="T130" s="2">
        <f>(K130+G130/2+I130+10)</f>
        <v>660</v>
      </c>
      <c r="U130" s="4">
        <f>(L130/2+40+P130+42)</f>
        <v>700</v>
      </c>
      <c r="V130" s="4">
        <f>(L130/2+40+P130+402)</f>
        <v>1060</v>
      </c>
      <c r="W130" s="4">
        <f>(L130/2+40+P130+42)</f>
        <v>700</v>
      </c>
      <c r="X130" s="4">
        <f>(L130/2+40+P130+402)</f>
        <v>1060</v>
      </c>
      <c r="Y130" s="4">
        <f>(O130/2+Q130+50)</f>
        <v>508</v>
      </c>
      <c r="Z130">
        <f>(O130/2+Q130+425)</f>
        <v>883</v>
      </c>
      <c r="AA130" s="4">
        <f>(O130/2+Q130+50)</f>
        <v>508</v>
      </c>
      <c r="AB130" s="4">
        <f>(O130/2+Q130+425)</f>
        <v>883</v>
      </c>
      <c r="AG130" s="2" t="s">
        <v>47</v>
      </c>
      <c r="AH130" s="2">
        <f>MAX(S130,U130)</f>
        <v>915</v>
      </c>
      <c r="AI130" s="2">
        <f>MIN(V130)</f>
        <v>1060</v>
      </c>
      <c r="AJ130" s="2">
        <f>MAX(T130,W130)</f>
        <v>700</v>
      </c>
      <c r="AK130" s="2">
        <f>MIN(X130)</f>
        <v>1060</v>
      </c>
      <c r="AL130" s="4">
        <f>(AH130+AJ130)</f>
        <v>1615</v>
      </c>
      <c r="AM130" s="4">
        <f>(AI130+AK130)</f>
        <v>2120</v>
      </c>
      <c r="AN130" s="4">
        <f>(N130+665+190)</f>
        <v>1575</v>
      </c>
      <c r="AO130" s="4">
        <f>(N130+665+460)</f>
        <v>1845</v>
      </c>
    </row>
    <row r="131" spans="1:41" s="2" customFormat="1" x14ac:dyDescent="0.2">
      <c r="A131">
        <f t="shared" si="132"/>
        <v>130</v>
      </c>
      <c r="B131" t="s">
        <v>17</v>
      </c>
      <c r="C131">
        <v>1</v>
      </c>
      <c r="D131" t="s">
        <v>49</v>
      </c>
      <c r="E131" s="10">
        <v>1</v>
      </c>
      <c r="F131" t="s">
        <v>10</v>
      </c>
      <c r="G131">
        <v>1000</v>
      </c>
      <c r="H131" s="2">
        <f t="shared" si="135"/>
        <v>555</v>
      </c>
      <c r="I131" s="2">
        <f t="shared" si="136"/>
        <v>150</v>
      </c>
      <c r="J131" s="2" t="s">
        <v>18</v>
      </c>
      <c r="K131" s="4">
        <v>30</v>
      </c>
      <c r="L131" s="2">
        <v>1100</v>
      </c>
      <c r="M131" s="2">
        <v>950</v>
      </c>
      <c r="N131" s="4">
        <v>720</v>
      </c>
      <c r="O131" s="4">
        <v>780</v>
      </c>
      <c r="P131" s="4">
        <v>68</v>
      </c>
      <c r="Q131" s="4">
        <v>68</v>
      </c>
      <c r="R131" s="2" t="s">
        <v>47</v>
      </c>
      <c r="S131" s="2">
        <f>(-K131+G131/2+H131+10)</f>
        <v>1035</v>
      </c>
      <c r="T131" s="2">
        <f>(K131+G131/2+I131+10)</f>
        <v>690</v>
      </c>
      <c r="U131" s="4">
        <f>(L131/2+40+P131+42)</f>
        <v>700</v>
      </c>
      <c r="V131" s="4">
        <f>(L131/2+40+P131+402)</f>
        <v>1060</v>
      </c>
      <c r="W131" s="4">
        <f>(L131/2+40+P131+42)</f>
        <v>700</v>
      </c>
      <c r="X131" s="4">
        <f>(L131/2+40+P131+402)</f>
        <v>1060</v>
      </c>
      <c r="Y131" s="4">
        <f>(O131/2+Q131+50)</f>
        <v>508</v>
      </c>
      <c r="Z131">
        <f>(O131/2+Q131+425)</f>
        <v>883</v>
      </c>
      <c r="AA131" s="4">
        <f>(O131/2+Q131+50)</f>
        <v>508</v>
      </c>
      <c r="AB131" s="4">
        <f>(O131/2+Q131+425)</f>
        <v>883</v>
      </c>
      <c r="AG131" s="2" t="s">
        <v>47</v>
      </c>
      <c r="AH131" s="2">
        <f>MAX(S131,U131)</f>
        <v>1035</v>
      </c>
      <c r="AI131" s="2">
        <f>MIN(V131)</f>
        <v>1060</v>
      </c>
      <c r="AJ131" s="2">
        <f>MAX(T131,W131)</f>
        <v>700</v>
      </c>
      <c r="AK131" s="2">
        <f>MIN(X131)</f>
        <v>1060</v>
      </c>
      <c r="AL131" s="4">
        <f>(AH131+AJ131)</f>
        <v>1735</v>
      </c>
      <c r="AM131" s="4">
        <f>(AI131+AK131)</f>
        <v>2120</v>
      </c>
      <c r="AN131" s="4">
        <f>(N131+665+190)</f>
        <v>1575</v>
      </c>
      <c r="AO131" s="4">
        <f>(N131+665+460)</f>
        <v>1845</v>
      </c>
    </row>
    <row r="132" spans="1:41" s="2" customFormat="1" x14ac:dyDescent="0.2">
      <c r="A132">
        <f t="shared" si="132"/>
        <v>131</v>
      </c>
      <c r="B132" t="s">
        <v>17</v>
      </c>
      <c r="C132">
        <v>1</v>
      </c>
      <c r="D132" t="s">
        <v>49</v>
      </c>
      <c r="E132" s="10">
        <v>1</v>
      </c>
      <c r="F132" t="s">
        <v>11</v>
      </c>
      <c r="G132">
        <v>700</v>
      </c>
      <c r="H132" s="2">
        <f t="shared" si="135"/>
        <v>415</v>
      </c>
      <c r="I132" s="2">
        <f t="shared" si="136"/>
        <v>415</v>
      </c>
      <c r="J132" s="2" t="s">
        <v>19</v>
      </c>
      <c r="K132" s="4">
        <v>0</v>
      </c>
      <c r="L132" s="2">
        <v>1100</v>
      </c>
      <c r="M132" s="2">
        <v>950</v>
      </c>
      <c r="N132" s="4">
        <v>720</v>
      </c>
      <c r="O132" s="4">
        <v>780</v>
      </c>
      <c r="P132" s="4">
        <v>68</v>
      </c>
      <c r="Q132" s="4">
        <v>68</v>
      </c>
      <c r="R132" s="2" t="s">
        <v>47</v>
      </c>
      <c r="S132" s="2">
        <f t="shared" si="152"/>
        <v>775</v>
      </c>
      <c r="T132" s="2">
        <f t="shared" si="153"/>
        <v>775</v>
      </c>
      <c r="U132" s="4">
        <f t="shared" si="154"/>
        <v>700</v>
      </c>
      <c r="V132" s="4">
        <f t="shared" si="155"/>
        <v>1060</v>
      </c>
      <c r="W132" s="4">
        <f t="shared" si="156"/>
        <v>700</v>
      </c>
      <c r="X132" s="4">
        <f t="shared" si="157"/>
        <v>1060</v>
      </c>
      <c r="Y132" s="4">
        <f t="shared" si="158"/>
        <v>508</v>
      </c>
      <c r="Z132">
        <f t="shared" si="159"/>
        <v>883</v>
      </c>
      <c r="AA132" s="4">
        <f t="shared" si="160"/>
        <v>508</v>
      </c>
      <c r="AB132" s="4">
        <f t="shared" si="161"/>
        <v>883</v>
      </c>
      <c r="AG132" s="2" t="s">
        <v>47</v>
      </c>
      <c r="AH132" s="2">
        <f t="shared" si="162"/>
        <v>775</v>
      </c>
      <c r="AI132" s="2">
        <f t="shared" si="163"/>
        <v>1060</v>
      </c>
      <c r="AJ132" s="2">
        <f t="shared" si="164"/>
        <v>775</v>
      </c>
      <c r="AK132" s="2">
        <f t="shared" si="165"/>
        <v>1060</v>
      </c>
      <c r="AL132" s="4">
        <f t="shared" si="166"/>
        <v>1550</v>
      </c>
      <c r="AM132" s="4">
        <f t="shared" si="167"/>
        <v>2120</v>
      </c>
      <c r="AN132" s="4">
        <f t="shared" si="168"/>
        <v>1575</v>
      </c>
      <c r="AO132" s="4">
        <f t="shared" si="169"/>
        <v>1845</v>
      </c>
    </row>
    <row r="133" spans="1:41" s="2" customFormat="1" x14ac:dyDescent="0.2">
      <c r="A133">
        <f t="shared" si="132"/>
        <v>132</v>
      </c>
      <c r="B133" s="1" t="s">
        <v>17</v>
      </c>
      <c r="C133" s="1">
        <v>1</v>
      </c>
      <c r="D133" t="s">
        <v>49</v>
      </c>
      <c r="E133" s="11">
        <v>1</v>
      </c>
      <c r="F133" s="1" t="s">
        <v>11</v>
      </c>
      <c r="G133" s="1">
        <v>800</v>
      </c>
      <c r="H133" s="2">
        <f t="shared" si="135"/>
        <v>465</v>
      </c>
      <c r="I133" s="2">
        <f t="shared" si="136"/>
        <v>465</v>
      </c>
      <c r="J133" s="1" t="s">
        <v>19</v>
      </c>
      <c r="K133" s="1">
        <v>0</v>
      </c>
      <c r="L133" s="1">
        <v>1100</v>
      </c>
      <c r="M133" s="1">
        <v>950</v>
      </c>
      <c r="N133" s="5">
        <v>720</v>
      </c>
      <c r="O133" s="4">
        <v>780</v>
      </c>
      <c r="P133" s="5">
        <v>68</v>
      </c>
      <c r="Q133" s="4">
        <v>68</v>
      </c>
      <c r="R133" s="2" t="s">
        <v>47</v>
      </c>
      <c r="S133" s="1">
        <f t="shared" si="152"/>
        <v>875</v>
      </c>
      <c r="T133" s="1">
        <f t="shared" si="153"/>
        <v>875</v>
      </c>
      <c r="U133" s="5">
        <f t="shared" si="154"/>
        <v>700</v>
      </c>
      <c r="V133" s="5">
        <f t="shared" si="155"/>
        <v>1060</v>
      </c>
      <c r="W133" s="5">
        <f t="shared" si="156"/>
        <v>700</v>
      </c>
      <c r="X133" s="5">
        <f t="shared" si="157"/>
        <v>1060</v>
      </c>
      <c r="Y133" s="5">
        <f t="shared" si="158"/>
        <v>508</v>
      </c>
      <c r="Z133" s="1">
        <f t="shared" si="159"/>
        <v>883</v>
      </c>
      <c r="AA133" s="5">
        <f t="shared" si="160"/>
        <v>508</v>
      </c>
      <c r="AB133" s="5">
        <f t="shared" si="161"/>
        <v>883</v>
      </c>
      <c r="AC133" s="1"/>
      <c r="AD133" s="1"/>
      <c r="AE133" s="1"/>
      <c r="AF133" s="1"/>
      <c r="AG133" s="2" t="s">
        <v>47</v>
      </c>
      <c r="AH133" s="2">
        <f t="shared" si="162"/>
        <v>875</v>
      </c>
      <c r="AI133" s="2">
        <f t="shared" si="163"/>
        <v>1060</v>
      </c>
      <c r="AJ133" s="2">
        <f t="shared" si="164"/>
        <v>875</v>
      </c>
      <c r="AK133" s="2">
        <f t="shared" si="165"/>
        <v>1060</v>
      </c>
      <c r="AL133" s="5">
        <f t="shared" si="166"/>
        <v>1750</v>
      </c>
      <c r="AM133" s="5">
        <f t="shared" si="167"/>
        <v>2120</v>
      </c>
      <c r="AN133" s="4">
        <f t="shared" si="168"/>
        <v>1575</v>
      </c>
      <c r="AO133" s="4">
        <f t="shared" si="169"/>
        <v>1845</v>
      </c>
    </row>
    <row r="134" spans="1:41" s="2" customFormat="1" x14ac:dyDescent="0.2">
      <c r="A134">
        <f t="shared" si="132"/>
        <v>133</v>
      </c>
      <c r="B134" t="s">
        <v>17</v>
      </c>
      <c r="C134">
        <v>1</v>
      </c>
      <c r="D134" t="s">
        <v>49</v>
      </c>
      <c r="E134" s="10">
        <v>1.6</v>
      </c>
      <c r="F134" t="s">
        <v>10</v>
      </c>
      <c r="G134">
        <v>650</v>
      </c>
      <c r="H134" s="2">
        <f>G134/2+IF(F134="CLD",65,55)</f>
        <v>380</v>
      </c>
      <c r="I134" s="2">
        <f>IF(F134="CLD",G134/2+65,150)</f>
        <v>150</v>
      </c>
      <c r="J134" s="2" t="s">
        <v>18</v>
      </c>
      <c r="K134" s="4">
        <v>30</v>
      </c>
      <c r="L134" s="2">
        <v>1100</v>
      </c>
      <c r="M134" s="2">
        <v>950</v>
      </c>
      <c r="N134" s="4">
        <v>720</v>
      </c>
      <c r="O134" s="4">
        <v>780</v>
      </c>
      <c r="P134" s="4">
        <v>68</v>
      </c>
      <c r="Q134" s="4">
        <v>68</v>
      </c>
      <c r="R134" s="2" t="s">
        <v>47</v>
      </c>
      <c r="S134" s="2">
        <f>(-K134+G134/2+H134+10)</f>
        <v>685</v>
      </c>
      <c r="T134" s="2">
        <f>(K134+G134/2+I134+10)</f>
        <v>515</v>
      </c>
      <c r="U134" s="4">
        <f>(L134/2+40+P134+42)</f>
        <v>700</v>
      </c>
      <c r="V134" s="4">
        <f>(L134/2+40+P134+402)</f>
        <v>1060</v>
      </c>
      <c r="W134" s="4">
        <f>(L134/2+40+P134+42)</f>
        <v>700</v>
      </c>
      <c r="X134" s="4">
        <f>(L134/2+40+P134+402)</f>
        <v>1060</v>
      </c>
      <c r="Y134" s="4">
        <f>(O134/2+Q134+50)</f>
        <v>508</v>
      </c>
      <c r="Z134">
        <f>(O134/2+Q134+425)</f>
        <v>883</v>
      </c>
      <c r="AA134" s="4">
        <f>(O134/2+Q134+50)</f>
        <v>508</v>
      </c>
      <c r="AB134" s="4">
        <f>(O134/2+Q134+425)</f>
        <v>883</v>
      </c>
      <c r="AG134" s="2" t="s">
        <v>47</v>
      </c>
      <c r="AH134" s="2">
        <f>MAX(S134,U134)</f>
        <v>700</v>
      </c>
      <c r="AI134" s="2">
        <f>MIN(V134)</f>
        <v>1060</v>
      </c>
      <c r="AJ134" s="2">
        <f>MAX(T134,W134)</f>
        <v>700</v>
      </c>
      <c r="AK134" s="2">
        <f>MIN(X134)</f>
        <v>1060</v>
      </c>
      <c r="AL134" s="4">
        <f>(AH134+AJ134)</f>
        <v>1400</v>
      </c>
      <c r="AM134" s="4">
        <f>(AI134+AK134)</f>
        <v>2120</v>
      </c>
      <c r="AN134" s="4">
        <f>(N134+665+190)</f>
        <v>1575</v>
      </c>
      <c r="AO134" s="4">
        <f>(N134+665+460)</f>
        <v>1845</v>
      </c>
    </row>
    <row r="135" spans="1:41" s="2" customFormat="1" x14ac:dyDescent="0.2">
      <c r="A135">
        <f t="shared" si="132"/>
        <v>134</v>
      </c>
      <c r="B135" t="s">
        <v>17</v>
      </c>
      <c r="C135">
        <v>1</v>
      </c>
      <c r="D135" t="s">
        <v>49</v>
      </c>
      <c r="E135" s="10">
        <v>1.6</v>
      </c>
      <c r="F135" t="s">
        <v>10</v>
      </c>
      <c r="G135">
        <v>650</v>
      </c>
      <c r="H135" s="2">
        <f>G135/2+IF(F135="CLD",65,55)</f>
        <v>380</v>
      </c>
      <c r="I135" s="2">
        <f>IF(F135="CLD",G135/2+65,150)</f>
        <v>150</v>
      </c>
      <c r="J135" s="2" t="s">
        <v>19</v>
      </c>
      <c r="K135" s="4">
        <v>0</v>
      </c>
      <c r="L135" s="2">
        <v>1100</v>
      </c>
      <c r="M135" s="2">
        <v>950</v>
      </c>
      <c r="N135" s="4">
        <v>720</v>
      </c>
      <c r="O135" s="4">
        <v>780</v>
      </c>
      <c r="P135" s="4">
        <v>68</v>
      </c>
      <c r="Q135" s="4">
        <v>68</v>
      </c>
      <c r="R135" s="2" t="s">
        <v>47</v>
      </c>
      <c r="S135" s="2">
        <f>(-K135+G135/2+H135+10)</f>
        <v>715</v>
      </c>
      <c r="T135" s="2">
        <f>(K135+G135/2+I135+10)</f>
        <v>485</v>
      </c>
      <c r="U135" s="4">
        <f>(L135/2+40+P135+42)</f>
        <v>700</v>
      </c>
      <c r="V135" s="4">
        <f>(L135/2+40+P135+402)</f>
        <v>1060</v>
      </c>
      <c r="W135" s="4">
        <f>(L135/2+40+P135+42)</f>
        <v>700</v>
      </c>
      <c r="X135" s="4">
        <f>(L135/2+40+P135+402)</f>
        <v>1060</v>
      </c>
      <c r="Y135" s="4">
        <f>(O135/2+Q135+50)</f>
        <v>508</v>
      </c>
      <c r="Z135">
        <f>(O135/2+Q135+425)</f>
        <v>883</v>
      </c>
      <c r="AA135" s="4">
        <f>(O135/2+Q135+50)</f>
        <v>508</v>
      </c>
      <c r="AB135" s="4">
        <f>(O135/2+Q135+425)</f>
        <v>883</v>
      </c>
      <c r="AG135" s="2" t="s">
        <v>47</v>
      </c>
      <c r="AH135" s="2">
        <f>MAX(S135,U135)</f>
        <v>715</v>
      </c>
      <c r="AI135" s="2">
        <f>MIN(V135)</f>
        <v>1060</v>
      </c>
      <c r="AJ135" s="2">
        <f>MAX(T135,W135)</f>
        <v>700</v>
      </c>
      <c r="AK135" s="2">
        <f>MIN(X135)</f>
        <v>1060</v>
      </c>
      <c r="AL135" s="4">
        <f>(AH135+AJ135)</f>
        <v>1415</v>
      </c>
      <c r="AM135" s="4">
        <f>(AI135+AK135)</f>
        <v>2120</v>
      </c>
      <c r="AN135" s="4">
        <f>(N135+665+190)</f>
        <v>1575</v>
      </c>
      <c r="AO135" s="4">
        <f>(N135+665+460)</f>
        <v>1845</v>
      </c>
    </row>
    <row r="136" spans="1:41" s="2" customFormat="1" x14ac:dyDescent="0.2">
      <c r="A136">
        <f t="shared" si="132"/>
        <v>135</v>
      </c>
      <c r="B136" t="s">
        <v>17</v>
      </c>
      <c r="C136">
        <v>1</v>
      </c>
      <c r="D136" t="s">
        <v>49</v>
      </c>
      <c r="E136" s="10">
        <v>1.6</v>
      </c>
      <c r="F136" t="s">
        <v>10</v>
      </c>
      <c r="G136">
        <v>700</v>
      </c>
      <c r="H136" s="2">
        <f t="shared" si="135"/>
        <v>405</v>
      </c>
      <c r="I136" s="2">
        <f t="shared" si="136"/>
        <v>150</v>
      </c>
      <c r="J136" s="2" t="s">
        <v>18</v>
      </c>
      <c r="K136" s="4">
        <v>100</v>
      </c>
      <c r="L136" s="2">
        <v>1100</v>
      </c>
      <c r="M136" s="2">
        <v>950</v>
      </c>
      <c r="N136" s="4">
        <v>720</v>
      </c>
      <c r="O136" s="4">
        <v>780</v>
      </c>
      <c r="P136" s="4">
        <v>68</v>
      </c>
      <c r="Q136" s="4">
        <v>68</v>
      </c>
      <c r="R136" s="2" t="s">
        <v>47</v>
      </c>
      <c r="S136" s="2">
        <f t="shared" si="152"/>
        <v>665</v>
      </c>
      <c r="T136" s="2">
        <f t="shared" si="153"/>
        <v>610</v>
      </c>
      <c r="U136" s="4">
        <f t="shared" si="154"/>
        <v>700</v>
      </c>
      <c r="V136" s="4">
        <f t="shared" si="155"/>
        <v>1060</v>
      </c>
      <c r="W136" s="4">
        <f t="shared" si="156"/>
        <v>700</v>
      </c>
      <c r="X136" s="4">
        <f t="shared" si="157"/>
        <v>1060</v>
      </c>
      <c r="Y136" s="4">
        <f t="shared" si="158"/>
        <v>508</v>
      </c>
      <c r="Z136">
        <f t="shared" si="159"/>
        <v>883</v>
      </c>
      <c r="AA136" s="4">
        <f t="shared" si="160"/>
        <v>508</v>
      </c>
      <c r="AB136" s="4">
        <f t="shared" si="161"/>
        <v>883</v>
      </c>
      <c r="AG136" s="2" t="s">
        <v>47</v>
      </c>
      <c r="AH136" s="2">
        <f t="shared" si="162"/>
        <v>700</v>
      </c>
      <c r="AI136" s="2">
        <f t="shared" si="163"/>
        <v>1060</v>
      </c>
      <c r="AJ136" s="2">
        <f t="shared" si="164"/>
        <v>700</v>
      </c>
      <c r="AK136" s="2">
        <f t="shared" si="165"/>
        <v>1060</v>
      </c>
      <c r="AL136" s="4">
        <f t="shared" si="166"/>
        <v>1400</v>
      </c>
      <c r="AM136" s="4">
        <f t="shared" si="167"/>
        <v>2120</v>
      </c>
      <c r="AN136" s="4">
        <f t="shared" si="168"/>
        <v>1575</v>
      </c>
      <c r="AO136" s="4">
        <f t="shared" si="169"/>
        <v>1845</v>
      </c>
    </row>
    <row r="137" spans="1:41" s="2" customFormat="1" x14ac:dyDescent="0.2">
      <c r="A137">
        <f t="shared" si="132"/>
        <v>136</v>
      </c>
      <c r="B137" t="s">
        <v>17</v>
      </c>
      <c r="C137">
        <v>1</v>
      </c>
      <c r="D137" t="s">
        <v>49</v>
      </c>
      <c r="E137" s="10">
        <v>1.6</v>
      </c>
      <c r="F137" t="s">
        <v>10</v>
      </c>
      <c r="G137">
        <v>700</v>
      </c>
      <c r="H137" s="2">
        <f t="shared" si="135"/>
        <v>405</v>
      </c>
      <c r="I137" s="2">
        <f t="shared" si="136"/>
        <v>150</v>
      </c>
      <c r="J137" s="2" t="s">
        <v>19</v>
      </c>
      <c r="K137" s="4">
        <v>0</v>
      </c>
      <c r="L137" s="2">
        <v>1100</v>
      </c>
      <c r="M137" s="2">
        <v>950</v>
      </c>
      <c r="N137" s="4">
        <v>720</v>
      </c>
      <c r="O137" s="4">
        <v>780</v>
      </c>
      <c r="P137" s="4">
        <v>68</v>
      </c>
      <c r="Q137" s="4">
        <v>68</v>
      </c>
      <c r="R137" s="2" t="s">
        <v>47</v>
      </c>
      <c r="S137" s="2">
        <f t="shared" si="152"/>
        <v>765</v>
      </c>
      <c r="T137" s="2">
        <f t="shared" si="153"/>
        <v>510</v>
      </c>
      <c r="U137" s="4">
        <f t="shared" si="154"/>
        <v>700</v>
      </c>
      <c r="V137" s="4">
        <f t="shared" si="155"/>
        <v>1060</v>
      </c>
      <c r="W137" s="4">
        <f t="shared" si="156"/>
        <v>700</v>
      </c>
      <c r="X137" s="4">
        <f t="shared" si="157"/>
        <v>1060</v>
      </c>
      <c r="Y137" s="4">
        <f t="shared" si="158"/>
        <v>508</v>
      </c>
      <c r="Z137">
        <f t="shared" si="159"/>
        <v>883</v>
      </c>
      <c r="AA137" s="4">
        <f t="shared" si="160"/>
        <v>508</v>
      </c>
      <c r="AB137" s="4">
        <f t="shared" si="161"/>
        <v>883</v>
      </c>
      <c r="AG137" s="2" t="s">
        <v>47</v>
      </c>
      <c r="AH137" s="2">
        <f t="shared" si="162"/>
        <v>765</v>
      </c>
      <c r="AI137" s="2">
        <f t="shared" si="163"/>
        <v>1060</v>
      </c>
      <c r="AJ137" s="2">
        <f t="shared" si="164"/>
        <v>700</v>
      </c>
      <c r="AK137" s="2">
        <f t="shared" si="165"/>
        <v>1060</v>
      </c>
      <c r="AL137" s="4">
        <f t="shared" si="166"/>
        <v>1465</v>
      </c>
      <c r="AM137" s="4">
        <f t="shared" si="167"/>
        <v>2120</v>
      </c>
      <c r="AN137" s="4">
        <f t="shared" si="168"/>
        <v>1575</v>
      </c>
      <c r="AO137" s="4">
        <f t="shared" si="169"/>
        <v>1845</v>
      </c>
    </row>
    <row r="138" spans="1:41" s="2" customFormat="1" x14ac:dyDescent="0.2">
      <c r="A138">
        <f t="shared" si="132"/>
        <v>137</v>
      </c>
      <c r="B138" t="s">
        <v>17</v>
      </c>
      <c r="C138">
        <v>1</v>
      </c>
      <c r="D138" t="s">
        <v>49</v>
      </c>
      <c r="E138" s="10">
        <v>1.6</v>
      </c>
      <c r="F138" t="s">
        <v>10</v>
      </c>
      <c r="G138">
        <v>800</v>
      </c>
      <c r="H138" s="2">
        <f t="shared" si="135"/>
        <v>455</v>
      </c>
      <c r="I138" s="2">
        <f t="shared" si="136"/>
        <v>150</v>
      </c>
      <c r="J138" s="2" t="s">
        <v>18</v>
      </c>
      <c r="K138" s="4">
        <v>30</v>
      </c>
      <c r="L138" s="2">
        <v>1100</v>
      </c>
      <c r="M138" s="2">
        <v>950</v>
      </c>
      <c r="N138" s="4">
        <v>720</v>
      </c>
      <c r="O138" s="4">
        <v>780</v>
      </c>
      <c r="P138" s="4">
        <v>68</v>
      </c>
      <c r="Q138" s="4">
        <v>68</v>
      </c>
      <c r="R138" s="2" t="s">
        <v>47</v>
      </c>
      <c r="S138" s="2">
        <f t="shared" si="152"/>
        <v>835</v>
      </c>
      <c r="T138" s="2">
        <f t="shared" si="153"/>
        <v>590</v>
      </c>
      <c r="U138" s="4">
        <f t="shared" si="154"/>
        <v>700</v>
      </c>
      <c r="V138" s="4">
        <f t="shared" si="155"/>
        <v>1060</v>
      </c>
      <c r="W138" s="4">
        <f t="shared" si="156"/>
        <v>700</v>
      </c>
      <c r="X138" s="4">
        <f t="shared" si="157"/>
        <v>1060</v>
      </c>
      <c r="Y138" s="4">
        <f t="shared" si="158"/>
        <v>508</v>
      </c>
      <c r="Z138">
        <f t="shared" si="159"/>
        <v>883</v>
      </c>
      <c r="AA138" s="4">
        <f t="shared" si="160"/>
        <v>508</v>
      </c>
      <c r="AB138" s="4">
        <f t="shared" si="161"/>
        <v>883</v>
      </c>
      <c r="AG138" s="2" t="s">
        <v>47</v>
      </c>
      <c r="AH138" s="2">
        <f t="shared" si="162"/>
        <v>835</v>
      </c>
      <c r="AI138" s="2">
        <f t="shared" si="163"/>
        <v>1060</v>
      </c>
      <c r="AJ138" s="2">
        <f t="shared" si="164"/>
        <v>700</v>
      </c>
      <c r="AK138" s="2">
        <f t="shared" si="165"/>
        <v>1060</v>
      </c>
      <c r="AL138" s="4">
        <f t="shared" si="166"/>
        <v>1535</v>
      </c>
      <c r="AM138" s="4">
        <f t="shared" si="167"/>
        <v>2120</v>
      </c>
      <c r="AN138" s="4">
        <f t="shared" si="168"/>
        <v>1575</v>
      </c>
      <c r="AO138" s="4">
        <f t="shared" si="169"/>
        <v>1845</v>
      </c>
    </row>
    <row r="139" spans="1:41" s="2" customFormat="1" x14ac:dyDescent="0.2">
      <c r="A139">
        <f t="shared" si="132"/>
        <v>138</v>
      </c>
      <c r="B139" t="s">
        <v>17</v>
      </c>
      <c r="C139">
        <v>1</v>
      </c>
      <c r="D139" t="s">
        <v>49</v>
      </c>
      <c r="E139" s="10">
        <v>1.6</v>
      </c>
      <c r="F139" t="s">
        <v>10</v>
      </c>
      <c r="G139">
        <v>800</v>
      </c>
      <c r="H139" s="2">
        <f t="shared" si="135"/>
        <v>455</v>
      </c>
      <c r="I139" s="2">
        <f t="shared" si="136"/>
        <v>150</v>
      </c>
      <c r="J139" s="2" t="s">
        <v>19</v>
      </c>
      <c r="K139" s="4">
        <v>0</v>
      </c>
      <c r="L139" s="2">
        <v>1100</v>
      </c>
      <c r="M139" s="2">
        <v>950</v>
      </c>
      <c r="N139" s="4">
        <v>720</v>
      </c>
      <c r="O139" s="4">
        <v>780</v>
      </c>
      <c r="P139" s="4">
        <v>68</v>
      </c>
      <c r="Q139" s="4">
        <v>68</v>
      </c>
      <c r="R139" s="2" t="s">
        <v>47</v>
      </c>
      <c r="S139" s="2">
        <f t="shared" si="152"/>
        <v>865</v>
      </c>
      <c r="T139" s="2">
        <f t="shared" si="153"/>
        <v>560</v>
      </c>
      <c r="U139" s="4">
        <f t="shared" si="154"/>
        <v>700</v>
      </c>
      <c r="V139" s="4">
        <f t="shared" si="155"/>
        <v>1060</v>
      </c>
      <c r="W139" s="4">
        <f t="shared" si="156"/>
        <v>700</v>
      </c>
      <c r="X139" s="4">
        <f t="shared" si="157"/>
        <v>1060</v>
      </c>
      <c r="Y139" s="4">
        <f t="shared" si="158"/>
        <v>508</v>
      </c>
      <c r="Z139">
        <f t="shared" si="159"/>
        <v>883</v>
      </c>
      <c r="AA139" s="4">
        <f t="shared" si="160"/>
        <v>508</v>
      </c>
      <c r="AB139" s="4">
        <f t="shared" si="161"/>
        <v>883</v>
      </c>
      <c r="AG139" s="2" t="s">
        <v>47</v>
      </c>
      <c r="AH139" s="2">
        <f t="shared" si="162"/>
        <v>865</v>
      </c>
      <c r="AI139" s="2">
        <f t="shared" si="163"/>
        <v>1060</v>
      </c>
      <c r="AJ139" s="2">
        <f t="shared" si="164"/>
        <v>700</v>
      </c>
      <c r="AK139" s="2">
        <f t="shared" si="165"/>
        <v>1060</v>
      </c>
      <c r="AL139" s="4">
        <f t="shared" si="166"/>
        <v>1565</v>
      </c>
      <c r="AM139" s="4">
        <f t="shared" si="167"/>
        <v>2120</v>
      </c>
      <c r="AN139" s="4">
        <f t="shared" si="168"/>
        <v>1575</v>
      </c>
      <c r="AO139" s="4">
        <f t="shared" si="169"/>
        <v>1845</v>
      </c>
    </row>
    <row r="140" spans="1:41" s="2" customFormat="1" x14ac:dyDescent="0.2">
      <c r="A140">
        <f t="shared" si="132"/>
        <v>139</v>
      </c>
      <c r="B140" t="s">
        <v>17</v>
      </c>
      <c r="C140">
        <v>1</v>
      </c>
      <c r="D140" t="s">
        <v>49</v>
      </c>
      <c r="E140" s="10">
        <v>1.6</v>
      </c>
      <c r="F140" t="s">
        <v>10</v>
      </c>
      <c r="G140">
        <v>900</v>
      </c>
      <c r="H140" s="2">
        <f>G140/2+IF(F140="CLD",65,55)</f>
        <v>505</v>
      </c>
      <c r="I140" s="2">
        <f>IF(F140="CLD",G140/2+65,150)</f>
        <v>150</v>
      </c>
      <c r="J140" s="2" t="s">
        <v>18</v>
      </c>
      <c r="K140" s="4">
        <v>50</v>
      </c>
      <c r="L140" s="2">
        <v>1100</v>
      </c>
      <c r="M140" s="2">
        <v>950</v>
      </c>
      <c r="N140" s="4">
        <v>720</v>
      </c>
      <c r="O140" s="4">
        <v>780</v>
      </c>
      <c r="P140" s="4">
        <v>68</v>
      </c>
      <c r="Q140" s="4">
        <v>68</v>
      </c>
      <c r="R140" s="2" t="s">
        <v>47</v>
      </c>
      <c r="S140" s="2">
        <f>(-K140+G140/2+H140+10)</f>
        <v>915</v>
      </c>
      <c r="T140" s="2">
        <f>(K140+G140/2+I140+10)</f>
        <v>660</v>
      </c>
      <c r="U140" s="4">
        <f>(L140/2+40+P140+42)</f>
        <v>700</v>
      </c>
      <c r="V140" s="4">
        <f>(L140/2+40+P140+402)</f>
        <v>1060</v>
      </c>
      <c r="W140" s="4">
        <f>(L140/2+40+P140+42)</f>
        <v>700</v>
      </c>
      <c r="X140" s="4">
        <f>(L140/2+40+P140+402)</f>
        <v>1060</v>
      </c>
      <c r="Y140" s="4">
        <f>(O140/2+Q140+50)</f>
        <v>508</v>
      </c>
      <c r="Z140">
        <f>(O140/2+Q140+425)</f>
        <v>883</v>
      </c>
      <c r="AA140" s="4">
        <f>(O140/2+Q140+50)</f>
        <v>508</v>
      </c>
      <c r="AB140" s="4">
        <f>(O140/2+Q140+425)</f>
        <v>883</v>
      </c>
      <c r="AG140" s="2" t="s">
        <v>47</v>
      </c>
      <c r="AH140" s="2">
        <f>MAX(S140,U140)</f>
        <v>915</v>
      </c>
      <c r="AI140" s="2">
        <f>MIN(V140)</f>
        <v>1060</v>
      </c>
      <c r="AJ140" s="2">
        <f>MAX(T140,W140)</f>
        <v>700</v>
      </c>
      <c r="AK140" s="2">
        <f>MIN(X140)</f>
        <v>1060</v>
      </c>
      <c r="AL140" s="4">
        <f>(AH140+AJ140)</f>
        <v>1615</v>
      </c>
      <c r="AM140" s="4">
        <f>(AI140+AK140)</f>
        <v>2120</v>
      </c>
      <c r="AN140" s="4">
        <f>(N140+665+190)</f>
        <v>1575</v>
      </c>
      <c r="AO140" s="4">
        <f>(N140+665+460)</f>
        <v>1845</v>
      </c>
    </row>
    <row r="141" spans="1:41" s="2" customFormat="1" x14ac:dyDescent="0.2">
      <c r="A141">
        <f t="shared" si="132"/>
        <v>140</v>
      </c>
      <c r="B141" t="s">
        <v>17</v>
      </c>
      <c r="C141">
        <v>1</v>
      </c>
      <c r="D141" t="s">
        <v>49</v>
      </c>
      <c r="E141" s="10">
        <v>1.6</v>
      </c>
      <c r="F141" t="s">
        <v>10</v>
      </c>
      <c r="G141">
        <v>1000</v>
      </c>
      <c r="H141" s="2">
        <f t="shared" si="135"/>
        <v>555</v>
      </c>
      <c r="I141" s="2">
        <f t="shared" si="136"/>
        <v>150</v>
      </c>
      <c r="J141" s="2" t="s">
        <v>18</v>
      </c>
      <c r="K141" s="4">
        <v>30</v>
      </c>
      <c r="L141" s="2">
        <v>1100</v>
      </c>
      <c r="M141" s="2">
        <v>950</v>
      </c>
      <c r="N141" s="4">
        <v>720</v>
      </c>
      <c r="O141" s="4">
        <v>780</v>
      </c>
      <c r="P141" s="4">
        <v>68</v>
      </c>
      <c r="Q141" s="4">
        <v>68</v>
      </c>
      <c r="R141" s="2" t="s">
        <v>47</v>
      </c>
      <c r="S141" s="2">
        <f>(-K141+G141/2+H141+10)</f>
        <v>1035</v>
      </c>
      <c r="T141" s="2">
        <f>(K141+G141/2+I141+10)</f>
        <v>690</v>
      </c>
      <c r="U141" s="4">
        <f>(L141/2+40+P141+42)</f>
        <v>700</v>
      </c>
      <c r="V141" s="4">
        <f>(L141/2+40+P141+402)</f>
        <v>1060</v>
      </c>
      <c r="W141" s="4">
        <f>(L141/2+40+P141+42)</f>
        <v>700</v>
      </c>
      <c r="X141" s="4">
        <f>(L141/2+40+P141+402)</f>
        <v>1060</v>
      </c>
      <c r="Y141" s="4">
        <f>(O141/2+Q141+50)</f>
        <v>508</v>
      </c>
      <c r="Z141">
        <f>(O141/2+Q141+425)</f>
        <v>883</v>
      </c>
      <c r="AA141" s="4">
        <f>(O141/2+Q141+50)</f>
        <v>508</v>
      </c>
      <c r="AB141" s="4">
        <f>(O141/2+Q141+425)</f>
        <v>883</v>
      </c>
      <c r="AG141" s="2" t="s">
        <v>47</v>
      </c>
      <c r="AH141" s="2">
        <f>MAX(S141,U141)</f>
        <v>1035</v>
      </c>
      <c r="AI141" s="2">
        <f>MIN(V141)</f>
        <v>1060</v>
      </c>
      <c r="AJ141" s="2">
        <f>MAX(T141,W141)</f>
        <v>700</v>
      </c>
      <c r="AK141" s="2">
        <f>MIN(X141)</f>
        <v>1060</v>
      </c>
      <c r="AL141" s="4">
        <f>(AH141+AJ141)</f>
        <v>1735</v>
      </c>
      <c r="AM141" s="4">
        <f>(AI141+AK141)</f>
        <v>2120</v>
      </c>
      <c r="AN141" s="4">
        <f>(N141+665+190)</f>
        <v>1575</v>
      </c>
      <c r="AO141" s="4">
        <f>(N141+665+460)</f>
        <v>1845</v>
      </c>
    </row>
    <row r="142" spans="1:41" s="2" customFormat="1" x14ac:dyDescent="0.2">
      <c r="A142">
        <f t="shared" si="132"/>
        <v>141</v>
      </c>
      <c r="B142" t="s">
        <v>17</v>
      </c>
      <c r="C142">
        <v>1</v>
      </c>
      <c r="D142" t="s">
        <v>49</v>
      </c>
      <c r="E142" s="10">
        <v>1.6</v>
      </c>
      <c r="F142" t="s">
        <v>11</v>
      </c>
      <c r="G142">
        <v>700</v>
      </c>
      <c r="H142" s="2">
        <f t="shared" si="135"/>
        <v>415</v>
      </c>
      <c r="I142" s="2">
        <f t="shared" si="136"/>
        <v>415</v>
      </c>
      <c r="J142" s="2" t="s">
        <v>19</v>
      </c>
      <c r="K142" s="4">
        <v>0</v>
      </c>
      <c r="L142" s="2">
        <v>1100</v>
      </c>
      <c r="M142" s="2">
        <v>950</v>
      </c>
      <c r="N142" s="4">
        <v>720</v>
      </c>
      <c r="O142" s="4">
        <v>780</v>
      </c>
      <c r="P142" s="4">
        <v>68</v>
      </c>
      <c r="Q142" s="4">
        <v>68</v>
      </c>
      <c r="R142" s="2" t="s">
        <v>47</v>
      </c>
      <c r="S142" s="2">
        <f t="shared" si="152"/>
        <v>775</v>
      </c>
      <c r="T142" s="2">
        <f t="shared" si="153"/>
        <v>775</v>
      </c>
      <c r="U142" s="4">
        <f t="shared" si="154"/>
        <v>700</v>
      </c>
      <c r="V142" s="4">
        <f t="shared" si="155"/>
        <v>1060</v>
      </c>
      <c r="W142" s="4">
        <f t="shared" si="156"/>
        <v>700</v>
      </c>
      <c r="X142" s="4">
        <f t="shared" si="157"/>
        <v>1060</v>
      </c>
      <c r="Y142" s="4">
        <f t="shared" si="158"/>
        <v>508</v>
      </c>
      <c r="Z142">
        <f t="shared" si="159"/>
        <v>883</v>
      </c>
      <c r="AA142" s="4">
        <f t="shared" si="160"/>
        <v>508</v>
      </c>
      <c r="AB142" s="4">
        <f t="shared" si="161"/>
        <v>883</v>
      </c>
      <c r="AG142" s="2" t="s">
        <v>47</v>
      </c>
      <c r="AH142" s="2">
        <f t="shared" si="162"/>
        <v>775</v>
      </c>
      <c r="AI142" s="2">
        <f t="shared" si="163"/>
        <v>1060</v>
      </c>
      <c r="AJ142" s="2">
        <f t="shared" si="164"/>
        <v>775</v>
      </c>
      <c r="AK142" s="2">
        <f t="shared" si="165"/>
        <v>1060</v>
      </c>
      <c r="AL142" s="4">
        <f t="shared" si="166"/>
        <v>1550</v>
      </c>
      <c r="AM142" s="4">
        <f t="shared" si="167"/>
        <v>2120</v>
      </c>
      <c r="AN142" s="4">
        <f t="shared" si="168"/>
        <v>1575</v>
      </c>
      <c r="AO142" s="4">
        <f t="shared" si="169"/>
        <v>1845</v>
      </c>
    </row>
    <row r="143" spans="1:41" s="2" customFormat="1" ht="13.5" thickBot="1" x14ac:dyDescent="0.25">
      <c r="A143">
        <f t="shared" si="132"/>
        <v>142</v>
      </c>
      <c r="B143" s="6" t="s">
        <v>17</v>
      </c>
      <c r="C143" s="6">
        <v>1</v>
      </c>
      <c r="D143" t="s">
        <v>49</v>
      </c>
      <c r="E143" s="13">
        <v>1.6</v>
      </c>
      <c r="F143" s="6" t="s">
        <v>11</v>
      </c>
      <c r="G143" s="6">
        <v>800</v>
      </c>
      <c r="H143" s="2">
        <f t="shared" si="135"/>
        <v>465</v>
      </c>
      <c r="I143" s="2">
        <f t="shared" si="136"/>
        <v>465</v>
      </c>
      <c r="J143" s="6" t="s">
        <v>19</v>
      </c>
      <c r="K143" s="6">
        <v>0</v>
      </c>
      <c r="L143" s="6">
        <v>1100</v>
      </c>
      <c r="M143" s="6">
        <v>950</v>
      </c>
      <c r="N143" s="7">
        <v>720</v>
      </c>
      <c r="O143" s="4">
        <v>780</v>
      </c>
      <c r="P143" s="7">
        <v>68</v>
      </c>
      <c r="Q143" s="4">
        <v>68</v>
      </c>
      <c r="R143" s="2" t="s">
        <v>47</v>
      </c>
      <c r="S143" s="6">
        <f t="shared" si="152"/>
        <v>875</v>
      </c>
      <c r="T143" s="6">
        <f t="shared" si="153"/>
        <v>875</v>
      </c>
      <c r="U143" s="7">
        <f t="shared" si="154"/>
        <v>700</v>
      </c>
      <c r="V143" s="7">
        <f t="shared" si="155"/>
        <v>1060</v>
      </c>
      <c r="W143" s="7">
        <f t="shared" si="156"/>
        <v>700</v>
      </c>
      <c r="X143" s="7">
        <f t="shared" si="157"/>
        <v>1060</v>
      </c>
      <c r="Y143" s="7">
        <f t="shared" si="158"/>
        <v>508</v>
      </c>
      <c r="Z143" s="6">
        <f t="shared" si="159"/>
        <v>883</v>
      </c>
      <c r="AA143" s="7">
        <f t="shared" si="160"/>
        <v>508</v>
      </c>
      <c r="AB143" s="7">
        <f t="shared" si="161"/>
        <v>883</v>
      </c>
      <c r="AC143" s="6"/>
      <c r="AD143" s="6"/>
      <c r="AE143" s="6"/>
      <c r="AF143" s="6"/>
      <c r="AG143" s="2" t="s">
        <v>47</v>
      </c>
      <c r="AH143" s="2">
        <f t="shared" si="162"/>
        <v>875</v>
      </c>
      <c r="AI143" s="2">
        <f t="shared" si="163"/>
        <v>1060</v>
      </c>
      <c r="AJ143" s="2">
        <f t="shared" si="164"/>
        <v>875</v>
      </c>
      <c r="AK143" s="2">
        <f t="shared" si="165"/>
        <v>1060</v>
      </c>
      <c r="AL143" s="7">
        <f t="shared" si="166"/>
        <v>1750</v>
      </c>
      <c r="AM143" s="7">
        <f t="shared" si="167"/>
        <v>2120</v>
      </c>
      <c r="AN143" s="4">
        <f t="shared" si="168"/>
        <v>1575</v>
      </c>
      <c r="AO143" s="4">
        <f t="shared" si="169"/>
        <v>1845</v>
      </c>
    </row>
    <row r="144" spans="1:41" s="2" customFormat="1" x14ac:dyDescent="0.2">
      <c r="A144">
        <f t="shared" si="132"/>
        <v>143</v>
      </c>
      <c r="B144" t="s">
        <v>13</v>
      </c>
      <c r="C144">
        <v>1</v>
      </c>
      <c r="D144" t="s">
        <v>49</v>
      </c>
      <c r="E144" s="10">
        <v>1</v>
      </c>
      <c r="F144" t="s">
        <v>10</v>
      </c>
      <c r="G144" s="4">
        <v>700</v>
      </c>
      <c r="H144" s="2">
        <f t="shared" si="135"/>
        <v>405</v>
      </c>
      <c r="I144" s="2">
        <f t="shared" si="136"/>
        <v>150</v>
      </c>
      <c r="J144" s="4" t="s">
        <v>19</v>
      </c>
      <c r="K144" s="4">
        <v>0</v>
      </c>
      <c r="L144" s="2">
        <v>1100</v>
      </c>
      <c r="M144" s="4">
        <v>1400</v>
      </c>
      <c r="N144" s="4">
        <v>880</v>
      </c>
      <c r="O144" s="4">
        <v>780</v>
      </c>
      <c r="P144" s="4">
        <v>68</v>
      </c>
      <c r="Q144" s="4">
        <v>68</v>
      </c>
      <c r="R144" s="2" t="s">
        <v>47</v>
      </c>
      <c r="S144" s="2">
        <f t="shared" si="152"/>
        <v>765</v>
      </c>
      <c r="T144" s="2">
        <f t="shared" si="153"/>
        <v>510</v>
      </c>
      <c r="U144" s="4"/>
      <c r="V144" s="4"/>
      <c r="W144" s="4">
        <f t="shared" si="156"/>
        <v>700</v>
      </c>
      <c r="X144" s="4">
        <f t="shared" si="157"/>
        <v>1060</v>
      </c>
      <c r="Y144" s="4"/>
      <c r="AA144" s="4"/>
      <c r="AB144" s="4"/>
      <c r="AC144" s="2">
        <f>(740+190)</f>
        <v>930</v>
      </c>
      <c r="AD144" s="2">
        <f>(740+600)</f>
        <v>1340</v>
      </c>
      <c r="AE144" s="2">
        <f t="shared" ref="AE144:AE175" si="170">(L144/2+40+P144+190)</f>
        <v>848</v>
      </c>
      <c r="AF144" s="2">
        <f t="shared" ref="AF144:AF175" si="171">(L144/2+40+P144+459)</f>
        <v>1117</v>
      </c>
      <c r="AG144" s="2" t="s">
        <v>47</v>
      </c>
      <c r="AH144" s="4">
        <f t="shared" ref="AH144:AH175" si="172">MAX(S144,AC144,AE144)</f>
        <v>930</v>
      </c>
      <c r="AI144" s="4">
        <f t="shared" ref="AI144:AI175" si="173">MIN(AD144,AF144)</f>
        <v>1117</v>
      </c>
      <c r="AJ144" s="4">
        <f t="shared" ref="AJ144:AJ182" si="174">MAX(T144,W144)</f>
        <v>700</v>
      </c>
      <c r="AK144" s="4">
        <f t="shared" ref="AK144:AK182" si="175">X144</f>
        <v>1060</v>
      </c>
      <c r="AL144" s="4">
        <f>(AH144+AJ144)</f>
        <v>1630</v>
      </c>
      <c r="AM144" s="4">
        <f>(AI144+AK144)</f>
        <v>2177</v>
      </c>
      <c r="AN144" s="4">
        <f>(N144+560+O144/2+Q144+85)</f>
        <v>1983</v>
      </c>
      <c r="AO144" s="4">
        <v>3520</v>
      </c>
    </row>
    <row r="145" spans="1:41" s="2" customFormat="1" x14ac:dyDescent="0.2">
      <c r="A145">
        <f t="shared" si="132"/>
        <v>144</v>
      </c>
      <c r="B145" t="s">
        <v>13</v>
      </c>
      <c r="C145">
        <v>1</v>
      </c>
      <c r="D145" t="s">
        <v>49</v>
      </c>
      <c r="E145" s="10">
        <v>1</v>
      </c>
      <c r="F145" t="s">
        <v>10</v>
      </c>
      <c r="G145">
        <v>800</v>
      </c>
      <c r="H145" s="2">
        <f t="shared" si="135"/>
        <v>455</v>
      </c>
      <c r="I145" s="2">
        <f t="shared" si="136"/>
        <v>150</v>
      </c>
      <c r="J145" s="4" t="s">
        <v>18</v>
      </c>
      <c r="K145" s="4">
        <v>30</v>
      </c>
      <c r="L145" s="2">
        <v>1100</v>
      </c>
      <c r="M145" s="4">
        <v>1400</v>
      </c>
      <c r="N145" s="4">
        <v>880</v>
      </c>
      <c r="O145" s="4">
        <v>780</v>
      </c>
      <c r="P145" s="4">
        <v>68</v>
      </c>
      <c r="Q145" s="4">
        <v>68</v>
      </c>
      <c r="R145" s="2" t="s">
        <v>47</v>
      </c>
      <c r="S145" s="2">
        <f t="shared" si="152"/>
        <v>835</v>
      </c>
      <c r="T145" s="2">
        <f t="shared" si="153"/>
        <v>590</v>
      </c>
      <c r="U145" s="4"/>
      <c r="V145" s="4"/>
      <c r="W145" s="4">
        <f t="shared" si="156"/>
        <v>700</v>
      </c>
      <c r="X145" s="4">
        <f t="shared" si="157"/>
        <v>1060</v>
      </c>
      <c r="Y145" s="4"/>
      <c r="Z145"/>
      <c r="AA145" s="4"/>
      <c r="AB145" s="4"/>
      <c r="AC145" s="2">
        <f t="shared" ref="AC145:AC159" si="176">(740+190)</f>
        <v>930</v>
      </c>
      <c r="AD145" s="2">
        <f t="shared" ref="AD145:AD159" si="177">(740+600)</f>
        <v>1340</v>
      </c>
      <c r="AE145" s="2">
        <f t="shared" si="170"/>
        <v>848</v>
      </c>
      <c r="AF145" s="2">
        <f t="shared" si="171"/>
        <v>1117</v>
      </c>
      <c r="AG145" s="2" t="s">
        <v>47</v>
      </c>
      <c r="AH145" s="4">
        <f t="shared" si="172"/>
        <v>930</v>
      </c>
      <c r="AI145" s="4">
        <f t="shared" si="173"/>
        <v>1117</v>
      </c>
      <c r="AJ145" s="4">
        <f t="shared" si="174"/>
        <v>700</v>
      </c>
      <c r="AK145" s="4">
        <f t="shared" si="175"/>
        <v>1060</v>
      </c>
      <c r="AL145" s="4">
        <f t="shared" ref="AL145:AL245" si="178">(AH145+AJ145)</f>
        <v>1630</v>
      </c>
      <c r="AM145" s="4">
        <f t="shared" ref="AM145:AM245" si="179">(AI145+AK145)</f>
        <v>2177</v>
      </c>
      <c r="AN145" s="4">
        <f t="shared" ref="AN145:AN159" si="180">(N145+560+O145/2+Q145+85)</f>
        <v>1983</v>
      </c>
      <c r="AO145" s="4">
        <v>3520</v>
      </c>
    </row>
    <row r="146" spans="1:41" s="2" customFormat="1" x14ac:dyDescent="0.2">
      <c r="A146">
        <f t="shared" si="132"/>
        <v>145</v>
      </c>
      <c r="B146" t="s">
        <v>13</v>
      </c>
      <c r="C146">
        <v>1</v>
      </c>
      <c r="D146" t="s">
        <v>49</v>
      </c>
      <c r="E146" s="10">
        <v>1</v>
      </c>
      <c r="F146" t="s">
        <v>10</v>
      </c>
      <c r="G146">
        <v>800</v>
      </c>
      <c r="H146" s="2">
        <f t="shared" si="135"/>
        <v>455</v>
      </c>
      <c r="I146" s="2">
        <f t="shared" si="136"/>
        <v>150</v>
      </c>
      <c r="J146" s="4" t="s">
        <v>19</v>
      </c>
      <c r="K146" s="4">
        <v>0</v>
      </c>
      <c r="L146" s="2">
        <v>1100</v>
      </c>
      <c r="M146" s="4">
        <v>1400</v>
      </c>
      <c r="N146" s="4">
        <v>880</v>
      </c>
      <c r="O146" s="4">
        <v>780</v>
      </c>
      <c r="P146" s="4">
        <v>68</v>
      </c>
      <c r="Q146" s="4">
        <v>68</v>
      </c>
      <c r="R146" s="2" t="s">
        <v>47</v>
      </c>
      <c r="S146" s="2">
        <f t="shared" si="152"/>
        <v>865</v>
      </c>
      <c r="T146" s="2">
        <f t="shared" si="153"/>
        <v>560</v>
      </c>
      <c r="U146" s="4"/>
      <c r="V146" s="4"/>
      <c r="W146" s="4">
        <f t="shared" si="156"/>
        <v>700</v>
      </c>
      <c r="X146" s="4">
        <f t="shared" si="157"/>
        <v>1060</v>
      </c>
      <c r="Y146" s="4"/>
      <c r="Z146"/>
      <c r="AA146" s="4"/>
      <c r="AB146" s="4"/>
      <c r="AC146" s="2">
        <f t="shared" si="176"/>
        <v>930</v>
      </c>
      <c r="AD146" s="2">
        <f t="shared" si="177"/>
        <v>1340</v>
      </c>
      <c r="AE146" s="2">
        <f t="shared" si="170"/>
        <v>848</v>
      </c>
      <c r="AF146" s="2">
        <f t="shared" si="171"/>
        <v>1117</v>
      </c>
      <c r="AG146" s="2" t="s">
        <v>47</v>
      </c>
      <c r="AH146" s="4">
        <f t="shared" si="172"/>
        <v>930</v>
      </c>
      <c r="AI146" s="4">
        <f t="shared" si="173"/>
        <v>1117</v>
      </c>
      <c r="AJ146" s="4">
        <f t="shared" si="174"/>
        <v>700</v>
      </c>
      <c r="AK146" s="4">
        <f t="shared" si="175"/>
        <v>1060</v>
      </c>
      <c r="AL146" s="4">
        <f t="shared" si="178"/>
        <v>1630</v>
      </c>
      <c r="AM146" s="4">
        <f t="shared" si="179"/>
        <v>2177</v>
      </c>
      <c r="AN146" s="4">
        <f t="shared" si="180"/>
        <v>1983</v>
      </c>
      <c r="AO146" s="4">
        <v>3520</v>
      </c>
    </row>
    <row r="147" spans="1:41" s="2" customFormat="1" x14ac:dyDescent="0.2">
      <c r="A147">
        <f t="shared" si="132"/>
        <v>146</v>
      </c>
      <c r="B147" t="s">
        <v>13</v>
      </c>
      <c r="C147">
        <v>1</v>
      </c>
      <c r="D147" t="s">
        <v>49</v>
      </c>
      <c r="E147" s="10">
        <v>1</v>
      </c>
      <c r="F147" t="s">
        <v>10</v>
      </c>
      <c r="G147">
        <v>900</v>
      </c>
      <c r="H147" s="2">
        <f>G147/2+IF(F147="CLD",65,55)</f>
        <v>505</v>
      </c>
      <c r="I147" s="2">
        <f>IF(F147="CLD",G147/2+65,150)</f>
        <v>150</v>
      </c>
      <c r="J147" s="4" t="s">
        <v>18</v>
      </c>
      <c r="K147" s="4">
        <v>50</v>
      </c>
      <c r="L147" s="2">
        <v>1100</v>
      </c>
      <c r="M147" s="4">
        <v>1400</v>
      </c>
      <c r="N147" s="4">
        <v>880</v>
      </c>
      <c r="O147" s="4">
        <v>780</v>
      </c>
      <c r="P147" s="4">
        <v>68</v>
      </c>
      <c r="Q147" s="4">
        <v>68</v>
      </c>
      <c r="R147" s="2" t="s">
        <v>47</v>
      </c>
      <c r="S147" s="2">
        <f>(-K147+G147/2+H147+10)</f>
        <v>915</v>
      </c>
      <c r="T147" s="2">
        <f>(K147+G147/2+I147+10)</f>
        <v>660</v>
      </c>
      <c r="U147" s="4"/>
      <c r="V147" s="4"/>
      <c r="W147" s="4">
        <f>(L147/2+40+P147+42)</f>
        <v>700</v>
      </c>
      <c r="X147" s="4">
        <f>(L147/2+40+P147+402)</f>
        <v>1060</v>
      </c>
      <c r="Y147" s="4"/>
      <c r="Z147"/>
      <c r="AA147" s="4"/>
      <c r="AB147" s="4"/>
      <c r="AC147" s="2">
        <f t="shared" si="176"/>
        <v>930</v>
      </c>
      <c r="AD147" s="2">
        <f t="shared" si="177"/>
        <v>1340</v>
      </c>
      <c r="AE147" s="2">
        <f>(L147/2+40+P147+190)</f>
        <v>848</v>
      </c>
      <c r="AF147" s="2">
        <f>(L147/2+40+P147+459)</f>
        <v>1117</v>
      </c>
      <c r="AG147" s="2" t="s">
        <v>47</v>
      </c>
      <c r="AH147" s="4">
        <f>MAX(S147,AC147,AE147)</f>
        <v>930</v>
      </c>
      <c r="AI147" s="4">
        <f>MIN(AD147,AF147)</f>
        <v>1117</v>
      </c>
      <c r="AJ147" s="4">
        <f>MAX(T147,W147)</f>
        <v>700</v>
      </c>
      <c r="AK147" s="4">
        <f>X147</f>
        <v>1060</v>
      </c>
      <c r="AL147" s="4">
        <f>(AH147+AJ147)</f>
        <v>1630</v>
      </c>
      <c r="AM147" s="4">
        <f>(AI147+AK147)</f>
        <v>2177</v>
      </c>
      <c r="AN147" s="4">
        <f>(N147+560+O147/2+Q147+85)</f>
        <v>1983</v>
      </c>
      <c r="AO147" s="4">
        <v>3520</v>
      </c>
    </row>
    <row r="148" spans="1:41" s="2" customFormat="1" x14ac:dyDescent="0.2">
      <c r="A148">
        <f t="shared" si="132"/>
        <v>147</v>
      </c>
      <c r="B148" t="s">
        <v>13</v>
      </c>
      <c r="C148">
        <v>1</v>
      </c>
      <c r="D148" t="s">
        <v>49</v>
      </c>
      <c r="E148" s="10">
        <v>1</v>
      </c>
      <c r="F148" t="s">
        <v>10</v>
      </c>
      <c r="G148">
        <v>1000</v>
      </c>
      <c r="H148" s="2">
        <f t="shared" si="135"/>
        <v>555</v>
      </c>
      <c r="I148" s="2">
        <f t="shared" si="136"/>
        <v>150</v>
      </c>
      <c r="J148" s="4" t="s">
        <v>18</v>
      </c>
      <c r="K148" s="4">
        <v>30</v>
      </c>
      <c r="L148" s="2">
        <v>1100</v>
      </c>
      <c r="M148" s="4">
        <v>1400</v>
      </c>
      <c r="N148" s="4">
        <v>880</v>
      </c>
      <c r="O148" s="4">
        <v>780</v>
      </c>
      <c r="P148" s="4">
        <v>68</v>
      </c>
      <c r="Q148" s="4">
        <v>68</v>
      </c>
      <c r="R148" s="2" t="s">
        <v>47</v>
      </c>
      <c r="S148" s="2">
        <f t="shared" si="152"/>
        <v>1035</v>
      </c>
      <c r="T148" s="2">
        <f t="shared" si="153"/>
        <v>690</v>
      </c>
      <c r="U148" s="4"/>
      <c r="V148" s="4"/>
      <c r="W148" s="4">
        <f t="shared" si="156"/>
        <v>700</v>
      </c>
      <c r="X148" s="4">
        <f t="shared" si="157"/>
        <v>1060</v>
      </c>
      <c r="Y148" s="4"/>
      <c r="Z148"/>
      <c r="AA148" s="4"/>
      <c r="AB148" s="4"/>
      <c r="AC148" s="2">
        <f t="shared" si="176"/>
        <v>930</v>
      </c>
      <c r="AD148" s="2">
        <f t="shared" si="177"/>
        <v>1340</v>
      </c>
      <c r="AE148" s="2">
        <f t="shared" si="170"/>
        <v>848</v>
      </c>
      <c r="AF148" s="2">
        <f t="shared" si="171"/>
        <v>1117</v>
      </c>
      <c r="AG148" s="2" t="s">
        <v>47</v>
      </c>
      <c r="AH148" s="4">
        <f t="shared" si="172"/>
        <v>1035</v>
      </c>
      <c r="AI148" s="4">
        <f t="shared" si="173"/>
        <v>1117</v>
      </c>
      <c r="AJ148" s="4">
        <f t="shared" si="174"/>
        <v>700</v>
      </c>
      <c r="AK148" s="4">
        <f t="shared" si="175"/>
        <v>1060</v>
      </c>
      <c r="AL148" s="4">
        <f t="shared" si="178"/>
        <v>1735</v>
      </c>
      <c r="AM148" s="4">
        <f t="shared" si="179"/>
        <v>2177</v>
      </c>
      <c r="AN148" s="4">
        <f t="shared" si="180"/>
        <v>1983</v>
      </c>
      <c r="AO148" s="4">
        <v>3520</v>
      </c>
    </row>
    <row r="149" spans="1:41" s="2" customFormat="1" x14ac:dyDescent="0.2">
      <c r="A149">
        <f t="shared" si="132"/>
        <v>148</v>
      </c>
      <c r="B149" t="s">
        <v>13</v>
      </c>
      <c r="C149">
        <v>1</v>
      </c>
      <c r="D149" t="s">
        <v>49</v>
      </c>
      <c r="E149" s="10">
        <v>1</v>
      </c>
      <c r="F149" t="s">
        <v>11</v>
      </c>
      <c r="G149">
        <v>700</v>
      </c>
      <c r="H149" s="2">
        <f t="shared" si="135"/>
        <v>415</v>
      </c>
      <c r="I149" s="2">
        <f t="shared" si="136"/>
        <v>415</v>
      </c>
      <c r="J149" s="4" t="s">
        <v>19</v>
      </c>
      <c r="K149" s="4">
        <v>0</v>
      </c>
      <c r="L149" s="2">
        <v>1100</v>
      </c>
      <c r="M149" s="4">
        <v>1400</v>
      </c>
      <c r="N149" s="4">
        <v>880</v>
      </c>
      <c r="O149" s="4">
        <v>780</v>
      </c>
      <c r="P149" s="4">
        <v>68</v>
      </c>
      <c r="Q149" s="4">
        <v>68</v>
      </c>
      <c r="R149" s="2" t="s">
        <v>47</v>
      </c>
      <c r="S149" s="2">
        <f t="shared" si="152"/>
        <v>775</v>
      </c>
      <c r="T149" s="2">
        <f t="shared" si="153"/>
        <v>775</v>
      </c>
      <c r="U149" s="4"/>
      <c r="V149" s="4"/>
      <c r="W149" s="4">
        <f t="shared" si="156"/>
        <v>700</v>
      </c>
      <c r="X149" s="4">
        <f t="shared" si="157"/>
        <v>1060</v>
      </c>
      <c r="Y149" s="4"/>
      <c r="Z149"/>
      <c r="AA149" s="4"/>
      <c r="AB149" s="4"/>
      <c r="AC149" s="2">
        <f t="shared" si="176"/>
        <v>930</v>
      </c>
      <c r="AD149" s="2">
        <f t="shared" si="177"/>
        <v>1340</v>
      </c>
      <c r="AE149" s="2">
        <f t="shared" si="170"/>
        <v>848</v>
      </c>
      <c r="AF149" s="2">
        <f t="shared" si="171"/>
        <v>1117</v>
      </c>
      <c r="AG149" s="2" t="s">
        <v>47</v>
      </c>
      <c r="AH149" s="4">
        <f t="shared" si="172"/>
        <v>930</v>
      </c>
      <c r="AI149" s="4">
        <f t="shared" si="173"/>
        <v>1117</v>
      </c>
      <c r="AJ149" s="4">
        <f t="shared" si="174"/>
        <v>775</v>
      </c>
      <c r="AK149" s="4">
        <f t="shared" si="175"/>
        <v>1060</v>
      </c>
      <c r="AL149" s="4">
        <f t="shared" si="178"/>
        <v>1705</v>
      </c>
      <c r="AM149" s="4">
        <f t="shared" si="179"/>
        <v>2177</v>
      </c>
      <c r="AN149" s="4">
        <f t="shared" si="180"/>
        <v>1983</v>
      </c>
      <c r="AO149" s="4">
        <v>3520</v>
      </c>
    </row>
    <row r="150" spans="1:41" s="2" customFormat="1" x14ac:dyDescent="0.2">
      <c r="A150">
        <f t="shared" si="132"/>
        <v>149</v>
      </c>
      <c r="B150" t="s">
        <v>13</v>
      </c>
      <c r="C150">
        <v>1</v>
      </c>
      <c r="D150" t="s">
        <v>49</v>
      </c>
      <c r="E150" s="10">
        <v>1</v>
      </c>
      <c r="F150" t="s">
        <v>11</v>
      </c>
      <c r="G150">
        <v>800</v>
      </c>
      <c r="H150" s="2">
        <f t="shared" si="135"/>
        <v>465</v>
      </c>
      <c r="I150" s="2">
        <f t="shared" si="136"/>
        <v>465</v>
      </c>
      <c r="J150" s="4" t="s">
        <v>19</v>
      </c>
      <c r="K150" s="4">
        <v>0</v>
      </c>
      <c r="L150" s="2">
        <v>1100</v>
      </c>
      <c r="M150" s="4">
        <v>1400</v>
      </c>
      <c r="N150" s="4">
        <v>880</v>
      </c>
      <c r="O150" s="4">
        <v>780</v>
      </c>
      <c r="P150" s="4">
        <v>68</v>
      </c>
      <c r="Q150" s="4">
        <v>68</v>
      </c>
      <c r="R150" s="2" t="s">
        <v>47</v>
      </c>
      <c r="S150" s="2">
        <f t="shared" si="152"/>
        <v>875</v>
      </c>
      <c r="T150" s="2">
        <f t="shared" si="153"/>
        <v>875</v>
      </c>
      <c r="U150" s="4"/>
      <c r="V150" s="4"/>
      <c r="W150" s="4">
        <f t="shared" si="156"/>
        <v>700</v>
      </c>
      <c r="X150" s="4">
        <f t="shared" si="157"/>
        <v>1060</v>
      </c>
      <c r="Y150" s="4"/>
      <c r="Z150"/>
      <c r="AA150" s="4"/>
      <c r="AB150" s="4"/>
      <c r="AC150" s="2">
        <f t="shared" si="176"/>
        <v>930</v>
      </c>
      <c r="AD150" s="2">
        <f t="shared" si="177"/>
        <v>1340</v>
      </c>
      <c r="AE150" s="2">
        <f t="shared" si="170"/>
        <v>848</v>
      </c>
      <c r="AF150" s="2">
        <f t="shared" si="171"/>
        <v>1117</v>
      </c>
      <c r="AG150" s="2" t="s">
        <v>47</v>
      </c>
      <c r="AH150" s="4">
        <f t="shared" si="172"/>
        <v>930</v>
      </c>
      <c r="AI150" s="4">
        <f t="shared" si="173"/>
        <v>1117</v>
      </c>
      <c r="AJ150" s="4">
        <f t="shared" si="174"/>
        <v>875</v>
      </c>
      <c r="AK150" s="4">
        <f t="shared" si="175"/>
        <v>1060</v>
      </c>
      <c r="AL150" s="4">
        <f t="shared" si="178"/>
        <v>1805</v>
      </c>
      <c r="AM150" s="4">
        <f t="shared" si="179"/>
        <v>2177</v>
      </c>
      <c r="AN150" s="4">
        <f t="shared" si="180"/>
        <v>1983</v>
      </c>
      <c r="AO150" s="4">
        <v>3520</v>
      </c>
    </row>
    <row r="151" spans="1:41" s="2" customFormat="1" x14ac:dyDescent="0.2">
      <c r="A151">
        <f t="shared" si="132"/>
        <v>150</v>
      </c>
      <c r="B151" s="1" t="s">
        <v>13</v>
      </c>
      <c r="C151" s="1">
        <v>1</v>
      </c>
      <c r="D151" t="s">
        <v>49</v>
      </c>
      <c r="E151" s="11">
        <v>1</v>
      </c>
      <c r="F151" s="1" t="s">
        <v>11</v>
      </c>
      <c r="G151" s="1">
        <v>900</v>
      </c>
      <c r="H151" s="2">
        <f t="shared" si="135"/>
        <v>515</v>
      </c>
      <c r="I151" s="2">
        <f t="shared" si="136"/>
        <v>515</v>
      </c>
      <c r="J151" s="5" t="s">
        <v>19</v>
      </c>
      <c r="K151" s="5">
        <v>0</v>
      </c>
      <c r="L151" s="1">
        <v>1100</v>
      </c>
      <c r="M151" s="5">
        <v>1400</v>
      </c>
      <c r="N151" s="5">
        <v>880</v>
      </c>
      <c r="O151" s="5">
        <v>780</v>
      </c>
      <c r="P151" s="5">
        <v>68</v>
      </c>
      <c r="Q151" s="4">
        <v>68</v>
      </c>
      <c r="R151" s="2" t="s">
        <v>47</v>
      </c>
      <c r="S151" s="1">
        <f t="shared" si="152"/>
        <v>975</v>
      </c>
      <c r="T151" s="1">
        <f t="shared" si="153"/>
        <v>975</v>
      </c>
      <c r="U151" s="5"/>
      <c r="V151" s="5"/>
      <c r="W151" s="5">
        <f t="shared" si="156"/>
        <v>700</v>
      </c>
      <c r="X151" s="5">
        <f t="shared" si="157"/>
        <v>1060</v>
      </c>
      <c r="Y151" s="5"/>
      <c r="Z151" s="1"/>
      <c r="AA151" s="5"/>
      <c r="AB151" s="5"/>
      <c r="AC151" s="2">
        <f t="shared" si="176"/>
        <v>930</v>
      </c>
      <c r="AD151" s="1">
        <f t="shared" si="177"/>
        <v>1340</v>
      </c>
      <c r="AE151" s="1">
        <f t="shared" si="170"/>
        <v>848</v>
      </c>
      <c r="AF151" s="1">
        <f t="shared" si="171"/>
        <v>1117</v>
      </c>
      <c r="AG151" s="2" t="s">
        <v>47</v>
      </c>
      <c r="AH151" s="5">
        <f t="shared" si="172"/>
        <v>975</v>
      </c>
      <c r="AI151" s="5">
        <f t="shared" si="173"/>
        <v>1117</v>
      </c>
      <c r="AJ151" s="5">
        <f t="shared" si="174"/>
        <v>975</v>
      </c>
      <c r="AK151" s="5">
        <f t="shared" si="175"/>
        <v>1060</v>
      </c>
      <c r="AL151" s="5">
        <f t="shared" si="178"/>
        <v>1950</v>
      </c>
      <c r="AM151" s="5">
        <f t="shared" si="179"/>
        <v>2177</v>
      </c>
      <c r="AN151" s="4">
        <f t="shared" si="180"/>
        <v>1983</v>
      </c>
      <c r="AO151" s="4">
        <v>3520</v>
      </c>
    </row>
    <row r="152" spans="1:41" s="2" customFormat="1" x14ac:dyDescent="0.2">
      <c r="A152">
        <f t="shared" si="132"/>
        <v>151</v>
      </c>
      <c r="B152" t="s">
        <v>13</v>
      </c>
      <c r="C152">
        <v>1</v>
      </c>
      <c r="D152" t="s">
        <v>49</v>
      </c>
      <c r="E152" s="10">
        <v>1.6</v>
      </c>
      <c r="F152" t="s">
        <v>10</v>
      </c>
      <c r="G152" s="4">
        <v>700</v>
      </c>
      <c r="H152" s="2">
        <f t="shared" si="135"/>
        <v>405</v>
      </c>
      <c r="I152" s="2">
        <f t="shared" si="136"/>
        <v>150</v>
      </c>
      <c r="J152" s="4" t="s">
        <v>19</v>
      </c>
      <c r="K152" s="4">
        <v>0</v>
      </c>
      <c r="L152" s="2">
        <v>1100</v>
      </c>
      <c r="M152" s="4">
        <v>1400</v>
      </c>
      <c r="N152" s="4">
        <v>880</v>
      </c>
      <c r="O152" s="4">
        <v>780</v>
      </c>
      <c r="P152" s="4">
        <v>62</v>
      </c>
      <c r="Q152" s="4">
        <v>68</v>
      </c>
      <c r="R152" s="2" t="s">
        <v>47</v>
      </c>
      <c r="S152" s="2">
        <f t="shared" si="152"/>
        <v>765</v>
      </c>
      <c r="T152" s="2">
        <f t="shared" si="153"/>
        <v>510</v>
      </c>
      <c r="U152" s="4"/>
      <c r="V152" s="4"/>
      <c r="W152" s="4">
        <f t="shared" si="156"/>
        <v>694</v>
      </c>
      <c r="X152" s="4">
        <f t="shared" si="157"/>
        <v>1054</v>
      </c>
      <c r="Y152" s="4"/>
      <c r="AA152" s="4"/>
      <c r="AB152" s="4"/>
      <c r="AC152" s="2">
        <f t="shared" si="176"/>
        <v>930</v>
      </c>
      <c r="AD152" s="2">
        <f t="shared" si="177"/>
        <v>1340</v>
      </c>
      <c r="AE152" s="2">
        <f t="shared" si="170"/>
        <v>842</v>
      </c>
      <c r="AF152" s="2">
        <f t="shared" si="171"/>
        <v>1111</v>
      </c>
      <c r="AG152" s="2" t="s">
        <v>47</v>
      </c>
      <c r="AH152" s="4">
        <f t="shared" si="172"/>
        <v>930</v>
      </c>
      <c r="AI152" s="4">
        <f t="shared" si="173"/>
        <v>1111</v>
      </c>
      <c r="AJ152" s="4">
        <f t="shared" si="174"/>
        <v>694</v>
      </c>
      <c r="AK152" s="4">
        <f t="shared" si="175"/>
        <v>1054</v>
      </c>
      <c r="AL152" s="4">
        <f t="shared" si="178"/>
        <v>1624</v>
      </c>
      <c r="AM152" s="4">
        <f t="shared" si="179"/>
        <v>2165</v>
      </c>
      <c r="AN152" s="4">
        <f t="shared" si="180"/>
        <v>1983</v>
      </c>
      <c r="AO152" s="4">
        <v>3520</v>
      </c>
    </row>
    <row r="153" spans="1:41" s="2" customFormat="1" x14ac:dyDescent="0.2">
      <c r="A153">
        <f t="shared" ref="A153:A216" si="181">A152+1</f>
        <v>152</v>
      </c>
      <c r="B153" t="s">
        <v>13</v>
      </c>
      <c r="C153">
        <v>1</v>
      </c>
      <c r="D153" t="s">
        <v>49</v>
      </c>
      <c r="E153" s="10">
        <v>1.6</v>
      </c>
      <c r="F153" t="s">
        <v>10</v>
      </c>
      <c r="G153">
        <v>800</v>
      </c>
      <c r="H153" s="2">
        <f t="shared" si="135"/>
        <v>455</v>
      </c>
      <c r="I153" s="2">
        <f t="shared" si="136"/>
        <v>150</v>
      </c>
      <c r="J153" s="4" t="s">
        <v>18</v>
      </c>
      <c r="K153" s="4">
        <v>30</v>
      </c>
      <c r="L153" s="2">
        <v>1100</v>
      </c>
      <c r="M153" s="4">
        <v>1400</v>
      </c>
      <c r="N153" s="4">
        <v>880</v>
      </c>
      <c r="O153" s="4">
        <v>780</v>
      </c>
      <c r="P153" s="4">
        <v>62</v>
      </c>
      <c r="Q153" s="4">
        <v>68</v>
      </c>
      <c r="R153" s="2" t="s">
        <v>47</v>
      </c>
      <c r="S153" s="2">
        <f t="shared" si="152"/>
        <v>835</v>
      </c>
      <c r="T153" s="2">
        <f t="shared" si="153"/>
        <v>590</v>
      </c>
      <c r="U153" s="4"/>
      <c r="V153" s="4"/>
      <c r="W153" s="4">
        <f t="shared" si="156"/>
        <v>694</v>
      </c>
      <c r="X153" s="4">
        <f t="shared" si="157"/>
        <v>1054</v>
      </c>
      <c r="Y153" s="4"/>
      <c r="Z153"/>
      <c r="AA153" s="4"/>
      <c r="AB153" s="4"/>
      <c r="AC153" s="2">
        <f t="shared" si="176"/>
        <v>930</v>
      </c>
      <c r="AD153" s="2">
        <f t="shared" si="177"/>
        <v>1340</v>
      </c>
      <c r="AE153" s="2">
        <f t="shared" si="170"/>
        <v>842</v>
      </c>
      <c r="AF153" s="2">
        <f t="shared" si="171"/>
        <v>1111</v>
      </c>
      <c r="AG153" s="2" t="s">
        <v>47</v>
      </c>
      <c r="AH153" s="4">
        <f t="shared" si="172"/>
        <v>930</v>
      </c>
      <c r="AI153" s="4">
        <f t="shared" si="173"/>
        <v>1111</v>
      </c>
      <c r="AJ153" s="4">
        <f t="shared" si="174"/>
        <v>694</v>
      </c>
      <c r="AK153" s="4">
        <f t="shared" si="175"/>
        <v>1054</v>
      </c>
      <c r="AL153" s="4">
        <f t="shared" si="178"/>
        <v>1624</v>
      </c>
      <c r="AM153" s="4">
        <f t="shared" si="179"/>
        <v>2165</v>
      </c>
      <c r="AN153" s="4">
        <f t="shared" si="180"/>
        <v>1983</v>
      </c>
      <c r="AO153" s="4">
        <v>3520</v>
      </c>
    </row>
    <row r="154" spans="1:41" s="2" customFormat="1" x14ac:dyDescent="0.2">
      <c r="A154">
        <f t="shared" si="181"/>
        <v>153</v>
      </c>
      <c r="B154" t="s">
        <v>13</v>
      </c>
      <c r="C154">
        <v>1</v>
      </c>
      <c r="D154" t="s">
        <v>49</v>
      </c>
      <c r="E154" s="10">
        <v>1.6</v>
      </c>
      <c r="F154" t="s">
        <v>10</v>
      </c>
      <c r="G154">
        <v>800</v>
      </c>
      <c r="H154" s="2">
        <f t="shared" si="135"/>
        <v>455</v>
      </c>
      <c r="I154" s="2">
        <f t="shared" si="136"/>
        <v>150</v>
      </c>
      <c r="J154" s="4" t="s">
        <v>19</v>
      </c>
      <c r="K154" s="4">
        <v>0</v>
      </c>
      <c r="L154" s="2">
        <v>1100</v>
      </c>
      <c r="M154" s="4">
        <v>1400</v>
      </c>
      <c r="N154" s="4">
        <v>880</v>
      </c>
      <c r="O154" s="4">
        <v>780</v>
      </c>
      <c r="P154" s="4">
        <v>62</v>
      </c>
      <c r="Q154" s="4">
        <v>68</v>
      </c>
      <c r="R154" s="2" t="s">
        <v>47</v>
      </c>
      <c r="S154" s="2">
        <f t="shared" si="152"/>
        <v>865</v>
      </c>
      <c r="T154" s="2">
        <f t="shared" si="153"/>
        <v>560</v>
      </c>
      <c r="U154" s="4"/>
      <c r="V154" s="4"/>
      <c r="W154" s="4">
        <f t="shared" si="156"/>
        <v>694</v>
      </c>
      <c r="X154" s="4">
        <f t="shared" si="157"/>
        <v>1054</v>
      </c>
      <c r="Y154" s="4"/>
      <c r="Z154"/>
      <c r="AA154" s="4"/>
      <c r="AB154" s="4"/>
      <c r="AC154" s="2">
        <f t="shared" si="176"/>
        <v>930</v>
      </c>
      <c r="AD154" s="2">
        <f t="shared" si="177"/>
        <v>1340</v>
      </c>
      <c r="AE154" s="2">
        <f t="shared" si="170"/>
        <v>842</v>
      </c>
      <c r="AF154" s="2">
        <f t="shared" si="171"/>
        <v>1111</v>
      </c>
      <c r="AG154" s="2" t="s">
        <v>47</v>
      </c>
      <c r="AH154" s="4">
        <f t="shared" si="172"/>
        <v>930</v>
      </c>
      <c r="AI154" s="4">
        <f t="shared" si="173"/>
        <v>1111</v>
      </c>
      <c r="AJ154" s="4">
        <f t="shared" si="174"/>
        <v>694</v>
      </c>
      <c r="AK154" s="4">
        <f t="shared" si="175"/>
        <v>1054</v>
      </c>
      <c r="AL154" s="4">
        <f t="shared" si="178"/>
        <v>1624</v>
      </c>
      <c r="AM154" s="4">
        <f t="shared" si="179"/>
        <v>2165</v>
      </c>
      <c r="AN154" s="4">
        <f t="shared" si="180"/>
        <v>1983</v>
      </c>
      <c r="AO154" s="4">
        <v>3520</v>
      </c>
    </row>
    <row r="155" spans="1:41" s="2" customFormat="1" x14ac:dyDescent="0.2">
      <c r="A155">
        <f t="shared" si="181"/>
        <v>154</v>
      </c>
      <c r="B155" t="s">
        <v>13</v>
      </c>
      <c r="C155">
        <v>1</v>
      </c>
      <c r="D155" t="s">
        <v>49</v>
      </c>
      <c r="E155" s="10">
        <v>1.6</v>
      </c>
      <c r="F155" t="s">
        <v>10</v>
      </c>
      <c r="G155">
        <v>900</v>
      </c>
      <c r="H155" s="2">
        <f>G155/2+IF(F155="CLD",65,55)</f>
        <v>505</v>
      </c>
      <c r="I155" s="2">
        <f>IF(F155="CLD",G155/2+65,150)</f>
        <v>150</v>
      </c>
      <c r="J155" s="4" t="s">
        <v>18</v>
      </c>
      <c r="K155" s="4">
        <v>50</v>
      </c>
      <c r="L155" s="2">
        <v>1100</v>
      </c>
      <c r="M155" s="4">
        <v>1400</v>
      </c>
      <c r="N155" s="4">
        <v>880</v>
      </c>
      <c r="O155" s="4">
        <v>780</v>
      </c>
      <c r="P155" s="4">
        <v>62</v>
      </c>
      <c r="Q155" s="4">
        <v>68</v>
      </c>
      <c r="R155" s="2" t="s">
        <v>47</v>
      </c>
      <c r="S155" s="2">
        <f>(-K155+G155/2+H155+10)</f>
        <v>915</v>
      </c>
      <c r="T155" s="2">
        <f>(K155+G155/2+I155+10)</f>
        <v>660</v>
      </c>
      <c r="U155" s="4"/>
      <c r="V155" s="4"/>
      <c r="W155" s="4">
        <f>(L155/2+40+P155+42)</f>
        <v>694</v>
      </c>
      <c r="X155" s="4">
        <f>(L155/2+40+P155+402)</f>
        <v>1054</v>
      </c>
      <c r="Y155" s="4"/>
      <c r="Z155"/>
      <c r="AA155" s="4"/>
      <c r="AB155" s="4"/>
      <c r="AC155" s="2">
        <f t="shared" si="176"/>
        <v>930</v>
      </c>
      <c r="AD155" s="2">
        <f t="shared" si="177"/>
        <v>1340</v>
      </c>
      <c r="AE155" s="2">
        <f>(L155/2+40+P155+190)</f>
        <v>842</v>
      </c>
      <c r="AF155" s="2">
        <f>(L155/2+40+P155+459)</f>
        <v>1111</v>
      </c>
      <c r="AG155" s="2" t="s">
        <v>47</v>
      </c>
      <c r="AH155" s="4">
        <f>MAX(S155,AC155,AE155)</f>
        <v>930</v>
      </c>
      <c r="AI155" s="4">
        <f>MIN(AD155,AF155)</f>
        <v>1111</v>
      </c>
      <c r="AJ155" s="4">
        <f>MAX(T155,W155)</f>
        <v>694</v>
      </c>
      <c r="AK155" s="4">
        <f>X155</f>
        <v>1054</v>
      </c>
      <c r="AL155" s="4">
        <f>(AH155+AJ155)</f>
        <v>1624</v>
      </c>
      <c r="AM155" s="4">
        <f>(AI155+AK155)</f>
        <v>2165</v>
      </c>
      <c r="AN155" s="4">
        <f>(N155+560+O155/2+Q155+85)</f>
        <v>1983</v>
      </c>
      <c r="AO155" s="4">
        <v>3520</v>
      </c>
    </row>
    <row r="156" spans="1:41" s="2" customFormat="1" x14ac:dyDescent="0.2">
      <c r="A156">
        <f t="shared" si="181"/>
        <v>155</v>
      </c>
      <c r="B156" t="s">
        <v>13</v>
      </c>
      <c r="C156">
        <v>1</v>
      </c>
      <c r="D156" t="s">
        <v>49</v>
      </c>
      <c r="E156" s="10">
        <v>1.6</v>
      </c>
      <c r="F156" t="s">
        <v>10</v>
      </c>
      <c r="G156">
        <v>1000</v>
      </c>
      <c r="H156" s="2">
        <f t="shared" si="135"/>
        <v>555</v>
      </c>
      <c r="I156" s="2">
        <f t="shared" si="136"/>
        <v>150</v>
      </c>
      <c r="J156" s="4" t="s">
        <v>18</v>
      </c>
      <c r="K156" s="4">
        <v>30</v>
      </c>
      <c r="L156" s="2">
        <v>1100</v>
      </c>
      <c r="M156" s="4">
        <v>1400</v>
      </c>
      <c r="N156" s="4">
        <v>880</v>
      </c>
      <c r="O156" s="4">
        <v>780</v>
      </c>
      <c r="P156" s="4">
        <v>62</v>
      </c>
      <c r="Q156" s="4">
        <v>68</v>
      </c>
      <c r="R156" s="2" t="s">
        <v>47</v>
      </c>
      <c r="S156" s="2">
        <f t="shared" si="152"/>
        <v>1035</v>
      </c>
      <c r="T156" s="2">
        <f t="shared" si="153"/>
        <v>690</v>
      </c>
      <c r="U156" s="4"/>
      <c r="V156" s="4"/>
      <c r="W156" s="4">
        <f t="shared" si="156"/>
        <v>694</v>
      </c>
      <c r="X156" s="4">
        <f t="shared" si="157"/>
        <v>1054</v>
      </c>
      <c r="Y156" s="4"/>
      <c r="Z156"/>
      <c r="AA156" s="4"/>
      <c r="AB156" s="4"/>
      <c r="AC156" s="2">
        <f t="shared" si="176"/>
        <v>930</v>
      </c>
      <c r="AD156" s="2">
        <f t="shared" si="177"/>
        <v>1340</v>
      </c>
      <c r="AE156" s="2">
        <f t="shared" si="170"/>
        <v>842</v>
      </c>
      <c r="AF156" s="2">
        <f t="shared" si="171"/>
        <v>1111</v>
      </c>
      <c r="AG156" s="2" t="s">
        <v>47</v>
      </c>
      <c r="AH156" s="4">
        <f t="shared" si="172"/>
        <v>1035</v>
      </c>
      <c r="AI156" s="4">
        <f t="shared" si="173"/>
        <v>1111</v>
      </c>
      <c r="AJ156" s="4">
        <f t="shared" si="174"/>
        <v>694</v>
      </c>
      <c r="AK156" s="4">
        <f t="shared" si="175"/>
        <v>1054</v>
      </c>
      <c r="AL156" s="4">
        <f t="shared" si="178"/>
        <v>1729</v>
      </c>
      <c r="AM156" s="4">
        <f t="shared" si="179"/>
        <v>2165</v>
      </c>
      <c r="AN156" s="4">
        <f t="shared" si="180"/>
        <v>1983</v>
      </c>
      <c r="AO156" s="4">
        <v>3520</v>
      </c>
    </row>
    <row r="157" spans="1:41" s="2" customFormat="1" x14ac:dyDescent="0.2">
      <c r="A157">
        <f t="shared" si="181"/>
        <v>156</v>
      </c>
      <c r="B157" t="s">
        <v>13</v>
      </c>
      <c r="C157">
        <v>1</v>
      </c>
      <c r="D157" t="s">
        <v>49</v>
      </c>
      <c r="E157" s="10">
        <v>1.6</v>
      </c>
      <c r="F157" t="s">
        <v>11</v>
      </c>
      <c r="G157">
        <v>700</v>
      </c>
      <c r="H157" s="2">
        <f t="shared" si="135"/>
        <v>415</v>
      </c>
      <c r="I157" s="2">
        <f t="shared" si="136"/>
        <v>415</v>
      </c>
      <c r="J157" s="4" t="s">
        <v>19</v>
      </c>
      <c r="K157" s="4">
        <v>0</v>
      </c>
      <c r="L157" s="2">
        <v>1100</v>
      </c>
      <c r="M157" s="4">
        <v>1400</v>
      </c>
      <c r="N157" s="4">
        <v>880</v>
      </c>
      <c r="O157" s="4">
        <v>780</v>
      </c>
      <c r="P157" s="4">
        <v>62</v>
      </c>
      <c r="Q157" s="4">
        <v>68</v>
      </c>
      <c r="R157" s="2" t="s">
        <v>47</v>
      </c>
      <c r="S157" s="2">
        <f t="shared" si="152"/>
        <v>775</v>
      </c>
      <c r="T157" s="2">
        <f t="shared" si="153"/>
        <v>775</v>
      </c>
      <c r="U157" s="4"/>
      <c r="V157" s="4"/>
      <c r="W157" s="4">
        <f t="shared" si="156"/>
        <v>694</v>
      </c>
      <c r="X157" s="4">
        <f t="shared" si="157"/>
        <v>1054</v>
      </c>
      <c r="Y157" s="4"/>
      <c r="Z157"/>
      <c r="AA157" s="4"/>
      <c r="AB157" s="4"/>
      <c r="AC157" s="2">
        <f t="shared" si="176"/>
        <v>930</v>
      </c>
      <c r="AD157" s="2">
        <f t="shared" si="177"/>
        <v>1340</v>
      </c>
      <c r="AE157" s="2">
        <f t="shared" si="170"/>
        <v>842</v>
      </c>
      <c r="AF157" s="2">
        <f t="shared" si="171"/>
        <v>1111</v>
      </c>
      <c r="AG157" s="2" t="s">
        <v>47</v>
      </c>
      <c r="AH157" s="4">
        <f t="shared" si="172"/>
        <v>930</v>
      </c>
      <c r="AI157" s="4">
        <f t="shared" si="173"/>
        <v>1111</v>
      </c>
      <c r="AJ157" s="4">
        <f t="shared" si="174"/>
        <v>775</v>
      </c>
      <c r="AK157" s="4">
        <f t="shared" si="175"/>
        <v>1054</v>
      </c>
      <c r="AL157" s="4">
        <f t="shared" si="178"/>
        <v>1705</v>
      </c>
      <c r="AM157" s="4">
        <f t="shared" si="179"/>
        <v>2165</v>
      </c>
      <c r="AN157" s="4">
        <f t="shared" si="180"/>
        <v>1983</v>
      </c>
      <c r="AO157" s="4">
        <v>3520</v>
      </c>
    </row>
    <row r="158" spans="1:41" s="2" customFormat="1" x14ac:dyDescent="0.2">
      <c r="A158">
        <f t="shared" si="181"/>
        <v>157</v>
      </c>
      <c r="B158" t="s">
        <v>13</v>
      </c>
      <c r="C158">
        <v>1</v>
      </c>
      <c r="D158" t="s">
        <v>49</v>
      </c>
      <c r="E158" s="10">
        <v>1.6</v>
      </c>
      <c r="F158" t="s">
        <v>11</v>
      </c>
      <c r="G158">
        <v>800</v>
      </c>
      <c r="H158" s="2">
        <f t="shared" si="135"/>
        <v>465</v>
      </c>
      <c r="I158" s="2">
        <f t="shared" si="136"/>
        <v>465</v>
      </c>
      <c r="J158" s="4" t="s">
        <v>19</v>
      </c>
      <c r="K158" s="4">
        <v>0</v>
      </c>
      <c r="L158" s="2">
        <v>1100</v>
      </c>
      <c r="M158" s="4">
        <v>1400</v>
      </c>
      <c r="N158" s="4">
        <v>880</v>
      </c>
      <c r="O158" s="4">
        <v>780</v>
      </c>
      <c r="P158" s="4">
        <v>62</v>
      </c>
      <c r="Q158" s="4">
        <v>68</v>
      </c>
      <c r="R158" s="2" t="s">
        <v>47</v>
      </c>
      <c r="S158" s="2">
        <f t="shared" si="152"/>
        <v>875</v>
      </c>
      <c r="T158" s="2">
        <f t="shared" si="153"/>
        <v>875</v>
      </c>
      <c r="U158" s="4"/>
      <c r="V158" s="4"/>
      <c r="W158" s="4">
        <f t="shared" si="156"/>
        <v>694</v>
      </c>
      <c r="X158" s="4">
        <f t="shared" si="157"/>
        <v>1054</v>
      </c>
      <c r="Y158" s="4"/>
      <c r="Z158"/>
      <c r="AA158" s="4"/>
      <c r="AB158" s="4"/>
      <c r="AC158" s="2">
        <f t="shared" si="176"/>
        <v>930</v>
      </c>
      <c r="AD158" s="2">
        <f t="shared" si="177"/>
        <v>1340</v>
      </c>
      <c r="AE158" s="2">
        <f t="shared" si="170"/>
        <v>842</v>
      </c>
      <c r="AF158" s="2">
        <f t="shared" si="171"/>
        <v>1111</v>
      </c>
      <c r="AG158" s="2" t="s">
        <v>47</v>
      </c>
      <c r="AH158" s="4">
        <f t="shared" si="172"/>
        <v>930</v>
      </c>
      <c r="AI158" s="4">
        <f t="shared" si="173"/>
        <v>1111</v>
      </c>
      <c r="AJ158" s="4">
        <f t="shared" si="174"/>
        <v>875</v>
      </c>
      <c r="AK158" s="4">
        <f t="shared" si="175"/>
        <v>1054</v>
      </c>
      <c r="AL158" s="4">
        <f t="shared" si="178"/>
        <v>1805</v>
      </c>
      <c r="AM158" s="4">
        <f t="shared" si="179"/>
        <v>2165</v>
      </c>
      <c r="AN158" s="4">
        <f t="shared" si="180"/>
        <v>1983</v>
      </c>
      <c r="AO158" s="4">
        <v>3520</v>
      </c>
    </row>
    <row r="159" spans="1:41" s="2" customFormat="1" x14ac:dyDescent="0.2">
      <c r="A159">
        <f t="shared" si="181"/>
        <v>158</v>
      </c>
      <c r="B159" s="1" t="s">
        <v>13</v>
      </c>
      <c r="C159" s="1">
        <v>1</v>
      </c>
      <c r="D159" t="s">
        <v>49</v>
      </c>
      <c r="E159" s="11">
        <v>1.6</v>
      </c>
      <c r="F159" s="1" t="s">
        <v>11</v>
      </c>
      <c r="G159" s="1">
        <v>900</v>
      </c>
      <c r="H159" s="2">
        <f t="shared" si="135"/>
        <v>515</v>
      </c>
      <c r="I159" s="2">
        <f t="shared" si="136"/>
        <v>515</v>
      </c>
      <c r="J159" s="5" t="s">
        <v>19</v>
      </c>
      <c r="K159" s="5">
        <v>0</v>
      </c>
      <c r="L159" s="1">
        <v>1100</v>
      </c>
      <c r="M159" s="5">
        <v>1400</v>
      </c>
      <c r="N159" s="5">
        <v>880</v>
      </c>
      <c r="O159" s="5">
        <v>780</v>
      </c>
      <c r="P159" s="5">
        <v>62</v>
      </c>
      <c r="Q159" s="4">
        <v>68</v>
      </c>
      <c r="R159" s="2" t="s">
        <v>47</v>
      </c>
      <c r="S159" s="1">
        <f t="shared" si="152"/>
        <v>975</v>
      </c>
      <c r="T159" s="1">
        <f t="shared" si="153"/>
        <v>975</v>
      </c>
      <c r="U159" s="5"/>
      <c r="V159" s="5"/>
      <c r="W159" s="5">
        <f t="shared" si="156"/>
        <v>694</v>
      </c>
      <c r="X159" s="5">
        <f t="shared" si="157"/>
        <v>1054</v>
      </c>
      <c r="Y159" s="5"/>
      <c r="Z159" s="1"/>
      <c r="AA159" s="5"/>
      <c r="AB159" s="5"/>
      <c r="AC159" s="2">
        <f t="shared" si="176"/>
        <v>930</v>
      </c>
      <c r="AD159" s="1">
        <f t="shared" si="177"/>
        <v>1340</v>
      </c>
      <c r="AE159" s="1">
        <f t="shared" si="170"/>
        <v>842</v>
      </c>
      <c r="AF159" s="1">
        <f t="shared" si="171"/>
        <v>1111</v>
      </c>
      <c r="AG159" s="2" t="s">
        <v>47</v>
      </c>
      <c r="AH159" s="5">
        <f t="shared" si="172"/>
        <v>975</v>
      </c>
      <c r="AI159" s="5">
        <f t="shared" si="173"/>
        <v>1111</v>
      </c>
      <c r="AJ159" s="5">
        <f t="shared" si="174"/>
        <v>975</v>
      </c>
      <c r="AK159" s="5">
        <f t="shared" si="175"/>
        <v>1054</v>
      </c>
      <c r="AL159" s="5">
        <f t="shared" si="178"/>
        <v>1950</v>
      </c>
      <c r="AM159" s="5">
        <f t="shared" si="179"/>
        <v>2165</v>
      </c>
      <c r="AN159" s="4">
        <f t="shared" si="180"/>
        <v>1983</v>
      </c>
      <c r="AO159" s="4">
        <v>3520</v>
      </c>
    </row>
    <row r="160" spans="1:41" s="2" customFormat="1" x14ac:dyDescent="0.2">
      <c r="A160">
        <f t="shared" si="181"/>
        <v>159</v>
      </c>
      <c r="B160" t="s">
        <v>13</v>
      </c>
      <c r="C160">
        <v>2</v>
      </c>
      <c r="D160" t="s">
        <v>49</v>
      </c>
      <c r="E160" s="10">
        <v>1</v>
      </c>
      <c r="F160" t="s">
        <v>10</v>
      </c>
      <c r="G160" s="4">
        <v>700</v>
      </c>
      <c r="H160" s="2">
        <f t="shared" si="135"/>
        <v>405</v>
      </c>
      <c r="I160" s="2">
        <f t="shared" si="136"/>
        <v>150</v>
      </c>
      <c r="J160" s="4" t="s">
        <v>19</v>
      </c>
      <c r="K160" s="4">
        <v>0</v>
      </c>
      <c r="L160" s="2">
        <v>1100</v>
      </c>
      <c r="M160" s="4">
        <v>1400</v>
      </c>
      <c r="N160" s="4">
        <v>880</v>
      </c>
      <c r="O160" s="4">
        <v>500</v>
      </c>
      <c r="P160" s="4">
        <v>68</v>
      </c>
      <c r="Q160" s="4">
        <v>68</v>
      </c>
      <c r="R160" s="2" t="s">
        <v>47</v>
      </c>
      <c r="S160" s="2">
        <f t="shared" si="152"/>
        <v>765</v>
      </c>
      <c r="T160" s="2">
        <f t="shared" si="153"/>
        <v>510</v>
      </c>
      <c r="U160" s="4"/>
      <c r="V160" s="4"/>
      <c r="W160" s="4">
        <f t="shared" si="156"/>
        <v>700</v>
      </c>
      <c r="X160" s="4">
        <f t="shared" si="157"/>
        <v>1060</v>
      </c>
      <c r="Y160" s="4"/>
      <c r="AA160" s="4"/>
      <c r="AB160" s="4"/>
      <c r="AC160" s="2">
        <f>(750+190)</f>
        <v>940</v>
      </c>
      <c r="AD160" s="2">
        <f>(750+600)</f>
        <v>1350</v>
      </c>
      <c r="AE160" s="2">
        <f t="shared" si="170"/>
        <v>848</v>
      </c>
      <c r="AF160" s="2">
        <f t="shared" si="171"/>
        <v>1117</v>
      </c>
      <c r="AG160" s="2" t="s">
        <v>47</v>
      </c>
      <c r="AH160" s="4">
        <f t="shared" si="172"/>
        <v>940</v>
      </c>
      <c r="AI160" s="4">
        <f t="shared" si="173"/>
        <v>1117</v>
      </c>
      <c r="AJ160" s="4">
        <f t="shared" si="174"/>
        <v>700</v>
      </c>
      <c r="AK160" s="4">
        <f t="shared" si="175"/>
        <v>1060</v>
      </c>
      <c r="AL160" s="4">
        <f t="shared" si="178"/>
        <v>1640</v>
      </c>
      <c r="AM160" s="4">
        <f t="shared" si="179"/>
        <v>2177</v>
      </c>
      <c r="AN160" s="4">
        <f>(280+M160+280)</f>
        <v>1960</v>
      </c>
      <c r="AO160" s="4">
        <f>(280+M160+280)</f>
        <v>1960</v>
      </c>
    </row>
    <row r="161" spans="1:41" s="2" customFormat="1" x14ac:dyDescent="0.2">
      <c r="A161">
        <f t="shared" si="181"/>
        <v>160</v>
      </c>
      <c r="B161" t="s">
        <v>13</v>
      </c>
      <c r="C161">
        <v>2</v>
      </c>
      <c r="D161" t="s">
        <v>49</v>
      </c>
      <c r="E161" s="10">
        <v>1</v>
      </c>
      <c r="F161" t="s">
        <v>10</v>
      </c>
      <c r="G161">
        <v>800</v>
      </c>
      <c r="H161" s="2">
        <f t="shared" si="135"/>
        <v>455</v>
      </c>
      <c r="I161" s="2">
        <f t="shared" si="136"/>
        <v>150</v>
      </c>
      <c r="J161" s="4" t="s">
        <v>18</v>
      </c>
      <c r="K161" s="4">
        <v>30</v>
      </c>
      <c r="L161" s="2">
        <v>1100</v>
      </c>
      <c r="M161" s="4">
        <v>1400</v>
      </c>
      <c r="N161" s="4">
        <v>880</v>
      </c>
      <c r="O161" s="4">
        <v>500</v>
      </c>
      <c r="P161" s="4">
        <v>68</v>
      </c>
      <c r="Q161" s="4">
        <v>68</v>
      </c>
      <c r="R161" s="2" t="s">
        <v>47</v>
      </c>
      <c r="S161" s="2">
        <f t="shared" si="152"/>
        <v>835</v>
      </c>
      <c r="T161" s="2">
        <f t="shared" si="153"/>
        <v>590</v>
      </c>
      <c r="U161" s="4"/>
      <c r="V161" s="4"/>
      <c r="W161" s="4">
        <f t="shared" si="156"/>
        <v>700</v>
      </c>
      <c r="X161" s="4">
        <f t="shared" si="157"/>
        <v>1060</v>
      </c>
      <c r="Y161" s="4"/>
      <c r="Z161"/>
      <c r="AA161" s="4"/>
      <c r="AB161" s="4"/>
      <c r="AC161" s="2">
        <f t="shared" ref="AC161:AC175" si="182">(750+190)</f>
        <v>940</v>
      </c>
      <c r="AD161" s="2">
        <f t="shared" ref="AD161:AD175" si="183">(750+600)</f>
        <v>1350</v>
      </c>
      <c r="AE161" s="2">
        <f t="shared" si="170"/>
        <v>848</v>
      </c>
      <c r="AF161" s="2">
        <f t="shared" si="171"/>
        <v>1117</v>
      </c>
      <c r="AG161" s="2" t="s">
        <v>47</v>
      </c>
      <c r="AH161" s="4">
        <f t="shared" si="172"/>
        <v>940</v>
      </c>
      <c r="AI161" s="4">
        <f t="shared" si="173"/>
        <v>1117</v>
      </c>
      <c r="AJ161" s="4">
        <f t="shared" si="174"/>
        <v>700</v>
      </c>
      <c r="AK161" s="4">
        <f t="shared" si="175"/>
        <v>1060</v>
      </c>
      <c r="AL161" s="4">
        <f t="shared" si="178"/>
        <v>1640</v>
      </c>
      <c r="AM161" s="4">
        <f t="shared" si="179"/>
        <v>2177</v>
      </c>
      <c r="AN161" s="4">
        <f t="shared" ref="AN161:AN175" si="184">(280+M161+280)</f>
        <v>1960</v>
      </c>
      <c r="AO161" s="4">
        <f t="shared" ref="AO161:AO175" si="185">(280+M161+280)</f>
        <v>1960</v>
      </c>
    </row>
    <row r="162" spans="1:41" s="2" customFormat="1" x14ac:dyDescent="0.2">
      <c r="A162">
        <f t="shared" si="181"/>
        <v>161</v>
      </c>
      <c r="B162" t="s">
        <v>13</v>
      </c>
      <c r="C162">
        <v>2</v>
      </c>
      <c r="D162" t="s">
        <v>49</v>
      </c>
      <c r="E162" s="10">
        <v>1</v>
      </c>
      <c r="F162" t="s">
        <v>10</v>
      </c>
      <c r="G162">
        <v>800</v>
      </c>
      <c r="H162" s="2">
        <f t="shared" si="135"/>
        <v>455</v>
      </c>
      <c r="I162" s="2">
        <f t="shared" si="136"/>
        <v>150</v>
      </c>
      <c r="J162" s="4" t="s">
        <v>19</v>
      </c>
      <c r="K162" s="4">
        <v>0</v>
      </c>
      <c r="L162" s="2">
        <v>1100</v>
      </c>
      <c r="M162" s="4">
        <v>1400</v>
      </c>
      <c r="N162" s="4">
        <v>880</v>
      </c>
      <c r="O162" s="4">
        <v>500</v>
      </c>
      <c r="P162" s="4">
        <v>68</v>
      </c>
      <c r="Q162" s="4">
        <v>68</v>
      </c>
      <c r="R162" s="2" t="s">
        <v>47</v>
      </c>
      <c r="S162" s="2">
        <f t="shared" si="152"/>
        <v>865</v>
      </c>
      <c r="T162" s="2">
        <f t="shared" si="153"/>
        <v>560</v>
      </c>
      <c r="U162" s="4"/>
      <c r="V162" s="4"/>
      <c r="W162" s="4">
        <f t="shared" si="156"/>
        <v>700</v>
      </c>
      <c r="X162" s="4">
        <f t="shared" si="157"/>
        <v>1060</v>
      </c>
      <c r="Y162" s="4"/>
      <c r="Z162"/>
      <c r="AA162" s="4"/>
      <c r="AB162" s="4"/>
      <c r="AC162" s="2">
        <f t="shared" si="182"/>
        <v>940</v>
      </c>
      <c r="AD162" s="2">
        <f t="shared" si="183"/>
        <v>1350</v>
      </c>
      <c r="AE162" s="2">
        <f t="shared" si="170"/>
        <v>848</v>
      </c>
      <c r="AF162" s="2">
        <f t="shared" si="171"/>
        <v>1117</v>
      </c>
      <c r="AG162" s="2" t="s">
        <v>47</v>
      </c>
      <c r="AH162" s="4">
        <f t="shared" si="172"/>
        <v>940</v>
      </c>
      <c r="AI162" s="4">
        <f t="shared" si="173"/>
        <v>1117</v>
      </c>
      <c r="AJ162" s="4">
        <f t="shared" si="174"/>
        <v>700</v>
      </c>
      <c r="AK162" s="4">
        <f t="shared" si="175"/>
        <v>1060</v>
      </c>
      <c r="AL162" s="4">
        <f t="shared" si="178"/>
        <v>1640</v>
      </c>
      <c r="AM162" s="4">
        <f t="shared" si="179"/>
        <v>2177</v>
      </c>
      <c r="AN162" s="4">
        <f t="shared" si="184"/>
        <v>1960</v>
      </c>
      <c r="AO162" s="4">
        <f t="shared" si="185"/>
        <v>1960</v>
      </c>
    </row>
    <row r="163" spans="1:41" s="2" customFormat="1" x14ac:dyDescent="0.2">
      <c r="A163">
        <f t="shared" si="181"/>
        <v>162</v>
      </c>
      <c r="B163" t="s">
        <v>13</v>
      </c>
      <c r="C163">
        <v>2</v>
      </c>
      <c r="D163" t="s">
        <v>49</v>
      </c>
      <c r="E163" s="10">
        <v>1</v>
      </c>
      <c r="F163" t="s">
        <v>10</v>
      </c>
      <c r="G163">
        <v>900</v>
      </c>
      <c r="H163" s="2">
        <f>G163/2+IF(F163="CLD",65,55)</f>
        <v>505</v>
      </c>
      <c r="I163" s="2">
        <f>IF(F163="CLD",G163/2+65,150)</f>
        <v>150</v>
      </c>
      <c r="J163" s="4" t="s">
        <v>18</v>
      </c>
      <c r="K163" s="4">
        <v>50</v>
      </c>
      <c r="L163" s="2">
        <v>1100</v>
      </c>
      <c r="M163" s="4">
        <v>1400</v>
      </c>
      <c r="N163" s="4">
        <v>880</v>
      </c>
      <c r="O163" s="4">
        <v>500</v>
      </c>
      <c r="P163" s="4">
        <v>68</v>
      </c>
      <c r="Q163" s="4">
        <v>68</v>
      </c>
      <c r="R163" s="2" t="s">
        <v>47</v>
      </c>
      <c r="S163" s="2">
        <f>(-K163+G163/2+H163+10)</f>
        <v>915</v>
      </c>
      <c r="T163" s="2">
        <f>(K163+G163/2+I163+10)</f>
        <v>660</v>
      </c>
      <c r="U163" s="4"/>
      <c r="V163" s="4"/>
      <c r="W163" s="4">
        <f>(L163/2+40+P163+42)</f>
        <v>700</v>
      </c>
      <c r="X163" s="4">
        <f>(L163/2+40+P163+402)</f>
        <v>1060</v>
      </c>
      <c r="Y163" s="4"/>
      <c r="Z163"/>
      <c r="AA163" s="4"/>
      <c r="AB163" s="4"/>
      <c r="AC163" s="2">
        <f t="shared" si="182"/>
        <v>940</v>
      </c>
      <c r="AD163" s="2">
        <f t="shared" si="183"/>
        <v>1350</v>
      </c>
      <c r="AE163" s="2">
        <f>(L163/2+40+P163+190)</f>
        <v>848</v>
      </c>
      <c r="AF163" s="2">
        <f>(L163/2+40+P163+459)</f>
        <v>1117</v>
      </c>
      <c r="AG163" s="2" t="s">
        <v>47</v>
      </c>
      <c r="AH163" s="4">
        <f>MAX(S163,AC163,AE163)</f>
        <v>940</v>
      </c>
      <c r="AI163" s="4">
        <f>MIN(AD163,AF163)</f>
        <v>1117</v>
      </c>
      <c r="AJ163" s="4">
        <f>MAX(T163,W163)</f>
        <v>700</v>
      </c>
      <c r="AK163" s="4">
        <f>X163</f>
        <v>1060</v>
      </c>
      <c r="AL163" s="4">
        <f>(AH163+AJ163)</f>
        <v>1640</v>
      </c>
      <c r="AM163" s="4">
        <f>(AI163+AK163)</f>
        <v>2177</v>
      </c>
      <c r="AN163" s="4">
        <f>(280+M163+280)</f>
        <v>1960</v>
      </c>
      <c r="AO163" s="4">
        <f>(280+M163+280)</f>
        <v>1960</v>
      </c>
    </row>
    <row r="164" spans="1:41" s="2" customFormat="1" x14ac:dyDescent="0.2">
      <c r="A164">
        <f t="shared" si="181"/>
        <v>163</v>
      </c>
      <c r="B164" t="s">
        <v>13</v>
      </c>
      <c r="C164">
        <v>2</v>
      </c>
      <c r="D164" t="s">
        <v>49</v>
      </c>
      <c r="E164" s="10">
        <v>1</v>
      </c>
      <c r="F164" t="s">
        <v>10</v>
      </c>
      <c r="G164">
        <v>1000</v>
      </c>
      <c r="H164" s="2">
        <f t="shared" si="135"/>
        <v>555</v>
      </c>
      <c r="I164" s="2">
        <f t="shared" si="136"/>
        <v>150</v>
      </c>
      <c r="J164" s="4" t="s">
        <v>18</v>
      </c>
      <c r="K164" s="4">
        <v>30</v>
      </c>
      <c r="L164" s="2">
        <v>1100</v>
      </c>
      <c r="M164" s="4">
        <v>1400</v>
      </c>
      <c r="N164" s="4">
        <v>880</v>
      </c>
      <c r="O164" s="4">
        <v>500</v>
      </c>
      <c r="P164" s="4">
        <v>68</v>
      </c>
      <c r="Q164" s="4">
        <v>68</v>
      </c>
      <c r="R164" s="2" t="s">
        <v>47</v>
      </c>
      <c r="S164" s="2">
        <f t="shared" si="152"/>
        <v>1035</v>
      </c>
      <c r="T164" s="2">
        <f t="shared" si="153"/>
        <v>690</v>
      </c>
      <c r="U164" s="4"/>
      <c r="V164" s="4"/>
      <c r="W164" s="4">
        <f t="shared" si="156"/>
        <v>700</v>
      </c>
      <c r="X164" s="4">
        <f t="shared" si="157"/>
        <v>1060</v>
      </c>
      <c r="Y164" s="4"/>
      <c r="Z164"/>
      <c r="AA164" s="4"/>
      <c r="AB164" s="4"/>
      <c r="AC164" s="2">
        <f t="shared" si="182"/>
        <v>940</v>
      </c>
      <c r="AD164" s="2">
        <f t="shared" si="183"/>
        <v>1350</v>
      </c>
      <c r="AE164" s="2">
        <f t="shared" si="170"/>
        <v>848</v>
      </c>
      <c r="AF164" s="2">
        <f t="shared" si="171"/>
        <v>1117</v>
      </c>
      <c r="AG164" s="2" t="s">
        <v>47</v>
      </c>
      <c r="AH164" s="4">
        <f t="shared" si="172"/>
        <v>1035</v>
      </c>
      <c r="AI164" s="4">
        <f t="shared" si="173"/>
        <v>1117</v>
      </c>
      <c r="AJ164" s="4">
        <f t="shared" si="174"/>
        <v>700</v>
      </c>
      <c r="AK164" s="4">
        <f t="shared" si="175"/>
        <v>1060</v>
      </c>
      <c r="AL164" s="4">
        <f t="shared" si="178"/>
        <v>1735</v>
      </c>
      <c r="AM164" s="4">
        <f t="shared" si="179"/>
        <v>2177</v>
      </c>
      <c r="AN164" s="4">
        <f t="shared" si="184"/>
        <v>1960</v>
      </c>
      <c r="AO164" s="4">
        <f t="shared" si="185"/>
        <v>1960</v>
      </c>
    </row>
    <row r="165" spans="1:41" s="2" customFormat="1" x14ac:dyDescent="0.2">
      <c r="A165">
        <f t="shared" si="181"/>
        <v>164</v>
      </c>
      <c r="B165" t="s">
        <v>13</v>
      </c>
      <c r="C165">
        <v>2</v>
      </c>
      <c r="D165" t="s">
        <v>49</v>
      </c>
      <c r="E165" s="10">
        <v>1</v>
      </c>
      <c r="F165" t="s">
        <v>11</v>
      </c>
      <c r="G165">
        <v>700</v>
      </c>
      <c r="H165" s="2">
        <f t="shared" si="135"/>
        <v>415</v>
      </c>
      <c r="I165" s="2">
        <f t="shared" si="136"/>
        <v>415</v>
      </c>
      <c r="J165" s="4" t="s">
        <v>19</v>
      </c>
      <c r="K165" s="4">
        <v>0</v>
      </c>
      <c r="L165" s="2">
        <v>1100</v>
      </c>
      <c r="M165" s="4">
        <v>1400</v>
      </c>
      <c r="N165" s="4">
        <v>880</v>
      </c>
      <c r="O165" s="4">
        <v>500</v>
      </c>
      <c r="P165" s="4">
        <v>68</v>
      </c>
      <c r="Q165" s="4">
        <v>68</v>
      </c>
      <c r="R165" s="2" t="s">
        <v>47</v>
      </c>
      <c r="S165" s="2">
        <f t="shared" si="152"/>
        <v>775</v>
      </c>
      <c r="T165" s="2">
        <f t="shared" si="153"/>
        <v>775</v>
      </c>
      <c r="U165" s="4"/>
      <c r="V165" s="4"/>
      <c r="W165" s="4">
        <f t="shared" si="156"/>
        <v>700</v>
      </c>
      <c r="X165" s="4">
        <f t="shared" si="157"/>
        <v>1060</v>
      </c>
      <c r="Y165" s="4"/>
      <c r="Z165"/>
      <c r="AA165" s="4"/>
      <c r="AB165" s="4"/>
      <c r="AC165" s="2">
        <f t="shared" si="182"/>
        <v>940</v>
      </c>
      <c r="AD165" s="2">
        <f t="shared" si="183"/>
        <v>1350</v>
      </c>
      <c r="AE165" s="2">
        <f t="shared" si="170"/>
        <v>848</v>
      </c>
      <c r="AF165" s="2">
        <f t="shared" si="171"/>
        <v>1117</v>
      </c>
      <c r="AG165" s="2" t="s">
        <v>47</v>
      </c>
      <c r="AH165" s="4">
        <f t="shared" si="172"/>
        <v>940</v>
      </c>
      <c r="AI165" s="4">
        <f t="shared" si="173"/>
        <v>1117</v>
      </c>
      <c r="AJ165" s="4">
        <f t="shared" si="174"/>
        <v>775</v>
      </c>
      <c r="AK165" s="4">
        <f t="shared" si="175"/>
        <v>1060</v>
      </c>
      <c r="AL165" s="4">
        <f t="shared" si="178"/>
        <v>1715</v>
      </c>
      <c r="AM165" s="4">
        <f t="shared" si="179"/>
        <v>2177</v>
      </c>
      <c r="AN165" s="4">
        <f t="shared" si="184"/>
        <v>1960</v>
      </c>
      <c r="AO165" s="4">
        <f t="shared" si="185"/>
        <v>1960</v>
      </c>
    </row>
    <row r="166" spans="1:41" s="2" customFormat="1" x14ac:dyDescent="0.2">
      <c r="A166">
        <f t="shared" si="181"/>
        <v>165</v>
      </c>
      <c r="B166" t="s">
        <v>13</v>
      </c>
      <c r="C166">
        <v>2</v>
      </c>
      <c r="D166" t="s">
        <v>49</v>
      </c>
      <c r="E166" s="10">
        <v>1</v>
      </c>
      <c r="F166" t="s">
        <v>11</v>
      </c>
      <c r="G166">
        <v>800</v>
      </c>
      <c r="H166" s="2">
        <f t="shared" si="135"/>
        <v>465</v>
      </c>
      <c r="I166" s="2">
        <f t="shared" si="136"/>
        <v>465</v>
      </c>
      <c r="J166" s="4" t="s">
        <v>19</v>
      </c>
      <c r="K166" s="4">
        <v>0</v>
      </c>
      <c r="L166" s="2">
        <v>1100</v>
      </c>
      <c r="M166" s="4">
        <v>1400</v>
      </c>
      <c r="N166" s="4">
        <v>880</v>
      </c>
      <c r="O166" s="4">
        <v>500</v>
      </c>
      <c r="P166" s="4">
        <v>68</v>
      </c>
      <c r="Q166" s="4">
        <v>68</v>
      </c>
      <c r="R166" s="2" t="s">
        <v>47</v>
      </c>
      <c r="S166" s="2">
        <f t="shared" si="152"/>
        <v>875</v>
      </c>
      <c r="T166" s="2">
        <f t="shared" si="153"/>
        <v>875</v>
      </c>
      <c r="U166" s="4"/>
      <c r="V166" s="4"/>
      <c r="W166" s="4">
        <f t="shared" si="156"/>
        <v>700</v>
      </c>
      <c r="X166" s="4">
        <f t="shared" si="157"/>
        <v>1060</v>
      </c>
      <c r="Y166" s="4"/>
      <c r="Z166"/>
      <c r="AA166" s="4"/>
      <c r="AB166" s="4"/>
      <c r="AC166" s="2">
        <f t="shared" si="182"/>
        <v>940</v>
      </c>
      <c r="AD166" s="2">
        <f t="shared" si="183"/>
        <v>1350</v>
      </c>
      <c r="AE166" s="2">
        <f t="shared" si="170"/>
        <v>848</v>
      </c>
      <c r="AF166" s="2">
        <f t="shared" si="171"/>
        <v>1117</v>
      </c>
      <c r="AG166" s="2" t="s">
        <v>47</v>
      </c>
      <c r="AH166" s="4">
        <f t="shared" si="172"/>
        <v>940</v>
      </c>
      <c r="AI166" s="4">
        <f t="shared" si="173"/>
        <v>1117</v>
      </c>
      <c r="AJ166" s="4">
        <f t="shared" si="174"/>
        <v>875</v>
      </c>
      <c r="AK166" s="4">
        <f t="shared" si="175"/>
        <v>1060</v>
      </c>
      <c r="AL166" s="4">
        <f t="shared" si="178"/>
        <v>1815</v>
      </c>
      <c r="AM166" s="4">
        <f t="shared" si="179"/>
        <v>2177</v>
      </c>
      <c r="AN166" s="4">
        <f t="shared" si="184"/>
        <v>1960</v>
      </c>
      <c r="AO166" s="4">
        <f t="shared" si="185"/>
        <v>1960</v>
      </c>
    </row>
    <row r="167" spans="1:41" s="2" customFormat="1" x14ac:dyDescent="0.2">
      <c r="A167">
        <f t="shared" si="181"/>
        <v>166</v>
      </c>
      <c r="B167" s="1" t="s">
        <v>13</v>
      </c>
      <c r="C167" s="1">
        <v>2</v>
      </c>
      <c r="D167" t="s">
        <v>49</v>
      </c>
      <c r="E167" s="11">
        <v>1</v>
      </c>
      <c r="F167" s="1" t="s">
        <v>11</v>
      </c>
      <c r="G167" s="1">
        <v>900</v>
      </c>
      <c r="H167" s="2">
        <f t="shared" si="135"/>
        <v>515</v>
      </c>
      <c r="I167" s="2">
        <f t="shared" si="136"/>
        <v>515</v>
      </c>
      <c r="J167" s="5" t="s">
        <v>19</v>
      </c>
      <c r="K167" s="5">
        <v>0</v>
      </c>
      <c r="L167" s="1">
        <v>1100</v>
      </c>
      <c r="M167" s="5">
        <v>1400</v>
      </c>
      <c r="N167" s="5">
        <v>880</v>
      </c>
      <c r="O167" s="5">
        <v>500</v>
      </c>
      <c r="P167" s="5">
        <v>68</v>
      </c>
      <c r="Q167" s="4">
        <v>68</v>
      </c>
      <c r="R167" s="2" t="s">
        <v>47</v>
      </c>
      <c r="S167" s="2">
        <f t="shared" si="152"/>
        <v>975</v>
      </c>
      <c r="T167" s="2">
        <f t="shared" si="153"/>
        <v>975</v>
      </c>
      <c r="U167" s="5"/>
      <c r="V167" s="5"/>
      <c r="W167" s="4">
        <f t="shared" si="156"/>
        <v>700</v>
      </c>
      <c r="X167" s="4">
        <f t="shared" si="157"/>
        <v>1060</v>
      </c>
      <c r="Y167" s="5"/>
      <c r="Z167" s="1"/>
      <c r="AA167" s="5"/>
      <c r="AB167" s="5"/>
      <c r="AC167" s="2">
        <f t="shared" si="182"/>
        <v>940</v>
      </c>
      <c r="AD167" s="2">
        <f t="shared" si="183"/>
        <v>1350</v>
      </c>
      <c r="AE167" s="2">
        <f t="shared" si="170"/>
        <v>848</v>
      </c>
      <c r="AF167" s="2">
        <f t="shared" si="171"/>
        <v>1117</v>
      </c>
      <c r="AG167" s="2" t="s">
        <v>47</v>
      </c>
      <c r="AH167" s="4">
        <f t="shared" si="172"/>
        <v>975</v>
      </c>
      <c r="AI167" s="4">
        <f t="shared" si="173"/>
        <v>1117</v>
      </c>
      <c r="AJ167" s="4">
        <f t="shared" si="174"/>
        <v>975</v>
      </c>
      <c r="AK167" s="4">
        <f t="shared" si="175"/>
        <v>1060</v>
      </c>
      <c r="AL167" s="4">
        <f t="shared" si="178"/>
        <v>1950</v>
      </c>
      <c r="AM167" s="4">
        <f t="shared" si="179"/>
        <v>2177</v>
      </c>
      <c r="AN167" s="4">
        <f t="shared" si="184"/>
        <v>1960</v>
      </c>
      <c r="AO167" s="4">
        <f t="shared" si="185"/>
        <v>1960</v>
      </c>
    </row>
    <row r="168" spans="1:41" s="2" customFormat="1" x14ac:dyDescent="0.2">
      <c r="A168">
        <f t="shared" si="181"/>
        <v>167</v>
      </c>
      <c r="B168" t="s">
        <v>13</v>
      </c>
      <c r="C168">
        <v>2</v>
      </c>
      <c r="D168" t="s">
        <v>49</v>
      </c>
      <c r="E168" s="10">
        <v>1.6</v>
      </c>
      <c r="F168" t="s">
        <v>10</v>
      </c>
      <c r="G168" s="4">
        <v>700</v>
      </c>
      <c r="H168" s="2">
        <f t="shared" si="135"/>
        <v>405</v>
      </c>
      <c r="I168" s="2">
        <f t="shared" si="136"/>
        <v>150</v>
      </c>
      <c r="J168" s="4" t="s">
        <v>19</v>
      </c>
      <c r="K168" s="4">
        <v>0</v>
      </c>
      <c r="L168" s="2">
        <v>1100</v>
      </c>
      <c r="M168" s="4">
        <v>1400</v>
      </c>
      <c r="N168" s="4">
        <v>880</v>
      </c>
      <c r="O168" s="4">
        <v>500</v>
      </c>
      <c r="P168" s="4">
        <v>62</v>
      </c>
      <c r="Q168" s="4">
        <v>68</v>
      </c>
      <c r="R168" s="2" t="s">
        <v>47</v>
      </c>
      <c r="S168" s="2">
        <f t="shared" si="152"/>
        <v>765</v>
      </c>
      <c r="T168" s="2">
        <f t="shared" si="153"/>
        <v>510</v>
      </c>
      <c r="U168" s="4"/>
      <c r="V168" s="4"/>
      <c r="W168" s="4">
        <f t="shared" si="156"/>
        <v>694</v>
      </c>
      <c r="X168" s="4">
        <f t="shared" si="157"/>
        <v>1054</v>
      </c>
      <c r="Y168" s="4"/>
      <c r="AA168" s="4"/>
      <c r="AB168" s="4"/>
      <c r="AC168" s="2">
        <f t="shared" si="182"/>
        <v>940</v>
      </c>
      <c r="AD168" s="2">
        <f t="shared" si="183"/>
        <v>1350</v>
      </c>
      <c r="AE168" s="2">
        <f t="shared" si="170"/>
        <v>842</v>
      </c>
      <c r="AF168" s="2">
        <f t="shared" si="171"/>
        <v>1111</v>
      </c>
      <c r="AG168" s="2" t="s">
        <v>47</v>
      </c>
      <c r="AH168" s="4">
        <f t="shared" si="172"/>
        <v>940</v>
      </c>
      <c r="AI168" s="4">
        <f t="shared" si="173"/>
        <v>1111</v>
      </c>
      <c r="AJ168" s="4">
        <f t="shared" si="174"/>
        <v>694</v>
      </c>
      <c r="AK168" s="4">
        <f t="shared" si="175"/>
        <v>1054</v>
      </c>
      <c r="AL168" s="4">
        <f t="shared" si="178"/>
        <v>1634</v>
      </c>
      <c r="AM168" s="4">
        <f t="shared" si="179"/>
        <v>2165</v>
      </c>
      <c r="AN168" s="4">
        <f t="shared" si="184"/>
        <v>1960</v>
      </c>
      <c r="AO168" s="4">
        <f t="shared" si="185"/>
        <v>1960</v>
      </c>
    </row>
    <row r="169" spans="1:41" s="2" customFormat="1" x14ac:dyDescent="0.2">
      <c r="A169">
        <f t="shared" si="181"/>
        <v>168</v>
      </c>
      <c r="B169" t="s">
        <v>13</v>
      </c>
      <c r="C169">
        <v>2</v>
      </c>
      <c r="D169" t="s">
        <v>49</v>
      </c>
      <c r="E169" s="10">
        <v>1.6</v>
      </c>
      <c r="F169" t="s">
        <v>10</v>
      </c>
      <c r="G169">
        <v>800</v>
      </c>
      <c r="H169" s="2">
        <f t="shared" si="135"/>
        <v>455</v>
      </c>
      <c r="I169" s="2">
        <f t="shared" si="136"/>
        <v>150</v>
      </c>
      <c r="J169" s="4" t="s">
        <v>18</v>
      </c>
      <c r="K169" s="4">
        <v>30</v>
      </c>
      <c r="L169" s="2">
        <v>1100</v>
      </c>
      <c r="M169" s="4">
        <v>1400</v>
      </c>
      <c r="N169" s="4">
        <v>880</v>
      </c>
      <c r="O169" s="4">
        <v>500</v>
      </c>
      <c r="P169" s="4">
        <v>62</v>
      </c>
      <c r="Q169" s="4">
        <v>68</v>
      </c>
      <c r="R169" s="2" t="s">
        <v>47</v>
      </c>
      <c r="S169" s="2">
        <f t="shared" si="152"/>
        <v>835</v>
      </c>
      <c r="T169" s="2">
        <f t="shared" si="153"/>
        <v>590</v>
      </c>
      <c r="U169" s="4"/>
      <c r="V169" s="4"/>
      <c r="W169" s="4">
        <f t="shared" si="156"/>
        <v>694</v>
      </c>
      <c r="X169" s="4">
        <f t="shared" si="157"/>
        <v>1054</v>
      </c>
      <c r="Y169" s="4"/>
      <c r="Z169"/>
      <c r="AA169" s="4"/>
      <c r="AB169" s="4"/>
      <c r="AC169" s="2">
        <f t="shared" si="182"/>
        <v>940</v>
      </c>
      <c r="AD169" s="2">
        <f t="shared" si="183"/>
        <v>1350</v>
      </c>
      <c r="AE169" s="2">
        <f t="shared" si="170"/>
        <v>842</v>
      </c>
      <c r="AF169" s="2">
        <f t="shared" si="171"/>
        <v>1111</v>
      </c>
      <c r="AG169" s="2" t="s">
        <v>47</v>
      </c>
      <c r="AH169" s="4">
        <f t="shared" si="172"/>
        <v>940</v>
      </c>
      <c r="AI169" s="4">
        <f t="shared" si="173"/>
        <v>1111</v>
      </c>
      <c r="AJ169" s="4">
        <f t="shared" si="174"/>
        <v>694</v>
      </c>
      <c r="AK169" s="4">
        <f t="shared" si="175"/>
        <v>1054</v>
      </c>
      <c r="AL169" s="4">
        <f t="shared" si="178"/>
        <v>1634</v>
      </c>
      <c r="AM169" s="4">
        <f t="shared" si="179"/>
        <v>2165</v>
      </c>
      <c r="AN169" s="4">
        <f t="shared" si="184"/>
        <v>1960</v>
      </c>
      <c r="AO169" s="4">
        <f t="shared" si="185"/>
        <v>1960</v>
      </c>
    </row>
    <row r="170" spans="1:41" s="2" customFormat="1" x14ac:dyDescent="0.2">
      <c r="A170">
        <f t="shared" si="181"/>
        <v>169</v>
      </c>
      <c r="B170" t="s">
        <v>13</v>
      </c>
      <c r="C170">
        <v>2</v>
      </c>
      <c r="D170" t="s">
        <v>49</v>
      </c>
      <c r="E170" s="10">
        <v>1.6</v>
      </c>
      <c r="F170" t="s">
        <v>10</v>
      </c>
      <c r="G170">
        <v>800</v>
      </c>
      <c r="H170" s="2">
        <f t="shared" si="135"/>
        <v>455</v>
      </c>
      <c r="I170" s="2">
        <f t="shared" si="136"/>
        <v>150</v>
      </c>
      <c r="J170" s="4" t="s">
        <v>19</v>
      </c>
      <c r="K170" s="4">
        <v>0</v>
      </c>
      <c r="L170" s="2">
        <v>1100</v>
      </c>
      <c r="M170" s="4">
        <v>1400</v>
      </c>
      <c r="N170" s="4">
        <v>880</v>
      </c>
      <c r="O170" s="4">
        <v>500</v>
      </c>
      <c r="P170" s="4">
        <v>62</v>
      </c>
      <c r="Q170" s="4">
        <v>68</v>
      </c>
      <c r="R170" s="2" t="s">
        <v>47</v>
      </c>
      <c r="S170" s="2">
        <f t="shared" si="152"/>
        <v>865</v>
      </c>
      <c r="T170" s="2">
        <f t="shared" si="153"/>
        <v>560</v>
      </c>
      <c r="U170" s="4"/>
      <c r="V170" s="4"/>
      <c r="W170" s="4">
        <f t="shared" si="156"/>
        <v>694</v>
      </c>
      <c r="X170" s="4">
        <f t="shared" si="157"/>
        <v>1054</v>
      </c>
      <c r="Y170" s="4"/>
      <c r="Z170"/>
      <c r="AA170" s="4"/>
      <c r="AB170" s="4"/>
      <c r="AC170" s="2">
        <f t="shared" si="182"/>
        <v>940</v>
      </c>
      <c r="AD170" s="2">
        <f t="shared" si="183"/>
        <v>1350</v>
      </c>
      <c r="AE170" s="2">
        <f t="shared" si="170"/>
        <v>842</v>
      </c>
      <c r="AF170" s="2">
        <f t="shared" si="171"/>
        <v>1111</v>
      </c>
      <c r="AG170" s="2" t="s">
        <v>47</v>
      </c>
      <c r="AH170" s="4">
        <f t="shared" si="172"/>
        <v>940</v>
      </c>
      <c r="AI170" s="4">
        <f t="shared" si="173"/>
        <v>1111</v>
      </c>
      <c r="AJ170" s="4">
        <f t="shared" si="174"/>
        <v>694</v>
      </c>
      <c r="AK170" s="4">
        <f t="shared" si="175"/>
        <v>1054</v>
      </c>
      <c r="AL170" s="4">
        <f t="shared" si="178"/>
        <v>1634</v>
      </c>
      <c r="AM170" s="4">
        <f t="shared" si="179"/>
        <v>2165</v>
      </c>
      <c r="AN170" s="4">
        <f t="shared" si="184"/>
        <v>1960</v>
      </c>
      <c r="AO170" s="4">
        <f t="shared" si="185"/>
        <v>1960</v>
      </c>
    </row>
    <row r="171" spans="1:41" s="2" customFormat="1" x14ac:dyDescent="0.2">
      <c r="A171">
        <f t="shared" si="181"/>
        <v>170</v>
      </c>
      <c r="B171" t="s">
        <v>13</v>
      </c>
      <c r="C171">
        <v>2</v>
      </c>
      <c r="D171" t="s">
        <v>49</v>
      </c>
      <c r="E171" s="10">
        <v>1.6</v>
      </c>
      <c r="F171" t="s">
        <v>10</v>
      </c>
      <c r="G171">
        <v>900</v>
      </c>
      <c r="H171" s="2">
        <f>G171/2+IF(F171="CLD",65,55)</f>
        <v>505</v>
      </c>
      <c r="I171" s="2">
        <f>IF(F171="CLD",G171/2+65,150)</f>
        <v>150</v>
      </c>
      <c r="J171" s="4" t="s">
        <v>18</v>
      </c>
      <c r="K171" s="4">
        <v>50</v>
      </c>
      <c r="L171" s="2">
        <v>1100</v>
      </c>
      <c r="M171" s="4">
        <v>1400</v>
      </c>
      <c r="N171" s="4">
        <v>880</v>
      </c>
      <c r="O171" s="4">
        <v>500</v>
      </c>
      <c r="P171" s="4">
        <v>62</v>
      </c>
      <c r="Q171" s="4">
        <v>68</v>
      </c>
      <c r="R171" s="2" t="s">
        <v>47</v>
      </c>
      <c r="S171" s="2">
        <f>(-K171+G171/2+H171+10)</f>
        <v>915</v>
      </c>
      <c r="T171" s="2">
        <f>(K171+G171/2+I171+10)</f>
        <v>660</v>
      </c>
      <c r="U171" s="4"/>
      <c r="V171" s="4"/>
      <c r="W171" s="4">
        <f>(L171/2+40+P171+42)</f>
        <v>694</v>
      </c>
      <c r="X171" s="4">
        <f>(L171/2+40+P171+402)</f>
        <v>1054</v>
      </c>
      <c r="Y171" s="4"/>
      <c r="Z171"/>
      <c r="AA171" s="4"/>
      <c r="AB171" s="4"/>
      <c r="AC171" s="2">
        <f t="shared" si="182"/>
        <v>940</v>
      </c>
      <c r="AD171" s="2">
        <f t="shared" si="183"/>
        <v>1350</v>
      </c>
      <c r="AE171" s="2">
        <f>(L171/2+40+P171+190)</f>
        <v>842</v>
      </c>
      <c r="AF171" s="2">
        <f>(L171/2+40+P171+459)</f>
        <v>1111</v>
      </c>
      <c r="AG171" s="2" t="s">
        <v>47</v>
      </c>
      <c r="AH171" s="4">
        <f>MAX(S171,AC171,AE171)</f>
        <v>940</v>
      </c>
      <c r="AI171" s="4">
        <f>MIN(AD171,AF171)</f>
        <v>1111</v>
      </c>
      <c r="AJ171" s="4">
        <f>MAX(T171,W171)</f>
        <v>694</v>
      </c>
      <c r="AK171" s="4">
        <f>X171</f>
        <v>1054</v>
      </c>
      <c r="AL171" s="4">
        <f>(AH171+AJ171)</f>
        <v>1634</v>
      </c>
      <c r="AM171" s="4">
        <f>(AI171+AK171)</f>
        <v>2165</v>
      </c>
      <c r="AN171" s="4">
        <f>(280+M171+280)</f>
        <v>1960</v>
      </c>
      <c r="AO171" s="4">
        <f>(280+M171+280)</f>
        <v>1960</v>
      </c>
    </row>
    <row r="172" spans="1:41" s="2" customFormat="1" x14ac:dyDescent="0.2">
      <c r="A172">
        <f t="shared" si="181"/>
        <v>171</v>
      </c>
      <c r="B172" t="s">
        <v>13</v>
      </c>
      <c r="C172">
        <v>2</v>
      </c>
      <c r="D172" t="s">
        <v>49</v>
      </c>
      <c r="E172" s="10">
        <v>1.6</v>
      </c>
      <c r="F172" t="s">
        <v>10</v>
      </c>
      <c r="G172">
        <v>1000</v>
      </c>
      <c r="H172" s="2">
        <f t="shared" si="135"/>
        <v>555</v>
      </c>
      <c r="I172" s="2">
        <f t="shared" si="136"/>
        <v>150</v>
      </c>
      <c r="J172" s="4" t="s">
        <v>18</v>
      </c>
      <c r="K172" s="4">
        <v>30</v>
      </c>
      <c r="L172" s="2">
        <v>1100</v>
      </c>
      <c r="M172" s="4">
        <v>1400</v>
      </c>
      <c r="N172" s="4">
        <v>880</v>
      </c>
      <c r="O172" s="4">
        <v>500</v>
      </c>
      <c r="P172" s="4">
        <v>62</v>
      </c>
      <c r="Q172" s="4">
        <v>68</v>
      </c>
      <c r="R172" s="2" t="s">
        <v>47</v>
      </c>
      <c r="S172" s="2">
        <f t="shared" si="152"/>
        <v>1035</v>
      </c>
      <c r="T172" s="2">
        <f t="shared" si="153"/>
        <v>690</v>
      </c>
      <c r="U172" s="4"/>
      <c r="V172" s="4"/>
      <c r="W172" s="4">
        <f t="shared" si="156"/>
        <v>694</v>
      </c>
      <c r="X172" s="4">
        <f t="shared" si="157"/>
        <v>1054</v>
      </c>
      <c r="Y172" s="4"/>
      <c r="Z172"/>
      <c r="AA172" s="4"/>
      <c r="AB172" s="4"/>
      <c r="AC172" s="2">
        <f t="shared" si="182"/>
        <v>940</v>
      </c>
      <c r="AD172" s="2">
        <f t="shared" si="183"/>
        <v>1350</v>
      </c>
      <c r="AE172" s="2">
        <f t="shared" si="170"/>
        <v>842</v>
      </c>
      <c r="AF172" s="2">
        <f t="shared" si="171"/>
        <v>1111</v>
      </c>
      <c r="AG172" s="2" t="s">
        <v>47</v>
      </c>
      <c r="AH172" s="4">
        <f t="shared" si="172"/>
        <v>1035</v>
      </c>
      <c r="AI172" s="4">
        <f t="shared" si="173"/>
        <v>1111</v>
      </c>
      <c r="AJ172" s="4">
        <f t="shared" si="174"/>
        <v>694</v>
      </c>
      <c r="AK172" s="4">
        <f t="shared" si="175"/>
        <v>1054</v>
      </c>
      <c r="AL172" s="4">
        <f t="shared" si="178"/>
        <v>1729</v>
      </c>
      <c r="AM172" s="4">
        <f t="shared" si="179"/>
        <v>2165</v>
      </c>
      <c r="AN172" s="4">
        <f t="shared" si="184"/>
        <v>1960</v>
      </c>
      <c r="AO172" s="4">
        <f t="shared" si="185"/>
        <v>1960</v>
      </c>
    </row>
    <row r="173" spans="1:41" s="2" customFormat="1" x14ac:dyDescent="0.2">
      <c r="A173">
        <f t="shared" si="181"/>
        <v>172</v>
      </c>
      <c r="B173" t="s">
        <v>13</v>
      </c>
      <c r="C173">
        <v>2</v>
      </c>
      <c r="D173" t="s">
        <v>49</v>
      </c>
      <c r="E173" s="10">
        <v>1.6</v>
      </c>
      <c r="F173" t="s">
        <v>11</v>
      </c>
      <c r="G173">
        <v>700</v>
      </c>
      <c r="H173" s="2">
        <f t="shared" si="135"/>
        <v>415</v>
      </c>
      <c r="I173" s="2">
        <f t="shared" si="136"/>
        <v>415</v>
      </c>
      <c r="J173" s="4" t="s">
        <v>19</v>
      </c>
      <c r="K173" s="4">
        <v>0</v>
      </c>
      <c r="L173" s="2">
        <v>1100</v>
      </c>
      <c r="M173" s="4">
        <v>1400</v>
      </c>
      <c r="N173" s="4">
        <v>880</v>
      </c>
      <c r="O173" s="4">
        <v>500</v>
      </c>
      <c r="P173" s="4">
        <v>62</v>
      </c>
      <c r="Q173" s="4">
        <v>68</v>
      </c>
      <c r="R173" s="2" t="s">
        <v>47</v>
      </c>
      <c r="S173" s="2">
        <f t="shared" si="152"/>
        <v>775</v>
      </c>
      <c r="T173" s="2">
        <f t="shared" si="153"/>
        <v>775</v>
      </c>
      <c r="U173" s="4"/>
      <c r="V173" s="4"/>
      <c r="W173" s="4">
        <f t="shared" si="156"/>
        <v>694</v>
      </c>
      <c r="X173" s="4">
        <f t="shared" si="157"/>
        <v>1054</v>
      </c>
      <c r="Y173" s="4"/>
      <c r="Z173"/>
      <c r="AA173" s="4"/>
      <c r="AB173" s="4"/>
      <c r="AC173" s="2">
        <f t="shared" si="182"/>
        <v>940</v>
      </c>
      <c r="AD173" s="2">
        <f t="shared" si="183"/>
        <v>1350</v>
      </c>
      <c r="AE173" s="2">
        <f t="shared" si="170"/>
        <v>842</v>
      </c>
      <c r="AF173" s="2">
        <f t="shared" si="171"/>
        <v>1111</v>
      </c>
      <c r="AG173" s="2" t="s">
        <v>47</v>
      </c>
      <c r="AH173" s="4">
        <f t="shared" si="172"/>
        <v>940</v>
      </c>
      <c r="AI173" s="4">
        <f t="shared" si="173"/>
        <v>1111</v>
      </c>
      <c r="AJ173" s="4">
        <f t="shared" si="174"/>
        <v>775</v>
      </c>
      <c r="AK173" s="4">
        <f t="shared" si="175"/>
        <v>1054</v>
      </c>
      <c r="AL173" s="4">
        <f t="shared" si="178"/>
        <v>1715</v>
      </c>
      <c r="AM173" s="4">
        <f t="shared" si="179"/>
        <v>2165</v>
      </c>
      <c r="AN173" s="4">
        <f t="shared" si="184"/>
        <v>1960</v>
      </c>
      <c r="AO173" s="4">
        <f t="shared" si="185"/>
        <v>1960</v>
      </c>
    </row>
    <row r="174" spans="1:41" s="2" customFormat="1" x14ac:dyDescent="0.2">
      <c r="A174">
        <f t="shared" si="181"/>
        <v>173</v>
      </c>
      <c r="B174" t="s">
        <v>13</v>
      </c>
      <c r="C174">
        <v>2</v>
      </c>
      <c r="D174" t="s">
        <v>49</v>
      </c>
      <c r="E174" s="10">
        <v>1.6</v>
      </c>
      <c r="F174" t="s">
        <v>11</v>
      </c>
      <c r="G174">
        <v>800</v>
      </c>
      <c r="H174" s="2">
        <f t="shared" si="135"/>
        <v>465</v>
      </c>
      <c r="I174" s="2">
        <f t="shared" si="136"/>
        <v>465</v>
      </c>
      <c r="J174" s="4" t="s">
        <v>19</v>
      </c>
      <c r="K174" s="4">
        <v>0</v>
      </c>
      <c r="L174" s="2">
        <v>1100</v>
      </c>
      <c r="M174" s="4">
        <v>1400</v>
      </c>
      <c r="N174" s="4">
        <v>880</v>
      </c>
      <c r="O174" s="4">
        <v>500</v>
      </c>
      <c r="P174" s="4">
        <v>62</v>
      </c>
      <c r="Q174" s="4">
        <v>68</v>
      </c>
      <c r="R174" s="2" t="s">
        <v>47</v>
      </c>
      <c r="S174" s="2">
        <f t="shared" si="152"/>
        <v>875</v>
      </c>
      <c r="T174" s="2">
        <f t="shared" si="153"/>
        <v>875</v>
      </c>
      <c r="U174" s="4"/>
      <c r="V174" s="4"/>
      <c r="W174" s="4">
        <f t="shared" si="156"/>
        <v>694</v>
      </c>
      <c r="X174" s="4">
        <f t="shared" si="157"/>
        <v>1054</v>
      </c>
      <c r="Y174" s="4"/>
      <c r="Z174"/>
      <c r="AA174" s="4"/>
      <c r="AB174" s="4"/>
      <c r="AC174" s="2">
        <f t="shared" si="182"/>
        <v>940</v>
      </c>
      <c r="AD174" s="2">
        <f t="shared" si="183"/>
        <v>1350</v>
      </c>
      <c r="AE174" s="2">
        <f t="shared" si="170"/>
        <v>842</v>
      </c>
      <c r="AF174" s="2">
        <f t="shared" si="171"/>
        <v>1111</v>
      </c>
      <c r="AG174" s="2" t="s">
        <v>47</v>
      </c>
      <c r="AH174" s="4">
        <f t="shared" si="172"/>
        <v>940</v>
      </c>
      <c r="AI174" s="4">
        <f t="shared" si="173"/>
        <v>1111</v>
      </c>
      <c r="AJ174" s="4">
        <f t="shared" si="174"/>
        <v>875</v>
      </c>
      <c r="AK174" s="4">
        <f t="shared" si="175"/>
        <v>1054</v>
      </c>
      <c r="AL174" s="4">
        <f t="shared" si="178"/>
        <v>1815</v>
      </c>
      <c r="AM174" s="4">
        <f t="shared" si="179"/>
        <v>2165</v>
      </c>
      <c r="AN174" s="4">
        <f t="shared" si="184"/>
        <v>1960</v>
      </c>
      <c r="AO174" s="4">
        <f t="shared" si="185"/>
        <v>1960</v>
      </c>
    </row>
    <row r="175" spans="1:41" s="2" customFormat="1" ht="13.5" thickBot="1" x14ac:dyDescent="0.25">
      <c r="A175">
        <f t="shared" si="181"/>
        <v>174</v>
      </c>
      <c r="B175" s="6" t="s">
        <v>13</v>
      </c>
      <c r="C175" s="6">
        <v>2</v>
      </c>
      <c r="D175" t="s">
        <v>49</v>
      </c>
      <c r="E175" s="13">
        <v>1.6</v>
      </c>
      <c r="F175" s="6" t="s">
        <v>11</v>
      </c>
      <c r="G175" s="6">
        <v>900</v>
      </c>
      <c r="H175" s="2">
        <f t="shared" si="135"/>
        <v>515</v>
      </c>
      <c r="I175" s="2">
        <f t="shared" si="136"/>
        <v>515</v>
      </c>
      <c r="J175" s="7" t="s">
        <v>19</v>
      </c>
      <c r="K175" s="7">
        <v>0</v>
      </c>
      <c r="L175" s="6">
        <v>1100</v>
      </c>
      <c r="M175" s="7">
        <v>1400</v>
      </c>
      <c r="N175" s="7">
        <v>880</v>
      </c>
      <c r="O175" s="7">
        <v>500</v>
      </c>
      <c r="P175" s="7">
        <v>62</v>
      </c>
      <c r="Q175" s="4">
        <v>68</v>
      </c>
      <c r="R175" s="2" t="s">
        <v>47</v>
      </c>
      <c r="S175" s="6">
        <f t="shared" si="152"/>
        <v>975</v>
      </c>
      <c r="T175" s="6">
        <f t="shared" si="153"/>
        <v>975</v>
      </c>
      <c r="U175" s="7"/>
      <c r="V175" s="7"/>
      <c r="W175" s="7">
        <f t="shared" si="156"/>
        <v>694</v>
      </c>
      <c r="X175" s="7">
        <f t="shared" si="157"/>
        <v>1054</v>
      </c>
      <c r="Y175" s="7"/>
      <c r="Z175" s="6"/>
      <c r="AA175" s="7"/>
      <c r="AB175" s="7"/>
      <c r="AC175" s="2">
        <f t="shared" si="182"/>
        <v>940</v>
      </c>
      <c r="AD175" s="6">
        <f t="shared" si="183"/>
        <v>1350</v>
      </c>
      <c r="AE175" s="6">
        <f t="shared" si="170"/>
        <v>842</v>
      </c>
      <c r="AF175" s="6">
        <f t="shared" si="171"/>
        <v>1111</v>
      </c>
      <c r="AG175" s="2" t="s">
        <v>47</v>
      </c>
      <c r="AH175" s="7">
        <f t="shared" si="172"/>
        <v>975</v>
      </c>
      <c r="AI175" s="7">
        <f t="shared" si="173"/>
        <v>1111</v>
      </c>
      <c r="AJ175" s="7">
        <f t="shared" si="174"/>
        <v>975</v>
      </c>
      <c r="AK175" s="7">
        <f t="shared" si="175"/>
        <v>1054</v>
      </c>
      <c r="AL175" s="7">
        <f t="shared" si="178"/>
        <v>1950</v>
      </c>
      <c r="AM175" s="7">
        <f t="shared" si="179"/>
        <v>2165</v>
      </c>
      <c r="AN175" s="7">
        <f t="shared" si="184"/>
        <v>1960</v>
      </c>
      <c r="AO175" s="7">
        <f t="shared" si="185"/>
        <v>1960</v>
      </c>
    </row>
    <row r="176" spans="1:41" s="2" customFormat="1" x14ac:dyDescent="0.2">
      <c r="A176">
        <f t="shared" si="181"/>
        <v>175</v>
      </c>
      <c r="B176" s="4" t="s">
        <v>48</v>
      </c>
      <c r="C176" s="2">
        <v>1</v>
      </c>
      <c r="D176" s="2" t="s">
        <v>49</v>
      </c>
      <c r="E176" s="14">
        <v>1</v>
      </c>
      <c r="F176" s="2" t="s">
        <v>10</v>
      </c>
      <c r="G176" s="2">
        <v>1100</v>
      </c>
      <c r="H176" s="2">
        <f t="shared" ref="H176" si="186">G176/2+IF(F176="CLD",65,55)</f>
        <v>605</v>
      </c>
      <c r="I176" s="2">
        <f t="shared" ref="I176" si="187">IF(F176="CLD",G176/2+65,150)</f>
        <v>150</v>
      </c>
      <c r="J176" s="4" t="s">
        <v>18</v>
      </c>
      <c r="K176" s="4">
        <v>350</v>
      </c>
      <c r="L176" s="4">
        <v>2100</v>
      </c>
      <c r="M176" s="2">
        <v>1100</v>
      </c>
      <c r="N176" s="4">
        <v>760</v>
      </c>
      <c r="O176" s="4">
        <v>780</v>
      </c>
      <c r="P176" s="4">
        <v>62</v>
      </c>
      <c r="Q176" s="4">
        <v>68</v>
      </c>
      <c r="R176" s="2" t="s">
        <v>47</v>
      </c>
      <c r="S176" s="2">
        <f t="shared" ref="S176" si="188">(-K176+G176/2+H176+10)</f>
        <v>815</v>
      </c>
      <c r="T176" s="2">
        <f t="shared" ref="T176" si="189">(K176+G176/2+I176+10)</f>
        <v>1060</v>
      </c>
      <c r="U176" s="4">
        <f>(L176/2+40+P176+42)</f>
        <v>1194</v>
      </c>
      <c r="V176" s="4">
        <f>(L176/2+40+P176+402)</f>
        <v>1554</v>
      </c>
      <c r="W176" s="4">
        <f t="shared" ref="W176" si="190">(L176/2+40+P176+42)</f>
        <v>1194</v>
      </c>
      <c r="X176" s="4">
        <f t="shared" ref="X176" si="191">(L176/2+40+P176+402)</f>
        <v>1554</v>
      </c>
      <c r="Y176" s="4"/>
      <c r="Z176" s="4"/>
      <c r="AA176" s="4"/>
      <c r="AB176" s="4"/>
      <c r="AG176" s="2" t="s">
        <v>47</v>
      </c>
      <c r="AH176" s="4">
        <f>MAX(S176,U176)</f>
        <v>1194</v>
      </c>
      <c r="AI176" s="4">
        <f>V176</f>
        <v>1554</v>
      </c>
      <c r="AJ176" s="4">
        <f t="shared" ref="AJ176" si="192">MAX(T176,W176)</f>
        <v>1194</v>
      </c>
      <c r="AK176" s="4">
        <f t="shared" ref="AK176" si="193">X176</f>
        <v>1554</v>
      </c>
      <c r="AL176" s="4">
        <f t="shared" ref="AL176" si="194">(AH176+AJ176)</f>
        <v>2388</v>
      </c>
      <c r="AM176" s="4">
        <f t="shared" ref="AM176" si="195">(AI176+AK176)</f>
        <v>3108</v>
      </c>
      <c r="AN176" s="4">
        <f>(N176+775+190)</f>
        <v>1725</v>
      </c>
      <c r="AO176" s="4">
        <f>(N176+775+600)</f>
        <v>2135</v>
      </c>
    </row>
    <row r="177" spans="1:41" s="2" customFormat="1" x14ac:dyDescent="0.2">
      <c r="A177">
        <f t="shared" si="181"/>
        <v>176</v>
      </c>
      <c r="B177" s="5" t="s">
        <v>48</v>
      </c>
      <c r="C177" s="1">
        <v>1</v>
      </c>
      <c r="D177" t="s">
        <v>49</v>
      </c>
      <c r="E177" s="11">
        <v>1</v>
      </c>
      <c r="F177" s="1" t="s">
        <v>10</v>
      </c>
      <c r="G177" s="1">
        <v>1200</v>
      </c>
      <c r="H177" s="2">
        <f t="shared" si="135"/>
        <v>655</v>
      </c>
      <c r="I177" s="2">
        <f t="shared" si="136"/>
        <v>150</v>
      </c>
      <c r="J177" s="5" t="s">
        <v>18</v>
      </c>
      <c r="K177" s="5">
        <v>350</v>
      </c>
      <c r="L177" s="5">
        <v>2100</v>
      </c>
      <c r="M177" s="1">
        <v>1100</v>
      </c>
      <c r="N177" s="5">
        <v>760</v>
      </c>
      <c r="O177" s="5">
        <v>780</v>
      </c>
      <c r="P177" s="5">
        <v>62</v>
      </c>
      <c r="Q177" s="4">
        <v>68</v>
      </c>
      <c r="R177" s="2" t="s">
        <v>47</v>
      </c>
      <c r="S177" s="1">
        <f t="shared" si="152"/>
        <v>915</v>
      </c>
      <c r="T177" s="1">
        <f t="shared" si="153"/>
        <v>1110</v>
      </c>
      <c r="U177" s="5">
        <f>(L177/2+40+P177+42)</f>
        <v>1194</v>
      </c>
      <c r="V177" s="5">
        <f>(L177/2+40+P177+402)</f>
        <v>1554</v>
      </c>
      <c r="W177" s="5">
        <f t="shared" si="156"/>
        <v>1194</v>
      </c>
      <c r="X177" s="5">
        <f t="shared" si="157"/>
        <v>1554</v>
      </c>
      <c r="Y177" s="5"/>
      <c r="Z177" s="5"/>
      <c r="AA177" s="5"/>
      <c r="AB177" s="5"/>
      <c r="AC177" s="1"/>
      <c r="AD177" s="1"/>
      <c r="AE177" s="1"/>
      <c r="AF177" s="1"/>
      <c r="AG177" s="2" t="s">
        <v>47</v>
      </c>
      <c r="AH177" s="5">
        <f>MAX(S177,U177)</f>
        <v>1194</v>
      </c>
      <c r="AI177" s="5">
        <f>V177</f>
        <v>1554</v>
      </c>
      <c r="AJ177" s="5">
        <f t="shared" si="174"/>
        <v>1194</v>
      </c>
      <c r="AK177" s="5">
        <f t="shared" si="175"/>
        <v>1554</v>
      </c>
      <c r="AL177" s="5">
        <f t="shared" si="178"/>
        <v>2388</v>
      </c>
      <c r="AM177" s="5">
        <f t="shared" si="179"/>
        <v>3108</v>
      </c>
      <c r="AN177" s="5">
        <f>(N177+775+190)</f>
        <v>1725</v>
      </c>
      <c r="AO177" s="5">
        <f>(N177+775+600)</f>
        <v>2135</v>
      </c>
    </row>
    <row r="178" spans="1:41" s="2" customFormat="1" x14ac:dyDescent="0.2">
      <c r="A178">
        <f t="shared" si="181"/>
        <v>177</v>
      </c>
      <c r="B178" s="15" t="s">
        <v>48</v>
      </c>
      <c r="C178" s="15">
        <v>1</v>
      </c>
      <c r="D178" s="2" t="s">
        <v>49</v>
      </c>
      <c r="E178" s="16">
        <v>1.6</v>
      </c>
      <c r="F178" s="15" t="s">
        <v>10</v>
      </c>
      <c r="G178" s="15">
        <v>1100</v>
      </c>
      <c r="H178" s="2">
        <f t="shared" ref="H178" si="196">G178/2+IF(F178="CLD",65,55)</f>
        <v>605</v>
      </c>
      <c r="I178" s="2">
        <f t="shared" ref="I178" si="197">IF(F178="CLD",G178/2+65,150)</f>
        <v>150</v>
      </c>
      <c r="J178" s="15" t="s">
        <v>18</v>
      </c>
      <c r="K178" s="15">
        <v>350</v>
      </c>
      <c r="L178" s="15">
        <v>2100</v>
      </c>
      <c r="M178" s="15">
        <v>1100</v>
      </c>
      <c r="N178" s="15">
        <v>760</v>
      </c>
      <c r="O178" s="15">
        <v>780</v>
      </c>
      <c r="P178" s="17">
        <v>62</v>
      </c>
      <c r="Q178" s="4">
        <v>68</v>
      </c>
      <c r="R178" s="2" t="s">
        <v>47</v>
      </c>
      <c r="S178" s="15">
        <f t="shared" ref="S178" si="198">(-K178+G178/2+H178+10)</f>
        <v>815</v>
      </c>
      <c r="T178" s="15">
        <f t="shared" ref="T178" si="199">(K178+G178/2+I178+10)</f>
        <v>1060</v>
      </c>
      <c r="U178" s="17">
        <f>(L178/2+40+P178+42)</f>
        <v>1194</v>
      </c>
      <c r="V178" s="17">
        <f>(L178/2+40+P178+402)</f>
        <v>1554</v>
      </c>
      <c r="W178" s="17">
        <f t="shared" ref="W178" si="200">(L178/2+40+P178+42)</f>
        <v>1194</v>
      </c>
      <c r="X178" s="17">
        <f t="shared" ref="X178" si="201">(L178/2+40+P178+402)</f>
        <v>1554</v>
      </c>
      <c r="Y178" s="15"/>
      <c r="Z178" s="15"/>
      <c r="AA178" s="15"/>
      <c r="AB178" s="15"/>
      <c r="AC178" s="15"/>
      <c r="AD178" s="15"/>
      <c r="AE178" s="15"/>
      <c r="AF178" s="15"/>
      <c r="AG178" s="2" t="s">
        <v>47</v>
      </c>
      <c r="AH178" s="17">
        <f>MAX(S178,U178)</f>
        <v>1194</v>
      </c>
      <c r="AI178" s="17">
        <f>V178</f>
        <v>1554</v>
      </c>
      <c r="AJ178" s="17">
        <f t="shared" ref="AJ178" si="202">MAX(T178,W178)</f>
        <v>1194</v>
      </c>
      <c r="AK178" s="17">
        <f t="shared" ref="AK178" si="203">X178</f>
        <v>1554</v>
      </c>
      <c r="AL178" s="17">
        <f t="shared" ref="AL178" si="204">(AH178+AJ178)</f>
        <v>2388</v>
      </c>
      <c r="AM178" s="17">
        <f t="shared" ref="AM178" si="205">(AI178+AK178)</f>
        <v>3108</v>
      </c>
      <c r="AN178" s="17">
        <f>(N178+775+190)</f>
        <v>1725</v>
      </c>
      <c r="AO178" s="17">
        <f>(N178+775+600)</f>
        <v>2135</v>
      </c>
    </row>
    <row r="179" spans="1:41" s="2" customFormat="1" ht="13.5" thickBot="1" x14ac:dyDescent="0.25">
      <c r="A179">
        <f t="shared" si="181"/>
        <v>178</v>
      </c>
      <c r="B179" s="6" t="s">
        <v>48</v>
      </c>
      <c r="C179" s="6">
        <v>1</v>
      </c>
      <c r="D179" t="s">
        <v>49</v>
      </c>
      <c r="E179" s="13">
        <v>1.6</v>
      </c>
      <c r="F179" s="6" t="s">
        <v>10</v>
      </c>
      <c r="G179" s="6">
        <v>1200</v>
      </c>
      <c r="H179" s="2">
        <f t="shared" si="135"/>
        <v>655</v>
      </c>
      <c r="I179" s="2">
        <f t="shared" si="136"/>
        <v>150</v>
      </c>
      <c r="J179" s="6" t="s">
        <v>18</v>
      </c>
      <c r="K179" s="6">
        <v>350</v>
      </c>
      <c r="L179" s="6">
        <v>2100</v>
      </c>
      <c r="M179" s="6">
        <v>1100</v>
      </c>
      <c r="N179" s="6">
        <v>760</v>
      </c>
      <c r="O179" s="6">
        <v>780</v>
      </c>
      <c r="P179" s="7">
        <v>62</v>
      </c>
      <c r="Q179" s="4">
        <v>68</v>
      </c>
      <c r="R179" s="2" t="s">
        <v>47</v>
      </c>
      <c r="S179" s="6">
        <f t="shared" si="152"/>
        <v>915</v>
      </c>
      <c r="T179" s="6">
        <f t="shared" si="153"/>
        <v>1110</v>
      </c>
      <c r="U179" s="7">
        <f>(L179/2+40+P179+42)</f>
        <v>1194</v>
      </c>
      <c r="V179" s="7">
        <f>(L179/2+40+P179+402)</f>
        <v>1554</v>
      </c>
      <c r="W179" s="7">
        <f t="shared" si="156"/>
        <v>1194</v>
      </c>
      <c r="X179" s="7">
        <f t="shared" si="157"/>
        <v>1554</v>
      </c>
      <c r="Y179" s="6"/>
      <c r="Z179" s="6"/>
      <c r="AA179" s="6"/>
      <c r="AB179" s="6"/>
      <c r="AC179" s="6"/>
      <c r="AD179" s="6"/>
      <c r="AE179" s="6"/>
      <c r="AF179" s="6"/>
      <c r="AG179" s="2" t="s">
        <v>47</v>
      </c>
      <c r="AH179" s="7">
        <f>MAX(S179,U179)</f>
        <v>1194</v>
      </c>
      <c r="AI179" s="7">
        <f>V179</f>
        <v>1554</v>
      </c>
      <c r="AJ179" s="7">
        <f t="shared" si="174"/>
        <v>1194</v>
      </c>
      <c r="AK179" s="7">
        <f t="shared" si="175"/>
        <v>1554</v>
      </c>
      <c r="AL179" s="7">
        <f t="shared" si="178"/>
        <v>2388</v>
      </c>
      <c r="AM179" s="7">
        <f t="shared" si="179"/>
        <v>3108</v>
      </c>
      <c r="AN179" s="7">
        <f>(N179+775+190)</f>
        <v>1725</v>
      </c>
      <c r="AO179" s="7">
        <f>(N179+775+600)</f>
        <v>2135</v>
      </c>
    </row>
    <row r="180" spans="1:41" s="2" customFormat="1" x14ac:dyDescent="0.2">
      <c r="A180">
        <f t="shared" si="181"/>
        <v>179</v>
      </c>
      <c r="B180" t="s">
        <v>52</v>
      </c>
      <c r="C180">
        <v>1</v>
      </c>
      <c r="D180" t="s">
        <v>49</v>
      </c>
      <c r="E180" s="10">
        <v>1</v>
      </c>
      <c r="F180" t="s">
        <v>10</v>
      </c>
      <c r="G180" s="4">
        <v>700</v>
      </c>
      <c r="H180" s="2">
        <f t="shared" ref="H180:H182" si="206">G180/2+IF(F180="CLD",65,55)</f>
        <v>405</v>
      </c>
      <c r="I180" s="2">
        <f t="shared" ref="I180:I182" si="207">IF(F180="CLD",G180/2+65,150)</f>
        <v>150</v>
      </c>
      <c r="J180" s="4" t="s">
        <v>19</v>
      </c>
      <c r="K180" s="4">
        <v>0</v>
      </c>
      <c r="L180" s="2">
        <v>1100</v>
      </c>
      <c r="M180" s="4">
        <v>2100</v>
      </c>
      <c r="N180" s="4">
        <v>1200</v>
      </c>
      <c r="O180" s="4">
        <v>780</v>
      </c>
      <c r="P180" s="4">
        <v>62</v>
      </c>
      <c r="Q180" s="4">
        <v>68</v>
      </c>
      <c r="R180" s="2" t="s">
        <v>47</v>
      </c>
      <c r="S180" s="2">
        <f t="shared" ref="S180:S182" si="208">(-K180+G180/2+H180+10)</f>
        <v>765</v>
      </c>
      <c r="T180" s="2">
        <f t="shared" ref="T180:T182" si="209">(K180+G180/2+I180+10)</f>
        <v>510</v>
      </c>
      <c r="U180" s="4"/>
      <c r="V180" s="4"/>
      <c r="W180" s="4">
        <f t="shared" ref="W180:W182" si="210">(L180/2+40+P180+42)</f>
        <v>694</v>
      </c>
      <c r="X180" s="4">
        <f t="shared" ref="X180:X182" si="211">(L180/2+40+P180+402)</f>
        <v>1054</v>
      </c>
      <c r="Y180" s="4"/>
      <c r="AA180" s="4"/>
      <c r="AB180" s="4"/>
      <c r="AC180" s="2">
        <f>(740+190)</f>
        <v>930</v>
      </c>
      <c r="AD180" s="2">
        <f t="shared" ref="AD180:AD199" si="212">(740+600)</f>
        <v>1340</v>
      </c>
      <c r="AE180" s="2">
        <f t="shared" ref="AE180:AE182" si="213">(L180/2+40+P180+190)</f>
        <v>842</v>
      </c>
      <c r="AF180" s="2">
        <f t="shared" ref="AF180:AF182" si="214">(L180/2+40+P180+459)</f>
        <v>1111</v>
      </c>
      <c r="AG180" s="2" t="s">
        <v>47</v>
      </c>
      <c r="AH180" s="4">
        <f t="shared" ref="AH180:AH182" si="215">MAX(S180,AC180,AE180)</f>
        <v>930</v>
      </c>
      <c r="AI180" s="4">
        <f t="shared" ref="AI180:AI182" si="216">MIN(AD180,AF180)</f>
        <v>1111</v>
      </c>
      <c r="AJ180" s="4">
        <f t="shared" si="174"/>
        <v>694</v>
      </c>
      <c r="AK180" s="4">
        <f t="shared" si="175"/>
        <v>1054</v>
      </c>
      <c r="AL180" s="4">
        <f t="shared" ref="AL180:AL182" si="217">(AH180+AJ180)</f>
        <v>1624</v>
      </c>
      <c r="AM180" s="4">
        <f t="shared" ref="AM180:AM182" si="218">(AI180+AK180)</f>
        <v>2165</v>
      </c>
      <c r="AN180" s="4">
        <f>(280+M180+25+25)</f>
        <v>2430</v>
      </c>
      <c r="AO180" s="4">
        <v>3520</v>
      </c>
    </row>
    <row r="181" spans="1:41" s="2" customFormat="1" x14ac:dyDescent="0.2">
      <c r="A181">
        <f t="shared" si="181"/>
        <v>180</v>
      </c>
      <c r="B181" t="s">
        <v>52</v>
      </c>
      <c r="C181">
        <v>1</v>
      </c>
      <c r="D181" t="s">
        <v>49</v>
      </c>
      <c r="E181" s="10">
        <v>1</v>
      </c>
      <c r="F181" t="s">
        <v>10</v>
      </c>
      <c r="G181">
        <v>800</v>
      </c>
      <c r="H181" s="2">
        <f t="shared" si="206"/>
        <v>455</v>
      </c>
      <c r="I181" s="2">
        <f t="shared" si="207"/>
        <v>150</v>
      </c>
      <c r="J181" s="4" t="s">
        <v>18</v>
      </c>
      <c r="K181" s="4">
        <v>30</v>
      </c>
      <c r="L181" s="2">
        <v>1100</v>
      </c>
      <c r="M181" s="4">
        <v>2100</v>
      </c>
      <c r="N181" s="4">
        <v>1200</v>
      </c>
      <c r="O181" s="4">
        <v>780</v>
      </c>
      <c r="P181" s="4">
        <v>62</v>
      </c>
      <c r="Q181" s="4">
        <v>68</v>
      </c>
      <c r="R181" s="2" t="s">
        <v>47</v>
      </c>
      <c r="S181" s="2">
        <f t="shared" si="208"/>
        <v>835</v>
      </c>
      <c r="T181" s="2">
        <f t="shared" si="209"/>
        <v>590</v>
      </c>
      <c r="U181" s="4"/>
      <c r="V181" s="4"/>
      <c r="W181" s="4">
        <f t="shared" si="210"/>
        <v>694</v>
      </c>
      <c r="X181" s="4">
        <f t="shared" si="211"/>
        <v>1054</v>
      </c>
      <c r="Y181" s="4"/>
      <c r="Z181"/>
      <c r="AA181" s="4"/>
      <c r="AB181" s="4"/>
      <c r="AC181" s="2">
        <f t="shared" ref="AC181:AC199" si="219">(740+190)</f>
        <v>930</v>
      </c>
      <c r="AD181" s="2">
        <f t="shared" si="212"/>
        <v>1340</v>
      </c>
      <c r="AE181" s="2">
        <f t="shared" si="213"/>
        <v>842</v>
      </c>
      <c r="AF181" s="2">
        <f t="shared" si="214"/>
        <v>1111</v>
      </c>
      <c r="AG181" s="2" t="s">
        <v>47</v>
      </c>
      <c r="AH181" s="4">
        <f t="shared" si="215"/>
        <v>930</v>
      </c>
      <c r="AI181" s="4">
        <f t="shared" si="216"/>
        <v>1111</v>
      </c>
      <c r="AJ181" s="4">
        <f t="shared" si="174"/>
        <v>694</v>
      </c>
      <c r="AK181" s="4">
        <f t="shared" si="175"/>
        <v>1054</v>
      </c>
      <c r="AL181" s="4">
        <f t="shared" si="217"/>
        <v>1624</v>
      </c>
      <c r="AM181" s="4">
        <f t="shared" si="218"/>
        <v>2165</v>
      </c>
      <c r="AN181" s="4">
        <f t="shared" ref="AN181:AN182" si="220">(280+M181+25+25)</f>
        <v>2430</v>
      </c>
      <c r="AO181" s="4">
        <v>3520</v>
      </c>
    </row>
    <row r="182" spans="1:41" s="2" customFormat="1" x14ac:dyDescent="0.2">
      <c r="A182">
        <f t="shared" si="181"/>
        <v>181</v>
      </c>
      <c r="B182" t="s">
        <v>52</v>
      </c>
      <c r="C182">
        <v>1</v>
      </c>
      <c r="D182" t="s">
        <v>49</v>
      </c>
      <c r="E182" s="10">
        <v>1</v>
      </c>
      <c r="F182" t="s">
        <v>10</v>
      </c>
      <c r="G182">
        <v>800</v>
      </c>
      <c r="H182" s="2">
        <f t="shared" si="206"/>
        <v>455</v>
      </c>
      <c r="I182" s="2">
        <f t="shared" si="207"/>
        <v>150</v>
      </c>
      <c r="J182" s="4" t="s">
        <v>19</v>
      </c>
      <c r="K182" s="4">
        <v>0</v>
      </c>
      <c r="L182" s="2">
        <v>1100</v>
      </c>
      <c r="M182" s="4">
        <v>2100</v>
      </c>
      <c r="N182" s="4">
        <v>1200</v>
      </c>
      <c r="O182" s="4">
        <v>780</v>
      </c>
      <c r="P182" s="4">
        <v>62</v>
      </c>
      <c r="Q182" s="4">
        <v>68</v>
      </c>
      <c r="R182" s="2" t="s">
        <v>47</v>
      </c>
      <c r="S182" s="2">
        <f t="shared" si="208"/>
        <v>865</v>
      </c>
      <c r="T182" s="2">
        <f t="shared" si="209"/>
        <v>560</v>
      </c>
      <c r="U182" s="4"/>
      <c r="V182" s="4"/>
      <c r="W182" s="4">
        <f t="shared" si="210"/>
        <v>694</v>
      </c>
      <c r="X182" s="4">
        <f t="shared" si="211"/>
        <v>1054</v>
      </c>
      <c r="Y182" s="4"/>
      <c r="Z182"/>
      <c r="AA182" s="4"/>
      <c r="AB182" s="4"/>
      <c r="AC182" s="2">
        <f t="shared" si="219"/>
        <v>930</v>
      </c>
      <c r="AD182" s="2">
        <f t="shared" si="212"/>
        <v>1340</v>
      </c>
      <c r="AE182" s="2">
        <f t="shared" si="213"/>
        <v>842</v>
      </c>
      <c r="AF182" s="2">
        <f t="shared" si="214"/>
        <v>1111</v>
      </c>
      <c r="AG182" s="2" t="s">
        <v>47</v>
      </c>
      <c r="AH182" s="4">
        <f t="shared" si="215"/>
        <v>930</v>
      </c>
      <c r="AI182" s="4">
        <f t="shared" si="216"/>
        <v>1111</v>
      </c>
      <c r="AJ182" s="4">
        <f t="shared" si="174"/>
        <v>694</v>
      </c>
      <c r="AK182" s="4">
        <f t="shared" si="175"/>
        <v>1054</v>
      </c>
      <c r="AL182" s="4">
        <f t="shared" si="217"/>
        <v>1624</v>
      </c>
      <c r="AM182" s="4">
        <f t="shared" si="218"/>
        <v>2165</v>
      </c>
      <c r="AN182" s="4">
        <f t="shared" si="220"/>
        <v>2430</v>
      </c>
      <c r="AO182" s="4">
        <v>3520</v>
      </c>
    </row>
    <row r="183" spans="1:41" s="2" customFormat="1" x14ac:dyDescent="0.2">
      <c r="A183">
        <f t="shared" si="181"/>
        <v>182</v>
      </c>
      <c r="B183" t="s">
        <v>52</v>
      </c>
      <c r="C183">
        <v>1</v>
      </c>
      <c r="D183" t="s">
        <v>49</v>
      </c>
      <c r="E183" s="10">
        <v>1</v>
      </c>
      <c r="F183" t="s">
        <v>10</v>
      </c>
      <c r="G183">
        <v>900</v>
      </c>
      <c r="H183" s="2">
        <f>G183/2+IF(F183="CLD",65,55)</f>
        <v>505</v>
      </c>
      <c r="I183" s="2">
        <f>IF(F183="CLD",G183/2+65,150)</f>
        <v>150</v>
      </c>
      <c r="J183" s="4" t="s">
        <v>18</v>
      </c>
      <c r="K183" s="4">
        <v>50</v>
      </c>
      <c r="L183" s="2">
        <v>1100</v>
      </c>
      <c r="M183" s="4">
        <v>2100</v>
      </c>
      <c r="N183" s="4">
        <v>1200</v>
      </c>
      <c r="O183" s="4">
        <v>780</v>
      </c>
      <c r="P183" s="4">
        <v>62</v>
      </c>
      <c r="Q183" s="4">
        <v>68</v>
      </c>
      <c r="R183" s="2" t="s">
        <v>47</v>
      </c>
      <c r="S183" s="2">
        <f>(-K183+G183/2+H183+10)</f>
        <v>915</v>
      </c>
      <c r="T183" s="2">
        <f>(K183+G183/2+I183+10)</f>
        <v>660</v>
      </c>
      <c r="U183" s="4"/>
      <c r="V183" s="4"/>
      <c r="W183" s="4">
        <f>(L183/2+40+P183+42)</f>
        <v>694</v>
      </c>
      <c r="X183" s="4">
        <f>(L183/2+40+P183+402)</f>
        <v>1054</v>
      </c>
      <c r="Y183" s="4"/>
      <c r="Z183"/>
      <c r="AA183" s="4"/>
      <c r="AB183" s="4"/>
      <c r="AC183" s="2">
        <f t="shared" si="219"/>
        <v>930</v>
      </c>
      <c r="AD183" s="2">
        <f t="shared" si="212"/>
        <v>1340</v>
      </c>
      <c r="AE183" s="2">
        <f>(L183/2+40+P183+190)</f>
        <v>842</v>
      </c>
      <c r="AF183" s="2">
        <f>(L183/2+40+P183+459)</f>
        <v>1111</v>
      </c>
      <c r="AG183" s="2" t="s">
        <v>47</v>
      </c>
      <c r="AH183" s="4">
        <f>MAX(S183,AC183,AE183)</f>
        <v>930</v>
      </c>
      <c r="AI183" s="4">
        <f>MIN(AD183,AF183)</f>
        <v>1111</v>
      </c>
      <c r="AJ183" s="4">
        <f>MAX(T183,W183)</f>
        <v>694</v>
      </c>
      <c r="AK183" s="4">
        <f>X183</f>
        <v>1054</v>
      </c>
      <c r="AL183" s="4">
        <f>(AH183+AJ183)</f>
        <v>1624</v>
      </c>
      <c r="AM183" s="4">
        <f>(AI183+AK183)</f>
        <v>2165</v>
      </c>
      <c r="AN183" s="4">
        <f>(280+M183+25+25)</f>
        <v>2430</v>
      </c>
      <c r="AO183" s="4">
        <v>3520</v>
      </c>
    </row>
    <row r="184" spans="1:41" s="1" customFormat="1" x14ac:dyDescent="0.2">
      <c r="A184">
        <f t="shared" si="181"/>
        <v>183</v>
      </c>
      <c r="B184" s="1" t="s">
        <v>52</v>
      </c>
      <c r="C184" s="1">
        <v>1</v>
      </c>
      <c r="D184" s="1" t="s">
        <v>49</v>
      </c>
      <c r="E184" s="11">
        <v>1</v>
      </c>
      <c r="F184" s="1" t="s">
        <v>10</v>
      </c>
      <c r="G184" s="1">
        <v>1000</v>
      </c>
      <c r="H184" s="1">
        <f t="shared" ref="H184:H187" si="221">G184/2+IF(F184="CLD",65,55)</f>
        <v>555</v>
      </c>
      <c r="I184" s="1">
        <f t="shared" ref="I184:I187" si="222">IF(F184="CLD",G184/2+65,150)</f>
        <v>150</v>
      </c>
      <c r="J184" s="5" t="s">
        <v>18</v>
      </c>
      <c r="K184" s="5">
        <v>30</v>
      </c>
      <c r="L184" s="1">
        <v>1100</v>
      </c>
      <c r="M184" s="5">
        <v>2100</v>
      </c>
      <c r="N184" s="5">
        <v>1200</v>
      </c>
      <c r="O184" s="5">
        <v>780</v>
      </c>
      <c r="P184" s="5">
        <v>62</v>
      </c>
      <c r="Q184" s="5">
        <v>68</v>
      </c>
      <c r="R184" s="1" t="s">
        <v>47</v>
      </c>
      <c r="S184" s="1">
        <f t="shared" ref="S184:S187" si="223">(-K184+G184/2+H184+10)</f>
        <v>1035</v>
      </c>
      <c r="T184" s="1">
        <f t="shared" ref="T184:T187" si="224">(K184+G184/2+I184+10)</f>
        <v>690</v>
      </c>
      <c r="U184" s="5"/>
      <c r="V184" s="5"/>
      <c r="W184" s="5">
        <f t="shared" ref="W184:W187" si="225">(L184/2+40+P184+42)</f>
        <v>694</v>
      </c>
      <c r="X184" s="5">
        <f t="shared" ref="X184:X187" si="226">(L184/2+40+P184+402)</f>
        <v>1054</v>
      </c>
      <c r="Y184" s="5"/>
      <c r="AA184" s="5"/>
      <c r="AB184" s="5"/>
      <c r="AC184" s="1">
        <f t="shared" si="219"/>
        <v>930</v>
      </c>
      <c r="AD184" s="1">
        <f t="shared" si="212"/>
        <v>1340</v>
      </c>
      <c r="AE184" s="1">
        <f t="shared" ref="AE184:AE187" si="227">(L184/2+40+P184+190)</f>
        <v>842</v>
      </c>
      <c r="AF184" s="1">
        <f t="shared" ref="AF184:AF187" si="228">(L184/2+40+P184+459)</f>
        <v>1111</v>
      </c>
      <c r="AG184" s="1" t="s">
        <v>47</v>
      </c>
      <c r="AH184" s="5">
        <f t="shared" ref="AH184:AH187" si="229">MAX(S184,AC184,AE184)</f>
        <v>1035</v>
      </c>
      <c r="AI184" s="5">
        <f t="shared" ref="AI184:AI187" si="230">MIN(AD184,AF184)</f>
        <v>1111</v>
      </c>
      <c r="AJ184" s="5">
        <f t="shared" ref="AJ184:AJ187" si="231">MAX(T184,W184)</f>
        <v>694</v>
      </c>
      <c r="AK184" s="5">
        <f t="shared" ref="AK184:AK187" si="232">X184</f>
        <v>1054</v>
      </c>
      <c r="AL184" s="5">
        <f t="shared" ref="AL184:AL187" si="233">(AH184+AJ184)</f>
        <v>1729</v>
      </c>
      <c r="AM184" s="5">
        <f t="shared" ref="AM184:AM187" si="234">(AI184+AK184)</f>
        <v>2165</v>
      </c>
      <c r="AN184" s="5">
        <f t="shared" ref="AN184:AN187" si="235">(280+M184+25+25)</f>
        <v>2430</v>
      </c>
      <c r="AO184" s="5">
        <v>3520</v>
      </c>
    </row>
    <row r="185" spans="1:41" s="2" customFormat="1" x14ac:dyDescent="0.2">
      <c r="A185">
        <f t="shared" si="181"/>
        <v>184</v>
      </c>
      <c r="B185" t="s">
        <v>52</v>
      </c>
      <c r="C185">
        <v>1</v>
      </c>
      <c r="D185" t="s">
        <v>49</v>
      </c>
      <c r="E185" s="10">
        <v>1.6</v>
      </c>
      <c r="F185" t="s">
        <v>10</v>
      </c>
      <c r="G185" s="4">
        <v>700</v>
      </c>
      <c r="H185" s="2">
        <f t="shared" si="221"/>
        <v>405</v>
      </c>
      <c r="I185" s="2">
        <f t="shared" si="222"/>
        <v>150</v>
      </c>
      <c r="J185" s="4" t="s">
        <v>19</v>
      </c>
      <c r="K185" s="4">
        <v>0</v>
      </c>
      <c r="L185" s="2">
        <v>1100</v>
      </c>
      <c r="M185" s="4">
        <v>2100</v>
      </c>
      <c r="N185" s="4">
        <v>1200</v>
      </c>
      <c r="O185" s="4">
        <v>780</v>
      </c>
      <c r="P185" s="4">
        <v>62</v>
      </c>
      <c r="Q185" s="4">
        <v>68</v>
      </c>
      <c r="R185" s="2" t="s">
        <v>47</v>
      </c>
      <c r="S185" s="2">
        <f t="shared" si="223"/>
        <v>765</v>
      </c>
      <c r="T185" s="2">
        <f t="shared" si="224"/>
        <v>510</v>
      </c>
      <c r="U185" s="4"/>
      <c r="V185" s="4"/>
      <c r="W185" s="4">
        <f t="shared" si="225"/>
        <v>694</v>
      </c>
      <c r="X185" s="4">
        <f t="shared" si="226"/>
        <v>1054</v>
      </c>
      <c r="Y185" s="4"/>
      <c r="AA185" s="4"/>
      <c r="AB185" s="4"/>
      <c r="AC185" s="2">
        <f t="shared" si="219"/>
        <v>930</v>
      </c>
      <c r="AD185" s="2">
        <f t="shared" si="212"/>
        <v>1340</v>
      </c>
      <c r="AE185" s="2">
        <f t="shared" si="227"/>
        <v>842</v>
      </c>
      <c r="AF185" s="2">
        <f t="shared" si="228"/>
        <v>1111</v>
      </c>
      <c r="AG185" s="2" t="s">
        <v>47</v>
      </c>
      <c r="AH185" s="4">
        <f t="shared" si="229"/>
        <v>930</v>
      </c>
      <c r="AI185" s="4">
        <f t="shared" si="230"/>
        <v>1111</v>
      </c>
      <c r="AJ185" s="4">
        <f t="shared" si="231"/>
        <v>694</v>
      </c>
      <c r="AK185" s="4">
        <f t="shared" si="232"/>
        <v>1054</v>
      </c>
      <c r="AL185" s="4">
        <f t="shared" si="233"/>
        <v>1624</v>
      </c>
      <c r="AM185" s="4">
        <f t="shared" si="234"/>
        <v>2165</v>
      </c>
      <c r="AN185" s="4">
        <f t="shared" si="235"/>
        <v>2430</v>
      </c>
      <c r="AO185" s="4">
        <v>3520</v>
      </c>
    </row>
    <row r="186" spans="1:41" s="2" customFormat="1" x14ac:dyDescent="0.2">
      <c r="A186">
        <f t="shared" si="181"/>
        <v>185</v>
      </c>
      <c r="B186" t="s">
        <v>52</v>
      </c>
      <c r="C186">
        <v>1</v>
      </c>
      <c r="D186" t="s">
        <v>49</v>
      </c>
      <c r="E186" s="10">
        <v>1.6</v>
      </c>
      <c r="F186" t="s">
        <v>10</v>
      </c>
      <c r="G186">
        <v>800</v>
      </c>
      <c r="H186" s="2">
        <f t="shared" si="221"/>
        <v>455</v>
      </c>
      <c r="I186" s="2">
        <f t="shared" si="222"/>
        <v>150</v>
      </c>
      <c r="J186" s="4" t="s">
        <v>18</v>
      </c>
      <c r="K186" s="4">
        <v>30</v>
      </c>
      <c r="L186" s="2">
        <v>1100</v>
      </c>
      <c r="M186" s="4">
        <v>2100</v>
      </c>
      <c r="N186" s="4">
        <v>1200</v>
      </c>
      <c r="O186" s="4">
        <v>780</v>
      </c>
      <c r="P186" s="4">
        <v>62</v>
      </c>
      <c r="Q186" s="4">
        <v>68</v>
      </c>
      <c r="R186" s="2" t="s">
        <v>47</v>
      </c>
      <c r="S186" s="2">
        <f t="shared" si="223"/>
        <v>835</v>
      </c>
      <c r="T186" s="2">
        <f t="shared" si="224"/>
        <v>590</v>
      </c>
      <c r="U186" s="4"/>
      <c r="V186" s="4"/>
      <c r="W186" s="4">
        <f t="shared" si="225"/>
        <v>694</v>
      </c>
      <c r="X186" s="4">
        <f t="shared" si="226"/>
        <v>1054</v>
      </c>
      <c r="Y186" s="4"/>
      <c r="Z186"/>
      <c r="AA186" s="4"/>
      <c r="AB186" s="4"/>
      <c r="AC186" s="2">
        <f t="shared" si="219"/>
        <v>930</v>
      </c>
      <c r="AD186" s="2">
        <f t="shared" si="212"/>
        <v>1340</v>
      </c>
      <c r="AE186" s="2">
        <f t="shared" si="227"/>
        <v>842</v>
      </c>
      <c r="AF186" s="2">
        <f t="shared" si="228"/>
        <v>1111</v>
      </c>
      <c r="AG186" s="2" t="s">
        <v>47</v>
      </c>
      <c r="AH186" s="4">
        <f t="shared" si="229"/>
        <v>930</v>
      </c>
      <c r="AI186" s="4">
        <f t="shared" si="230"/>
        <v>1111</v>
      </c>
      <c r="AJ186" s="4">
        <f t="shared" si="231"/>
        <v>694</v>
      </c>
      <c r="AK186" s="4">
        <f t="shared" si="232"/>
        <v>1054</v>
      </c>
      <c r="AL186" s="4">
        <f t="shared" si="233"/>
        <v>1624</v>
      </c>
      <c r="AM186" s="4">
        <f t="shared" si="234"/>
        <v>2165</v>
      </c>
      <c r="AN186" s="4">
        <f t="shared" si="235"/>
        <v>2430</v>
      </c>
      <c r="AO186" s="4">
        <v>3520</v>
      </c>
    </row>
    <row r="187" spans="1:41" s="2" customFormat="1" x14ac:dyDescent="0.2">
      <c r="A187">
        <f t="shared" si="181"/>
        <v>186</v>
      </c>
      <c r="B187" t="s">
        <v>52</v>
      </c>
      <c r="C187">
        <v>1</v>
      </c>
      <c r="D187" t="s">
        <v>49</v>
      </c>
      <c r="E187" s="10">
        <v>1.6</v>
      </c>
      <c r="F187" t="s">
        <v>10</v>
      </c>
      <c r="G187">
        <v>800</v>
      </c>
      <c r="H187" s="2">
        <f t="shared" si="221"/>
        <v>455</v>
      </c>
      <c r="I187" s="2">
        <f t="shared" si="222"/>
        <v>150</v>
      </c>
      <c r="J187" s="4" t="s">
        <v>19</v>
      </c>
      <c r="K187" s="4">
        <v>0</v>
      </c>
      <c r="L187" s="2">
        <v>1100</v>
      </c>
      <c r="M187" s="4">
        <v>2100</v>
      </c>
      <c r="N187" s="4">
        <v>1200</v>
      </c>
      <c r="O187" s="4">
        <v>780</v>
      </c>
      <c r="P187" s="4">
        <v>62</v>
      </c>
      <c r="Q187" s="4">
        <v>68</v>
      </c>
      <c r="R187" s="2" t="s">
        <v>47</v>
      </c>
      <c r="S187" s="2">
        <f t="shared" si="223"/>
        <v>865</v>
      </c>
      <c r="T187" s="2">
        <f t="shared" si="224"/>
        <v>560</v>
      </c>
      <c r="U187" s="4"/>
      <c r="V187" s="4"/>
      <c r="W187" s="4">
        <f t="shared" si="225"/>
        <v>694</v>
      </c>
      <c r="X187" s="4">
        <f t="shared" si="226"/>
        <v>1054</v>
      </c>
      <c r="Y187" s="4"/>
      <c r="Z187"/>
      <c r="AA187" s="4"/>
      <c r="AB187" s="4"/>
      <c r="AC187" s="2">
        <f t="shared" si="219"/>
        <v>930</v>
      </c>
      <c r="AD187" s="2">
        <f t="shared" si="212"/>
        <v>1340</v>
      </c>
      <c r="AE187" s="2">
        <f t="shared" si="227"/>
        <v>842</v>
      </c>
      <c r="AF187" s="2">
        <f t="shared" si="228"/>
        <v>1111</v>
      </c>
      <c r="AG187" s="2" t="s">
        <v>47</v>
      </c>
      <c r="AH187" s="4">
        <f t="shared" si="229"/>
        <v>930</v>
      </c>
      <c r="AI187" s="4">
        <f t="shared" si="230"/>
        <v>1111</v>
      </c>
      <c r="AJ187" s="4">
        <f t="shared" si="231"/>
        <v>694</v>
      </c>
      <c r="AK187" s="4">
        <f t="shared" si="232"/>
        <v>1054</v>
      </c>
      <c r="AL187" s="4">
        <f t="shared" si="233"/>
        <v>1624</v>
      </c>
      <c r="AM187" s="4">
        <f t="shared" si="234"/>
        <v>2165</v>
      </c>
      <c r="AN187" s="4">
        <f t="shared" si="235"/>
        <v>2430</v>
      </c>
      <c r="AO187" s="4">
        <v>3520</v>
      </c>
    </row>
    <row r="188" spans="1:41" s="2" customFormat="1" x14ac:dyDescent="0.2">
      <c r="A188">
        <f t="shared" si="181"/>
        <v>187</v>
      </c>
      <c r="B188" t="s">
        <v>52</v>
      </c>
      <c r="C188">
        <v>1</v>
      </c>
      <c r="D188" t="s">
        <v>49</v>
      </c>
      <c r="E188" s="10">
        <v>1.6</v>
      </c>
      <c r="F188" t="s">
        <v>10</v>
      </c>
      <c r="G188">
        <v>900</v>
      </c>
      <c r="H188" s="2">
        <f>G188/2+IF(F188="CLD",65,55)</f>
        <v>505</v>
      </c>
      <c r="I188" s="2">
        <f>IF(F188="CLD",G188/2+65,150)</f>
        <v>150</v>
      </c>
      <c r="J188" s="4" t="s">
        <v>18</v>
      </c>
      <c r="K188" s="4">
        <v>50</v>
      </c>
      <c r="L188" s="2">
        <v>1100</v>
      </c>
      <c r="M188" s="4">
        <v>2100</v>
      </c>
      <c r="N188" s="4">
        <v>1200</v>
      </c>
      <c r="O188" s="4">
        <v>780</v>
      </c>
      <c r="P188" s="4">
        <v>62</v>
      </c>
      <c r="Q188" s="4">
        <v>68</v>
      </c>
      <c r="R188" s="2" t="s">
        <v>47</v>
      </c>
      <c r="S188" s="2">
        <f>(-K188+G188/2+H188+10)</f>
        <v>915</v>
      </c>
      <c r="T188" s="2">
        <f>(K188+G188/2+I188+10)</f>
        <v>660</v>
      </c>
      <c r="U188" s="4"/>
      <c r="V188" s="4"/>
      <c r="W188" s="4">
        <f>(L188/2+40+P188+42)</f>
        <v>694</v>
      </c>
      <c r="X188" s="4">
        <f>(L188/2+40+P188+402)</f>
        <v>1054</v>
      </c>
      <c r="Y188" s="4"/>
      <c r="Z188"/>
      <c r="AA188" s="4"/>
      <c r="AB188" s="4"/>
      <c r="AC188" s="2">
        <f t="shared" si="219"/>
        <v>930</v>
      </c>
      <c r="AD188" s="2">
        <f t="shared" si="212"/>
        <v>1340</v>
      </c>
      <c r="AE188" s="2">
        <f>(L188/2+40+P188+190)</f>
        <v>842</v>
      </c>
      <c r="AF188" s="2">
        <f>(L188/2+40+P188+459)</f>
        <v>1111</v>
      </c>
      <c r="AG188" s="2" t="s">
        <v>47</v>
      </c>
      <c r="AH188" s="4">
        <f>MAX(S188,AC188,AE188)</f>
        <v>930</v>
      </c>
      <c r="AI188" s="4">
        <f>MIN(AD188,AF188)</f>
        <v>1111</v>
      </c>
      <c r="AJ188" s="4">
        <f>MAX(T188,W188)</f>
        <v>694</v>
      </c>
      <c r="AK188" s="4">
        <f>X188</f>
        <v>1054</v>
      </c>
      <c r="AL188" s="4">
        <f>(AH188+AJ188)</f>
        <v>1624</v>
      </c>
      <c r="AM188" s="4">
        <f>(AI188+AK188)</f>
        <v>2165</v>
      </c>
      <c r="AN188" s="4">
        <f>(280+M188+25+25)</f>
        <v>2430</v>
      </c>
      <c r="AO188" s="4">
        <v>3520</v>
      </c>
    </row>
    <row r="189" spans="1:41" s="1" customFormat="1" x14ac:dyDescent="0.2">
      <c r="A189">
        <f t="shared" si="181"/>
        <v>188</v>
      </c>
      <c r="B189" s="1" t="s">
        <v>52</v>
      </c>
      <c r="C189" s="1">
        <v>1</v>
      </c>
      <c r="D189" s="1" t="s">
        <v>49</v>
      </c>
      <c r="E189" s="11">
        <v>1.6</v>
      </c>
      <c r="F189" s="1" t="s">
        <v>10</v>
      </c>
      <c r="G189" s="1">
        <v>1000</v>
      </c>
      <c r="H189" s="1">
        <f t="shared" ref="H189:H192" si="236">G189/2+IF(F189="CLD",65,55)</f>
        <v>555</v>
      </c>
      <c r="I189" s="1">
        <f t="shared" ref="I189:I192" si="237">IF(F189="CLD",G189/2+65,150)</f>
        <v>150</v>
      </c>
      <c r="J189" s="5" t="s">
        <v>18</v>
      </c>
      <c r="K189" s="5">
        <v>30</v>
      </c>
      <c r="L189" s="1">
        <v>1100</v>
      </c>
      <c r="M189" s="5">
        <v>2100</v>
      </c>
      <c r="N189" s="5">
        <v>1200</v>
      </c>
      <c r="O189" s="5">
        <v>780</v>
      </c>
      <c r="P189" s="5">
        <v>62</v>
      </c>
      <c r="Q189" s="5">
        <v>68</v>
      </c>
      <c r="R189" s="1" t="s">
        <v>47</v>
      </c>
      <c r="S189" s="1">
        <f t="shared" ref="S189:S192" si="238">(-K189+G189/2+H189+10)</f>
        <v>1035</v>
      </c>
      <c r="T189" s="1">
        <f t="shared" ref="T189:T192" si="239">(K189+G189/2+I189+10)</f>
        <v>690</v>
      </c>
      <c r="U189" s="5"/>
      <c r="V189" s="5"/>
      <c r="W189" s="5">
        <f t="shared" ref="W189:W192" si="240">(L189/2+40+P189+42)</f>
        <v>694</v>
      </c>
      <c r="X189" s="5">
        <f t="shared" ref="X189:X192" si="241">(L189/2+40+P189+402)</f>
        <v>1054</v>
      </c>
      <c r="Y189" s="5"/>
      <c r="AA189" s="5"/>
      <c r="AB189" s="5"/>
      <c r="AC189" s="1">
        <f t="shared" si="219"/>
        <v>930</v>
      </c>
      <c r="AD189" s="1">
        <f t="shared" si="212"/>
        <v>1340</v>
      </c>
      <c r="AE189" s="1">
        <f t="shared" ref="AE189:AE192" si="242">(L189/2+40+P189+190)</f>
        <v>842</v>
      </c>
      <c r="AF189" s="1">
        <f t="shared" ref="AF189:AF192" si="243">(L189/2+40+P189+459)</f>
        <v>1111</v>
      </c>
      <c r="AG189" s="1" t="s">
        <v>47</v>
      </c>
      <c r="AH189" s="5">
        <f t="shared" ref="AH189:AH192" si="244">MAX(S189,AC189,AE189)</f>
        <v>1035</v>
      </c>
      <c r="AI189" s="5">
        <f t="shared" ref="AI189:AI192" si="245">MIN(AD189,AF189)</f>
        <v>1111</v>
      </c>
      <c r="AJ189" s="5">
        <f t="shared" ref="AJ189:AJ192" si="246">MAX(T189,W189)</f>
        <v>694</v>
      </c>
      <c r="AK189" s="5">
        <f t="shared" ref="AK189:AK192" si="247">X189</f>
        <v>1054</v>
      </c>
      <c r="AL189" s="5">
        <f t="shared" ref="AL189:AL192" si="248">(AH189+AJ189)</f>
        <v>1729</v>
      </c>
      <c r="AM189" s="5">
        <f t="shared" ref="AM189:AM192" si="249">(AI189+AK189)</f>
        <v>2165</v>
      </c>
      <c r="AN189" s="5">
        <f t="shared" ref="AN189" si="250">(280+M189+25+25)</f>
        <v>2430</v>
      </c>
      <c r="AO189" s="5">
        <v>3520</v>
      </c>
    </row>
    <row r="190" spans="1:41" s="2" customFormat="1" x14ac:dyDescent="0.2">
      <c r="A190">
        <f t="shared" si="181"/>
        <v>189</v>
      </c>
      <c r="B190" t="s">
        <v>52</v>
      </c>
      <c r="C190">
        <v>2</v>
      </c>
      <c r="D190" t="s">
        <v>49</v>
      </c>
      <c r="E190" s="10">
        <v>1</v>
      </c>
      <c r="F190" t="s">
        <v>10</v>
      </c>
      <c r="G190" s="4">
        <v>700</v>
      </c>
      <c r="H190" s="2">
        <f t="shared" si="236"/>
        <v>405</v>
      </c>
      <c r="I190" s="2">
        <f t="shared" si="237"/>
        <v>150</v>
      </c>
      <c r="J190" s="4" t="s">
        <v>19</v>
      </c>
      <c r="K190" s="4">
        <v>0</v>
      </c>
      <c r="L190" s="2">
        <v>1100</v>
      </c>
      <c r="M190" s="4">
        <v>2100</v>
      </c>
      <c r="N190" s="4">
        <v>1200</v>
      </c>
      <c r="O190" s="4">
        <v>780</v>
      </c>
      <c r="P190" s="4">
        <v>62</v>
      </c>
      <c r="Q190" s="4">
        <v>68</v>
      </c>
      <c r="R190" s="2" t="s">
        <v>47</v>
      </c>
      <c r="S190" s="2">
        <f t="shared" si="238"/>
        <v>765</v>
      </c>
      <c r="T190" s="2">
        <f t="shared" si="239"/>
        <v>510</v>
      </c>
      <c r="U190" s="4"/>
      <c r="V190" s="4"/>
      <c r="W190" s="4">
        <f t="shared" si="240"/>
        <v>694</v>
      </c>
      <c r="X190" s="4">
        <f t="shared" si="241"/>
        <v>1054</v>
      </c>
      <c r="Y190" s="4"/>
      <c r="AA190" s="4"/>
      <c r="AB190" s="4"/>
      <c r="AC190" s="2">
        <f t="shared" si="219"/>
        <v>930</v>
      </c>
      <c r="AD190" s="2">
        <f t="shared" si="212"/>
        <v>1340</v>
      </c>
      <c r="AE190" s="2">
        <f t="shared" si="242"/>
        <v>842</v>
      </c>
      <c r="AF190" s="2">
        <f t="shared" si="243"/>
        <v>1111</v>
      </c>
      <c r="AG190" s="2" t="s">
        <v>47</v>
      </c>
      <c r="AH190" s="4">
        <f t="shared" si="244"/>
        <v>930</v>
      </c>
      <c r="AI190" s="4">
        <f t="shared" si="245"/>
        <v>1111</v>
      </c>
      <c r="AJ190" s="4">
        <f t="shared" si="246"/>
        <v>694</v>
      </c>
      <c r="AK190" s="4">
        <f t="shared" si="247"/>
        <v>1054</v>
      </c>
      <c r="AL190" s="4">
        <f t="shared" si="248"/>
        <v>1624</v>
      </c>
      <c r="AM190" s="4">
        <f t="shared" si="249"/>
        <v>2165</v>
      </c>
      <c r="AN190" s="4">
        <f t="shared" ref="AN190:AN192" si="251">(280+M190+280)</f>
        <v>2660</v>
      </c>
      <c r="AO190" s="4">
        <f t="shared" ref="AO190:AO192" si="252">(280+M190+280)</f>
        <v>2660</v>
      </c>
    </row>
    <row r="191" spans="1:41" s="2" customFormat="1" x14ac:dyDescent="0.2">
      <c r="A191">
        <f t="shared" si="181"/>
        <v>190</v>
      </c>
      <c r="B191" t="s">
        <v>52</v>
      </c>
      <c r="C191">
        <v>2</v>
      </c>
      <c r="D191" t="s">
        <v>49</v>
      </c>
      <c r="E191" s="10">
        <v>1</v>
      </c>
      <c r="F191" t="s">
        <v>10</v>
      </c>
      <c r="G191">
        <v>800</v>
      </c>
      <c r="H191" s="2">
        <f t="shared" si="236"/>
        <v>455</v>
      </c>
      <c r="I191" s="2">
        <f t="shared" si="237"/>
        <v>150</v>
      </c>
      <c r="J191" s="4" t="s">
        <v>18</v>
      </c>
      <c r="K191" s="4">
        <v>30</v>
      </c>
      <c r="L191" s="2">
        <v>1100</v>
      </c>
      <c r="M191" s="4">
        <v>2100</v>
      </c>
      <c r="N191" s="4">
        <v>1200</v>
      </c>
      <c r="O191" s="4">
        <v>780</v>
      </c>
      <c r="P191" s="4">
        <v>62</v>
      </c>
      <c r="Q191" s="4">
        <v>68</v>
      </c>
      <c r="R191" s="2" t="s">
        <v>47</v>
      </c>
      <c r="S191" s="2">
        <f t="shared" si="238"/>
        <v>835</v>
      </c>
      <c r="T191" s="2">
        <f t="shared" si="239"/>
        <v>590</v>
      </c>
      <c r="U191" s="4"/>
      <c r="V191" s="4"/>
      <c r="W191" s="4">
        <f t="shared" si="240"/>
        <v>694</v>
      </c>
      <c r="X191" s="4">
        <f t="shared" si="241"/>
        <v>1054</v>
      </c>
      <c r="Y191" s="4"/>
      <c r="Z191"/>
      <c r="AA191" s="4"/>
      <c r="AB191" s="4"/>
      <c r="AC191" s="2">
        <f t="shared" si="219"/>
        <v>930</v>
      </c>
      <c r="AD191" s="2">
        <f t="shared" si="212"/>
        <v>1340</v>
      </c>
      <c r="AE191" s="2">
        <f t="shared" si="242"/>
        <v>842</v>
      </c>
      <c r="AF191" s="2">
        <f t="shared" si="243"/>
        <v>1111</v>
      </c>
      <c r="AG191" s="2" t="s">
        <v>47</v>
      </c>
      <c r="AH191" s="4">
        <f t="shared" si="244"/>
        <v>930</v>
      </c>
      <c r="AI191" s="4">
        <f t="shared" si="245"/>
        <v>1111</v>
      </c>
      <c r="AJ191" s="4">
        <f t="shared" si="246"/>
        <v>694</v>
      </c>
      <c r="AK191" s="4">
        <f t="shared" si="247"/>
        <v>1054</v>
      </c>
      <c r="AL191" s="4">
        <f t="shared" si="248"/>
        <v>1624</v>
      </c>
      <c r="AM191" s="4">
        <f t="shared" si="249"/>
        <v>2165</v>
      </c>
      <c r="AN191" s="4">
        <f t="shared" si="251"/>
        <v>2660</v>
      </c>
      <c r="AO191" s="4">
        <f t="shared" si="252"/>
        <v>2660</v>
      </c>
    </row>
    <row r="192" spans="1:41" s="2" customFormat="1" x14ac:dyDescent="0.2">
      <c r="A192">
        <f t="shared" si="181"/>
        <v>191</v>
      </c>
      <c r="B192" t="s">
        <v>52</v>
      </c>
      <c r="C192">
        <v>2</v>
      </c>
      <c r="D192" t="s">
        <v>49</v>
      </c>
      <c r="E192" s="10">
        <v>1</v>
      </c>
      <c r="F192" t="s">
        <v>10</v>
      </c>
      <c r="G192">
        <v>800</v>
      </c>
      <c r="H192" s="2">
        <f t="shared" si="236"/>
        <v>455</v>
      </c>
      <c r="I192" s="2">
        <f t="shared" si="237"/>
        <v>150</v>
      </c>
      <c r="J192" s="4" t="s">
        <v>19</v>
      </c>
      <c r="K192" s="4">
        <v>0</v>
      </c>
      <c r="L192" s="2">
        <v>1100</v>
      </c>
      <c r="M192" s="4">
        <v>2100</v>
      </c>
      <c r="N192" s="4">
        <v>1200</v>
      </c>
      <c r="O192" s="4">
        <v>780</v>
      </c>
      <c r="P192" s="4">
        <v>62</v>
      </c>
      <c r="Q192" s="4">
        <v>68</v>
      </c>
      <c r="R192" s="2" t="s">
        <v>47</v>
      </c>
      <c r="S192" s="2">
        <f t="shared" si="238"/>
        <v>865</v>
      </c>
      <c r="T192" s="2">
        <f t="shared" si="239"/>
        <v>560</v>
      </c>
      <c r="U192" s="4"/>
      <c r="V192" s="4"/>
      <c r="W192" s="4">
        <f t="shared" si="240"/>
        <v>694</v>
      </c>
      <c r="X192" s="4">
        <f t="shared" si="241"/>
        <v>1054</v>
      </c>
      <c r="Y192" s="4"/>
      <c r="Z192"/>
      <c r="AA192" s="4"/>
      <c r="AB192" s="4"/>
      <c r="AC192" s="2">
        <f t="shared" si="219"/>
        <v>930</v>
      </c>
      <c r="AD192" s="2">
        <f t="shared" si="212"/>
        <v>1340</v>
      </c>
      <c r="AE192" s="2">
        <f t="shared" si="242"/>
        <v>842</v>
      </c>
      <c r="AF192" s="2">
        <f t="shared" si="243"/>
        <v>1111</v>
      </c>
      <c r="AG192" s="2" t="s">
        <v>47</v>
      </c>
      <c r="AH192" s="4">
        <f t="shared" si="244"/>
        <v>930</v>
      </c>
      <c r="AI192" s="4">
        <f t="shared" si="245"/>
        <v>1111</v>
      </c>
      <c r="AJ192" s="4">
        <f t="shared" si="246"/>
        <v>694</v>
      </c>
      <c r="AK192" s="4">
        <f t="shared" si="247"/>
        <v>1054</v>
      </c>
      <c r="AL192" s="4">
        <f t="shared" si="248"/>
        <v>1624</v>
      </c>
      <c r="AM192" s="4">
        <f t="shared" si="249"/>
        <v>2165</v>
      </c>
      <c r="AN192" s="4">
        <f t="shared" si="251"/>
        <v>2660</v>
      </c>
      <c r="AO192" s="4">
        <f t="shared" si="252"/>
        <v>2660</v>
      </c>
    </row>
    <row r="193" spans="1:41" s="2" customFormat="1" x14ac:dyDescent="0.2">
      <c r="A193">
        <f t="shared" si="181"/>
        <v>192</v>
      </c>
      <c r="B193" t="s">
        <v>52</v>
      </c>
      <c r="C193">
        <v>2</v>
      </c>
      <c r="D193" t="s">
        <v>49</v>
      </c>
      <c r="E193" s="10">
        <v>1</v>
      </c>
      <c r="F193" t="s">
        <v>10</v>
      </c>
      <c r="G193">
        <v>900</v>
      </c>
      <c r="H193" s="2">
        <f>G193/2+IF(F193="CLD",65,55)</f>
        <v>505</v>
      </c>
      <c r="I193" s="2">
        <f>IF(F193="CLD",G193/2+65,150)</f>
        <v>150</v>
      </c>
      <c r="J193" s="4" t="s">
        <v>18</v>
      </c>
      <c r="K193" s="4">
        <v>50</v>
      </c>
      <c r="L193" s="2">
        <v>1100</v>
      </c>
      <c r="M193" s="4">
        <v>2100</v>
      </c>
      <c r="N193" s="4">
        <v>1200</v>
      </c>
      <c r="O193" s="4">
        <v>780</v>
      </c>
      <c r="P193" s="4">
        <v>62</v>
      </c>
      <c r="Q193" s="4">
        <v>68</v>
      </c>
      <c r="R193" s="2" t="s">
        <v>47</v>
      </c>
      <c r="S193" s="2">
        <f>(-K193+G193/2+H193+10)</f>
        <v>915</v>
      </c>
      <c r="T193" s="2">
        <f>(K193+G193/2+I193+10)</f>
        <v>660</v>
      </c>
      <c r="U193" s="4"/>
      <c r="V193" s="4"/>
      <c r="W193" s="4">
        <f>(L193/2+40+P193+42)</f>
        <v>694</v>
      </c>
      <c r="X193" s="4">
        <f>(L193/2+40+P193+402)</f>
        <v>1054</v>
      </c>
      <c r="Y193" s="4"/>
      <c r="Z193"/>
      <c r="AA193" s="4"/>
      <c r="AB193" s="4"/>
      <c r="AC193" s="2">
        <f t="shared" si="219"/>
        <v>930</v>
      </c>
      <c r="AD193" s="2">
        <f t="shared" si="212"/>
        <v>1340</v>
      </c>
      <c r="AE193" s="2">
        <f>(L193/2+40+P193+190)</f>
        <v>842</v>
      </c>
      <c r="AF193" s="2">
        <f>(L193/2+40+P193+459)</f>
        <v>1111</v>
      </c>
      <c r="AG193" s="2" t="s">
        <v>47</v>
      </c>
      <c r="AH193" s="4">
        <f>MAX(S193,AC193,AE193)</f>
        <v>930</v>
      </c>
      <c r="AI193" s="4">
        <f>MIN(AD193,AF193)</f>
        <v>1111</v>
      </c>
      <c r="AJ193" s="4">
        <f>MAX(T193,W193)</f>
        <v>694</v>
      </c>
      <c r="AK193" s="4">
        <f>X193</f>
        <v>1054</v>
      </c>
      <c r="AL193" s="4">
        <f>(AH193+AJ193)</f>
        <v>1624</v>
      </c>
      <c r="AM193" s="4">
        <f>(AI193+AK193)</f>
        <v>2165</v>
      </c>
      <c r="AN193" s="4">
        <f>(280+M193+280)</f>
        <v>2660</v>
      </c>
      <c r="AO193" s="4">
        <f>(280+M193+280)</f>
        <v>2660</v>
      </c>
    </row>
    <row r="194" spans="1:41" s="1" customFormat="1" x14ac:dyDescent="0.2">
      <c r="A194">
        <f t="shared" si="181"/>
        <v>193</v>
      </c>
      <c r="B194" s="1" t="s">
        <v>52</v>
      </c>
      <c r="C194" s="1">
        <v>2</v>
      </c>
      <c r="D194" s="1" t="s">
        <v>49</v>
      </c>
      <c r="E194" s="11">
        <v>1</v>
      </c>
      <c r="F194" s="1" t="s">
        <v>10</v>
      </c>
      <c r="G194" s="1">
        <v>1000</v>
      </c>
      <c r="H194" s="1">
        <f t="shared" ref="H194:H197" si="253">G194/2+IF(F194="CLD",65,55)</f>
        <v>555</v>
      </c>
      <c r="I194" s="1">
        <f t="shared" ref="I194:I197" si="254">IF(F194="CLD",G194/2+65,150)</f>
        <v>150</v>
      </c>
      <c r="J194" s="5" t="s">
        <v>18</v>
      </c>
      <c r="K194" s="5">
        <v>30</v>
      </c>
      <c r="L194" s="1">
        <v>1100</v>
      </c>
      <c r="M194" s="5">
        <v>2100</v>
      </c>
      <c r="N194" s="5">
        <v>1200</v>
      </c>
      <c r="O194" s="5">
        <v>780</v>
      </c>
      <c r="P194" s="5">
        <v>62</v>
      </c>
      <c r="Q194" s="5">
        <v>68</v>
      </c>
      <c r="R194" s="1" t="s">
        <v>47</v>
      </c>
      <c r="S194" s="1">
        <f t="shared" ref="S194:S197" si="255">(-K194+G194/2+H194+10)</f>
        <v>1035</v>
      </c>
      <c r="T194" s="1">
        <f t="shared" ref="T194:T197" si="256">(K194+G194/2+I194+10)</f>
        <v>690</v>
      </c>
      <c r="U194" s="5"/>
      <c r="V194" s="5"/>
      <c r="W194" s="5">
        <f t="shared" ref="W194:W197" si="257">(L194/2+40+P194+42)</f>
        <v>694</v>
      </c>
      <c r="X194" s="5">
        <f t="shared" ref="X194:X197" si="258">(L194/2+40+P194+402)</f>
        <v>1054</v>
      </c>
      <c r="Y194" s="5"/>
      <c r="AA194" s="5"/>
      <c r="AB194" s="5"/>
      <c r="AC194" s="1">
        <f t="shared" si="219"/>
        <v>930</v>
      </c>
      <c r="AD194" s="1">
        <f t="shared" si="212"/>
        <v>1340</v>
      </c>
      <c r="AE194" s="1">
        <f t="shared" ref="AE194:AE197" si="259">(L194/2+40+P194+190)</f>
        <v>842</v>
      </c>
      <c r="AF194" s="1">
        <f t="shared" ref="AF194:AF197" si="260">(L194/2+40+P194+459)</f>
        <v>1111</v>
      </c>
      <c r="AG194" s="1" t="s">
        <v>47</v>
      </c>
      <c r="AH194" s="5">
        <f t="shared" ref="AH194:AH197" si="261">MAX(S194,AC194,AE194)</f>
        <v>1035</v>
      </c>
      <c r="AI194" s="5">
        <f t="shared" ref="AI194:AI197" si="262">MIN(AD194,AF194)</f>
        <v>1111</v>
      </c>
      <c r="AJ194" s="5">
        <f t="shared" ref="AJ194:AJ197" si="263">MAX(T194,W194)</f>
        <v>694</v>
      </c>
      <c r="AK194" s="5">
        <f t="shared" ref="AK194:AK197" si="264">X194</f>
        <v>1054</v>
      </c>
      <c r="AL194" s="5">
        <f t="shared" ref="AL194:AL197" si="265">(AH194+AJ194)</f>
        <v>1729</v>
      </c>
      <c r="AM194" s="5">
        <f t="shared" ref="AM194:AM197" si="266">(AI194+AK194)</f>
        <v>2165</v>
      </c>
      <c r="AN194" s="5">
        <f t="shared" ref="AN194:AN197" si="267">(280+M194+280)</f>
        <v>2660</v>
      </c>
      <c r="AO194" s="5">
        <f t="shared" ref="AO194:AO197" si="268">(280+M194+280)</f>
        <v>2660</v>
      </c>
    </row>
    <row r="195" spans="1:41" s="2" customFormat="1" x14ac:dyDescent="0.2">
      <c r="A195">
        <f t="shared" si="181"/>
        <v>194</v>
      </c>
      <c r="B195" t="s">
        <v>52</v>
      </c>
      <c r="C195">
        <v>2</v>
      </c>
      <c r="D195" t="s">
        <v>49</v>
      </c>
      <c r="E195" s="10">
        <v>1.6</v>
      </c>
      <c r="F195" t="s">
        <v>10</v>
      </c>
      <c r="G195" s="4">
        <v>700</v>
      </c>
      <c r="H195" s="2">
        <f t="shared" si="253"/>
        <v>405</v>
      </c>
      <c r="I195" s="2">
        <f t="shared" si="254"/>
        <v>150</v>
      </c>
      <c r="J195" s="4" t="s">
        <v>19</v>
      </c>
      <c r="K195" s="4">
        <v>0</v>
      </c>
      <c r="L195" s="2">
        <v>1100</v>
      </c>
      <c r="M195" s="4">
        <v>2100</v>
      </c>
      <c r="N195" s="4">
        <v>1200</v>
      </c>
      <c r="O195" s="4">
        <v>780</v>
      </c>
      <c r="P195" s="4">
        <v>62</v>
      </c>
      <c r="Q195" s="4">
        <v>68</v>
      </c>
      <c r="R195" s="2" t="s">
        <v>47</v>
      </c>
      <c r="S195" s="2">
        <f t="shared" si="255"/>
        <v>765</v>
      </c>
      <c r="T195" s="2">
        <f t="shared" si="256"/>
        <v>510</v>
      </c>
      <c r="U195" s="4"/>
      <c r="V195" s="4"/>
      <c r="W195" s="4">
        <f t="shared" si="257"/>
        <v>694</v>
      </c>
      <c r="X195" s="4">
        <f t="shared" si="258"/>
        <v>1054</v>
      </c>
      <c r="Y195" s="4"/>
      <c r="AA195" s="4"/>
      <c r="AB195" s="4"/>
      <c r="AC195" s="2">
        <f t="shared" si="219"/>
        <v>930</v>
      </c>
      <c r="AD195" s="2">
        <f t="shared" si="212"/>
        <v>1340</v>
      </c>
      <c r="AE195" s="2">
        <f t="shared" si="259"/>
        <v>842</v>
      </c>
      <c r="AF195" s="2">
        <f t="shared" si="260"/>
        <v>1111</v>
      </c>
      <c r="AG195" s="2" t="s">
        <v>47</v>
      </c>
      <c r="AH195" s="4">
        <f t="shared" si="261"/>
        <v>930</v>
      </c>
      <c r="AI195" s="4">
        <f t="shared" si="262"/>
        <v>1111</v>
      </c>
      <c r="AJ195" s="4">
        <f t="shared" si="263"/>
        <v>694</v>
      </c>
      <c r="AK195" s="4">
        <f t="shared" si="264"/>
        <v>1054</v>
      </c>
      <c r="AL195" s="4">
        <f t="shared" si="265"/>
        <v>1624</v>
      </c>
      <c r="AM195" s="4">
        <f t="shared" si="266"/>
        <v>2165</v>
      </c>
      <c r="AN195" s="4">
        <f t="shared" si="267"/>
        <v>2660</v>
      </c>
      <c r="AO195" s="4">
        <f t="shared" si="268"/>
        <v>2660</v>
      </c>
    </row>
    <row r="196" spans="1:41" s="2" customFormat="1" x14ac:dyDescent="0.2">
      <c r="A196">
        <f t="shared" si="181"/>
        <v>195</v>
      </c>
      <c r="B196" t="s">
        <v>52</v>
      </c>
      <c r="C196">
        <v>2</v>
      </c>
      <c r="D196" t="s">
        <v>49</v>
      </c>
      <c r="E196" s="10">
        <v>1.6</v>
      </c>
      <c r="F196" t="s">
        <v>10</v>
      </c>
      <c r="G196">
        <v>800</v>
      </c>
      <c r="H196" s="2">
        <f t="shared" si="253"/>
        <v>455</v>
      </c>
      <c r="I196" s="2">
        <f t="shared" si="254"/>
        <v>150</v>
      </c>
      <c r="J196" s="4" t="s">
        <v>18</v>
      </c>
      <c r="K196" s="4">
        <v>30</v>
      </c>
      <c r="L196" s="2">
        <v>1100</v>
      </c>
      <c r="M196" s="4">
        <v>2100</v>
      </c>
      <c r="N196" s="4">
        <v>1200</v>
      </c>
      <c r="O196" s="4">
        <v>780</v>
      </c>
      <c r="P196" s="4">
        <v>62</v>
      </c>
      <c r="Q196" s="4">
        <v>68</v>
      </c>
      <c r="R196" s="2" t="s">
        <v>47</v>
      </c>
      <c r="S196" s="2">
        <f t="shared" si="255"/>
        <v>835</v>
      </c>
      <c r="T196" s="2">
        <f t="shared" si="256"/>
        <v>590</v>
      </c>
      <c r="U196" s="4"/>
      <c r="V196" s="4"/>
      <c r="W196" s="4">
        <f t="shared" si="257"/>
        <v>694</v>
      </c>
      <c r="X196" s="4">
        <f t="shared" si="258"/>
        <v>1054</v>
      </c>
      <c r="Y196" s="4"/>
      <c r="Z196"/>
      <c r="AA196" s="4"/>
      <c r="AB196" s="4"/>
      <c r="AC196" s="2">
        <f t="shared" si="219"/>
        <v>930</v>
      </c>
      <c r="AD196" s="2">
        <f t="shared" si="212"/>
        <v>1340</v>
      </c>
      <c r="AE196" s="2">
        <f t="shared" si="259"/>
        <v>842</v>
      </c>
      <c r="AF196" s="2">
        <f t="shared" si="260"/>
        <v>1111</v>
      </c>
      <c r="AG196" s="2" t="s">
        <v>47</v>
      </c>
      <c r="AH196" s="4">
        <f t="shared" si="261"/>
        <v>930</v>
      </c>
      <c r="AI196" s="4">
        <f t="shared" si="262"/>
        <v>1111</v>
      </c>
      <c r="AJ196" s="4">
        <f t="shared" si="263"/>
        <v>694</v>
      </c>
      <c r="AK196" s="4">
        <f t="shared" si="264"/>
        <v>1054</v>
      </c>
      <c r="AL196" s="4">
        <f t="shared" si="265"/>
        <v>1624</v>
      </c>
      <c r="AM196" s="4">
        <f t="shared" si="266"/>
        <v>2165</v>
      </c>
      <c r="AN196" s="4">
        <f t="shared" si="267"/>
        <v>2660</v>
      </c>
      <c r="AO196" s="4">
        <f t="shared" si="268"/>
        <v>2660</v>
      </c>
    </row>
    <row r="197" spans="1:41" s="2" customFormat="1" x14ac:dyDescent="0.2">
      <c r="A197">
        <f t="shared" si="181"/>
        <v>196</v>
      </c>
      <c r="B197" t="s">
        <v>52</v>
      </c>
      <c r="C197">
        <v>2</v>
      </c>
      <c r="D197" t="s">
        <v>49</v>
      </c>
      <c r="E197" s="10">
        <v>1.6</v>
      </c>
      <c r="F197" t="s">
        <v>10</v>
      </c>
      <c r="G197">
        <v>800</v>
      </c>
      <c r="H197" s="2">
        <f t="shared" si="253"/>
        <v>455</v>
      </c>
      <c r="I197" s="2">
        <f t="shared" si="254"/>
        <v>150</v>
      </c>
      <c r="J197" s="4" t="s">
        <v>19</v>
      </c>
      <c r="K197" s="4">
        <v>0</v>
      </c>
      <c r="L197" s="2">
        <v>1100</v>
      </c>
      <c r="M197" s="4">
        <v>2100</v>
      </c>
      <c r="N197" s="4">
        <v>1200</v>
      </c>
      <c r="O197" s="4">
        <v>780</v>
      </c>
      <c r="P197" s="4">
        <v>62</v>
      </c>
      <c r="Q197" s="4">
        <v>68</v>
      </c>
      <c r="R197" s="2" t="s">
        <v>47</v>
      </c>
      <c r="S197" s="2">
        <f t="shared" si="255"/>
        <v>865</v>
      </c>
      <c r="T197" s="2">
        <f t="shared" si="256"/>
        <v>560</v>
      </c>
      <c r="U197" s="4"/>
      <c r="V197" s="4"/>
      <c r="W197" s="4">
        <f t="shared" si="257"/>
        <v>694</v>
      </c>
      <c r="X197" s="4">
        <f t="shared" si="258"/>
        <v>1054</v>
      </c>
      <c r="Y197" s="4"/>
      <c r="Z197"/>
      <c r="AA197" s="4"/>
      <c r="AB197" s="4"/>
      <c r="AC197" s="2">
        <f t="shared" si="219"/>
        <v>930</v>
      </c>
      <c r="AD197" s="2">
        <f t="shared" si="212"/>
        <v>1340</v>
      </c>
      <c r="AE197" s="2">
        <f t="shared" si="259"/>
        <v>842</v>
      </c>
      <c r="AF197" s="2">
        <f t="shared" si="260"/>
        <v>1111</v>
      </c>
      <c r="AG197" s="2" t="s">
        <v>47</v>
      </c>
      <c r="AH197" s="4">
        <f t="shared" si="261"/>
        <v>930</v>
      </c>
      <c r="AI197" s="4">
        <f t="shared" si="262"/>
        <v>1111</v>
      </c>
      <c r="AJ197" s="4">
        <f t="shared" si="263"/>
        <v>694</v>
      </c>
      <c r="AK197" s="4">
        <f t="shared" si="264"/>
        <v>1054</v>
      </c>
      <c r="AL197" s="4">
        <f t="shared" si="265"/>
        <v>1624</v>
      </c>
      <c r="AM197" s="4">
        <f t="shared" si="266"/>
        <v>2165</v>
      </c>
      <c r="AN197" s="4">
        <f t="shared" si="267"/>
        <v>2660</v>
      </c>
      <c r="AO197" s="4">
        <f t="shared" si="268"/>
        <v>2660</v>
      </c>
    </row>
    <row r="198" spans="1:41" s="2" customFormat="1" x14ac:dyDescent="0.2">
      <c r="A198">
        <f t="shared" si="181"/>
        <v>197</v>
      </c>
      <c r="B198" t="s">
        <v>52</v>
      </c>
      <c r="C198">
        <v>2</v>
      </c>
      <c r="D198" t="s">
        <v>49</v>
      </c>
      <c r="E198" s="10">
        <v>1.6</v>
      </c>
      <c r="F198" t="s">
        <v>10</v>
      </c>
      <c r="G198">
        <v>900</v>
      </c>
      <c r="H198" s="2">
        <f>G198/2+IF(F198="CLD",65,55)</f>
        <v>505</v>
      </c>
      <c r="I198" s="2">
        <f>IF(F198="CLD",G198/2+65,150)</f>
        <v>150</v>
      </c>
      <c r="J198" s="4" t="s">
        <v>18</v>
      </c>
      <c r="K198" s="4">
        <v>50</v>
      </c>
      <c r="L198" s="2">
        <v>1100</v>
      </c>
      <c r="M198" s="4">
        <v>2100</v>
      </c>
      <c r="N198" s="4">
        <v>1200</v>
      </c>
      <c r="O198" s="4">
        <v>780</v>
      </c>
      <c r="P198" s="4">
        <v>62</v>
      </c>
      <c r="Q198" s="4">
        <v>68</v>
      </c>
      <c r="R198" s="2" t="s">
        <v>47</v>
      </c>
      <c r="S198" s="2">
        <f>(-K198+G198/2+H198+10)</f>
        <v>915</v>
      </c>
      <c r="T198" s="2">
        <f>(K198+G198/2+I198+10)</f>
        <v>660</v>
      </c>
      <c r="U198" s="4"/>
      <c r="V198" s="4"/>
      <c r="W198" s="4">
        <f>(L198/2+40+P198+42)</f>
        <v>694</v>
      </c>
      <c r="X198" s="4">
        <f>(L198/2+40+P198+402)</f>
        <v>1054</v>
      </c>
      <c r="Y198" s="4"/>
      <c r="Z198"/>
      <c r="AA198" s="4"/>
      <c r="AB198" s="4"/>
      <c r="AC198" s="2">
        <f t="shared" si="219"/>
        <v>930</v>
      </c>
      <c r="AD198" s="2">
        <f t="shared" si="212"/>
        <v>1340</v>
      </c>
      <c r="AE198" s="2">
        <f>(L198/2+40+P198+190)</f>
        <v>842</v>
      </c>
      <c r="AF198" s="2">
        <f>(L198/2+40+P198+459)</f>
        <v>1111</v>
      </c>
      <c r="AG198" s="2" t="s">
        <v>47</v>
      </c>
      <c r="AH198" s="4">
        <f>MAX(S198,AC198,AE198)</f>
        <v>930</v>
      </c>
      <c r="AI198" s="4">
        <f>MIN(AD198,AF198)</f>
        <v>1111</v>
      </c>
      <c r="AJ198" s="4">
        <f>MAX(T198,W198)</f>
        <v>694</v>
      </c>
      <c r="AK198" s="4">
        <f>X198</f>
        <v>1054</v>
      </c>
      <c r="AL198" s="4">
        <f>(AH198+AJ198)</f>
        <v>1624</v>
      </c>
      <c r="AM198" s="4">
        <f>(AI198+AK198)</f>
        <v>2165</v>
      </c>
      <c r="AN198" s="4">
        <f>(280+M198+280)</f>
        <v>2660</v>
      </c>
      <c r="AO198" s="4">
        <f>(280+M198+280)</f>
        <v>2660</v>
      </c>
    </row>
    <row r="199" spans="1:41" s="6" customFormat="1" ht="13.5" thickBot="1" x14ac:dyDescent="0.25">
      <c r="A199">
        <f t="shared" si="181"/>
        <v>198</v>
      </c>
      <c r="B199" s="6" t="s">
        <v>52</v>
      </c>
      <c r="C199" s="6">
        <v>2</v>
      </c>
      <c r="D199" s="6" t="s">
        <v>49</v>
      </c>
      <c r="E199" s="13">
        <v>1.6</v>
      </c>
      <c r="F199" s="6" t="s">
        <v>10</v>
      </c>
      <c r="G199" s="6">
        <v>1000</v>
      </c>
      <c r="H199" s="6">
        <f t="shared" ref="H199" si="269">G199/2+IF(F199="CLD",65,55)</f>
        <v>555</v>
      </c>
      <c r="I199" s="6">
        <f t="shared" ref="I199" si="270">IF(F199="CLD",G199/2+65,150)</f>
        <v>150</v>
      </c>
      <c r="J199" s="7" t="s">
        <v>18</v>
      </c>
      <c r="K199" s="7">
        <v>30</v>
      </c>
      <c r="L199" s="6">
        <v>1100</v>
      </c>
      <c r="M199" s="7">
        <v>2100</v>
      </c>
      <c r="N199" s="7">
        <v>1200</v>
      </c>
      <c r="O199" s="7">
        <v>780</v>
      </c>
      <c r="P199" s="7">
        <v>62</v>
      </c>
      <c r="Q199" s="7">
        <v>68</v>
      </c>
      <c r="R199" s="6" t="s">
        <v>47</v>
      </c>
      <c r="S199" s="6">
        <f t="shared" ref="S199" si="271">(-K199+G199/2+H199+10)</f>
        <v>1035</v>
      </c>
      <c r="T199" s="6">
        <f t="shared" ref="T199" si="272">(K199+G199/2+I199+10)</f>
        <v>690</v>
      </c>
      <c r="U199" s="7"/>
      <c r="V199" s="7"/>
      <c r="W199" s="7">
        <f t="shared" ref="W199" si="273">(L199/2+40+P199+42)</f>
        <v>694</v>
      </c>
      <c r="X199" s="7">
        <f t="shared" ref="X199" si="274">(L199/2+40+P199+402)</f>
        <v>1054</v>
      </c>
      <c r="Y199" s="7"/>
      <c r="AA199" s="7"/>
      <c r="AB199" s="7"/>
      <c r="AC199" s="6">
        <f t="shared" si="219"/>
        <v>930</v>
      </c>
      <c r="AD199" s="6">
        <f t="shared" si="212"/>
        <v>1340</v>
      </c>
      <c r="AE199" s="6">
        <f t="shared" ref="AE199" si="275">(L199/2+40+P199+190)</f>
        <v>842</v>
      </c>
      <c r="AF199" s="6">
        <f t="shared" ref="AF199" si="276">(L199/2+40+P199+459)</f>
        <v>1111</v>
      </c>
      <c r="AG199" s="6" t="s">
        <v>47</v>
      </c>
      <c r="AH199" s="7">
        <f t="shared" ref="AH199" si="277">MAX(S199,AC199,AE199)</f>
        <v>1035</v>
      </c>
      <c r="AI199" s="7">
        <f t="shared" ref="AI199" si="278">MIN(AD199,AF199)</f>
        <v>1111</v>
      </c>
      <c r="AJ199" s="7">
        <f t="shared" ref="AJ199" si="279">MAX(T199,W199)</f>
        <v>694</v>
      </c>
      <c r="AK199" s="7">
        <f t="shared" ref="AK199" si="280">X199</f>
        <v>1054</v>
      </c>
      <c r="AL199" s="7">
        <f t="shared" ref="AL199" si="281">(AH199+AJ199)</f>
        <v>1729</v>
      </c>
      <c r="AM199" s="7">
        <f t="shared" ref="AM199" si="282">(AI199+AK199)</f>
        <v>2165</v>
      </c>
      <c r="AN199" s="7">
        <f t="shared" ref="AN199" si="283">(280+M199+280)</f>
        <v>2660</v>
      </c>
      <c r="AO199" s="7">
        <f t="shared" ref="AO199" si="284">(280+M199+280)</f>
        <v>2660</v>
      </c>
    </row>
    <row r="200" spans="1:41" s="2" customFormat="1" x14ac:dyDescent="0.2">
      <c r="A200">
        <f t="shared" si="181"/>
        <v>199</v>
      </c>
      <c r="B200" t="s">
        <v>14</v>
      </c>
      <c r="C200">
        <v>1</v>
      </c>
      <c r="D200" t="s">
        <v>49</v>
      </c>
      <c r="E200" s="10">
        <v>1</v>
      </c>
      <c r="F200" t="s">
        <v>10</v>
      </c>
      <c r="G200" s="4">
        <v>700</v>
      </c>
      <c r="H200" s="2">
        <f t="shared" si="135"/>
        <v>405</v>
      </c>
      <c r="I200" s="2">
        <f t="shared" si="136"/>
        <v>150</v>
      </c>
      <c r="J200" s="4" t="s">
        <v>19</v>
      </c>
      <c r="K200" s="4">
        <v>0</v>
      </c>
      <c r="L200" s="2">
        <v>1100</v>
      </c>
      <c r="M200" s="4">
        <v>2100</v>
      </c>
      <c r="N200" s="4">
        <v>1200</v>
      </c>
      <c r="O200" s="4">
        <v>780</v>
      </c>
      <c r="P200" s="4">
        <v>62</v>
      </c>
      <c r="Q200" s="4">
        <v>68</v>
      </c>
      <c r="R200" s="2" t="s">
        <v>47</v>
      </c>
      <c r="S200" s="2">
        <f t="shared" si="152"/>
        <v>765</v>
      </c>
      <c r="T200" s="2">
        <f t="shared" si="153"/>
        <v>510</v>
      </c>
      <c r="U200" s="4"/>
      <c r="V200" s="4"/>
      <c r="W200" s="4">
        <f t="shared" si="156"/>
        <v>694</v>
      </c>
      <c r="X200" s="4">
        <f t="shared" si="157"/>
        <v>1054</v>
      </c>
      <c r="Y200" s="4"/>
      <c r="AA200" s="4"/>
      <c r="AB200" s="4"/>
      <c r="AC200" s="2">
        <f>(740+190)</f>
        <v>930</v>
      </c>
      <c r="AD200" s="2">
        <f t="shared" ref="AD200:AD231" si="285">(740+600)</f>
        <v>1340</v>
      </c>
      <c r="AE200" s="2">
        <f t="shared" ref="AE200:AE231" si="286">(L200/2+40+P200+190)</f>
        <v>842</v>
      </c>
      <c r="AF200" s="2">
        <f t="shared" ref="AF200:AF231" si="287">(L200/2+40+P200+459)</f>
        <v>1111</v>
      </c>
      <c r="AG200" s="2" t="s">
        <v>47</v>
      </c>
      <c r="AH200" s="4">
        <f t="shared" ref="AH200:AH231" si="288">MAX(S200,AC200,AE200)</f>
        <v>930</v>
      </c>
      <c r="AI200" s="4">
        <f t="shared" ref="AI200:AI231" si="289">MIN(AD200,AF200)</f>
        <v>1111</v>
      </c>
      <c r="AJ200" s="4">
        <f t="shared" ref="AJ200:AJ231" si="290">MAX(T200,W200)</f>
        <v>694</v>
      </c>
      <c r="AK200" s="4">
        <f t="shared" ref="AK200:AK231" si="291">X200</f>
        <v>1054</v>
      </c>
      <c r="AL200" s="4">
        <f t="shared" si="178"/>
        <v>1624</v>
      </c>
      <c r="AM200" s="4">
        <f t="shared" si="179"/>
        <v>2165</v>
      </c>
      <c r="AN200" s="4">
        <f>(280+M200+25+25)</f>
        <v>2430</v>
      </c>
      <c r="AO200" s="4">
        <v>3520</v>
      </c>
    </row>
    <row r="201" spans="1:41" s="2" customFormat="1" x14ac:dyDescent="0.2">
      <c r="A201">
        <f t="shared" si="181"/>
        <v>200</v>
      </c>
      <c r="B201" t="s">
        <v>14</v>
      </c>
      <c r="C201">
        <v>1</v>
      </c>
      <c r="D201" t="s">
        <v>49</v>
      </c>
      <c r="E201" s="10">
        <v>1</v>
      </c>
      <c r="F201" t="s">
        <v>10</v>
      </c>
      <c r="G201">
        <v>800</v>
      </c>
      <c r="H201" s="2">
        <f t="shared" ref="H201:H245" si="292">G201/2+IF(F201="CLD",65,55)</f>
        <v>455</v>
      </c>
      <c r="I201" s="2">
        <f t="shared" ref="I201:I245" si="293">IF(F201="CLD",G201/2+65,150)</f>
        <v>150</v>
      </c>
      <c r="J201" s="4" t="s">
        <v>18</v>
      </c>
      <c r="K201" s="4">
        <v>30</v>
      </c>
      <c r="L201" s="2">
        <v>1100</v>
      </c>
      <c r="M201" s="4">
        <v>2100</v>
      </c>
      <c r="N201" s="4">
        <v>1200</v>
      </c>
      <c r="O201" s="4">
        <v>780</v>
      </c>
      <c r="P201" s="4">
        <v>62</v>
      </c>
      <c r="Q201" s="4">
        <v>68</v>
      </c>
      <c r="R201" s="2" t="s">
        <v>47</v>
      </c>
      <c r="S201" s="2">
        <f t="shared" si="152"/>
        <v>835</v>
      </c>
      <c r="T201" s="2">
        <f t="shared" si="153"/>
        <v>590</v>
      </c>
      <c r="U201" s="4"/>
      <c r="V201" s="4"/>
      <c r="W201" s="4">
        <f t="shared" si="156"/>
        <v>694</v>
      </c>
      <c r="X201" s="4">
        <f t="shared" si="157"/>
        <v>1054</v>
      </c>
      <c r="Y201" s="4"/>
      <c r="Z201"/>
      <c r="AA201" s="4"/>
      <c r="AB201" s="4"/>
      <c r="AC201" s="2">
        <f t="shared" ref="AC201:AC231" si="294">(740+190)</f>
        <v>930</v>
      </c>
      <c r="AD201" s="2">
        <f t="shared" si="285"/>
        <v>1340</v>
      </c>
      <c r="AE201" s="2">
        <f t="shared" si="286"/>
        <v>842</v>
      </c>
      <c r="AF201" s="2">
        <f t="shared" si="287"/>
        <v>1111</v>
      </c>
      <c r="AG201" s="2" t="s">
        <v>47</v>
      </c>
      <c r="AH201" s="4">
        <f t="shared" si="288"/>
        <v>930</v>
      </c>
      <c r="AI201" s="4">
        <f t="shared" si="289"/>
        <v>1111</v>
      </c>
      <c r="AJ201" s="4">
        <f t="shared" si="290"/>
        <v>694</v>
      </c>
      <c r="AK201" s="4">
        <f t="shared" si="291"/>
        <v>1054</v>
      </c>
      <c r="AL201" s="4">
        <f t="shared" si="178"/>
        <v>1624</v>
      </c>
      <c r="AM201" s="4">
        <f t="shared" si="179"/>
        <v>2165</v>
      </c>
      <c r="AN201" s="4">
        <f t="shared" ref="AN201:AN215" si="295">(280+M201+25+25)</f>
        <v>2430</v>
      </c>
      <c r="AO201" s="4">
        <v>3520</v>
      </c>
    </row>
    <row r="202" spans="1:41" s="2" customFormat="1" x14ac:dyDescent="0.2">
      <c r="A202">
        <f t="shared" si="181"/>
        <v>201</v>
      </c>
      <c r="B202" t="s">
        <v>14</v>
      </c>
      <c r="C202">
        <v>1</v>
      </c>
      <c r="D202" t="s">
        <v>49</v>
      </c>
      <c r="E202" s="10">
        <v>1</v>
      </c>
      <c r="F202" t="s">
        <v>10</v>
      </c>
      <c r="G202">
        <v>800</v>
      </c>
      <c r="H202" s="2">
        <f t="shared" si="292"/>
        <v>455</v>
      </c>
      <c r="I202" s="2">
        <f t="shared" si="293"/>
        <v>150</v>
      </c>
      <c r="J202" s="4" t="s">
        <v>19</v>
      </c>
      <c r="K202" s="4">
        <v>0</v>
      </c>
      <c r="L202" s="2">
        <v>1100</v>
      </c>
      <c r="M202" s="4">
        <v>2100</v>
      </c>
      <c r="N202" s="4">
        <v>1200</v>
      </c>
      <c r="O202" s="4">
        <v>780</v>
      </c>
      <c r="P202" s="4">
        <v>62</v>
      </c>
      <c r="Q202" s="4">
        <v>68</v>
      </c>
      <c r="R202" s="2" t="s">
        <v>47</v>
      </c>
      <c r="S202" s="2">
        <f t="shared" si="152"/>
        <v>865</v>
      </c>
      <c r="T202" s="2">
        <f t="shared" si="153"/>
        <v>560</v>
      </c>
      <c r="U202" s="4"/>
      <c r="V202" s="4"/>
      <c r="W202" s="4">
        <f t="shared" si="156"/>
        <v>694</v>
      </c>
      <c r="X202" s="4">
        <f t="shared" si="157"/>
        <v>1054</v>
      </c>
      <c r="Y202" s="4"/>
      <c r="Z202"/>
      <c r="AA202" s="4"/>
      <c r="AB202" s="4"/>
      <c r="AC202" s="2">
        <f t="shared" si="294"/>
        <v>930</v>
      </c>
      <c r="AD202" s="2">
        <f t="shared" si="285"/>
        <v>1340</v>
      </c>
      <c r="AE202" s="2">
        <f t="shared" si="286"/>
        <v>842</v>
      </c>
      <c r="AF202" s="2">
        <f t="shared" si="287"/>
        <v>1111</v>
      </c>
      <c r="AG202" s="2" t="s">
        <v>47</v>
      </c>
      <c r="AH202" s="4">
        <f t="shared" si="288"/>
        <v>930</v>
      </c>
      <c r="AI202" s="4">
        <f t="shared" si="289"/>
        <v>1111</v>
      </c>
      <c r="AJ202" s="4">
        <f t="shared" si="290"/>
        <v>694</v>
      </c>
      <c r="AK202" s="4">
        <f t="shared" si="291"/>
        <v>1054</v>
      </c>
      <c r="AL202" s="4">
        <f t="shared" si="178"/>
        <v>1624</v>
      </c>
      <c r="AM202" s="4">
        <f t="shared" si="179"/>
        <v>2165</v>
      </c>
      <c r="AN202" s="4">
        <f t="shared" si="295"/>
        <v>2430</v>
      </c>
      <c r="AO202" s="4">
        <v>3520</v>
      </c>
    </row>
    <row r="203" spans="1:41" s="2" customFormat="1" x14ac:dyDescent="0.2">
      <c r="A203">
        <f t="shared" si="181"/>
        <v>202</v>
      </c>
      <c r="B203" t="s">
        <v>14</v>
      </c>
      <c r="C203">
        <v>1</v>
      </c>
      <c r="D203" t="s">
        <v>49</v>
      </c>
      <c r="E203" s="10">
        <v>1</v>
      </c>
      <c r="F203" t="s">
        <v>10</v>
      </c>
      <c r="G203">
        <v>900</v>
      </c>
      <c r="H203" s="2">
        <f>G203/2+IF(F203="CLD",65,55)</f>
        <v>505</v>
      </c>
      <c r="I203" s="2">
        <f>IF(F203="CLD",G203/2+65,150)</f>
        <v>150</v>
      </c>
      <c r="J203" s="4" t="s">
        <v>18</v>
      </c>
      <c r="K203" s="4">
        <v>50</v>
      </c>
      <c r="L203" s="2">
        <v>1100</v>
      </c>
      <c r="M203" s="4">
        <v>2100</v>
      </c>
      <c r="N203" s="4">
        <v>1200</v>
      </c>
      <c r="O203" s="4">
        <v>780</v>
      </c>
      <c r="P203" s="4">
        <v>62</v>
      </c>
      <c r="Q203" s="4">
        <v>68</v>
      </c>
      <c r="R203" s="2" t="s">
        <v>47</v>
      </c>
      <c r="S203" s="2">
        <f>(-K203+G203/2+H203+10)</f>
        <v>915</v>
      </c>
      <c r="T203" s="2">
        <f>(K203+G203/2+I203+10)</f>
        <v>660</v>
      </c>
      <c r="U203" s="4"/>
      <c r="V203" s="4"/>
      <c r="W203" s="4">
        <f>(L203/2+40+P203+42)</f>
        <v>694</v>
      </c>
      <c r="X203" s="4">
        <f>(L203/2+40+P203+402)</f>
        <v>1054</v>
      </c>
      <c r="Y203" s="4"/>
      <c r="Z203"/>
      <c r="AA203" s="4"/>
      <c r="AB203" s="4"/>
      <c r="AC203" s="2">
        <f t="shared" si="294"/>
        <v>930</v>
      </c>
      <c r="AD203" s="2">
        <f t="shared" si="285"/>
        <v>1340</v>
      </c>
      <c r="AE203" s="2">
        <f>(L203/2+40+P203+190)</f>
        <v>842</v>
      </c>
      <c r="AF203" s="2">
        <f>(L203/2+40+P203+459)</f>
        <v>1111</v>
      </c>
      <c r="AG203" s="2" t="s">
        <v>47</v>
      </c>
      <c r="AH203" s="4">
        <f>MAX(S203,AC203,AE203)</f>
        <v>930</v>
      </c>
      <c r="AI203" s="4">
        <f>MIN(AD203,AF203)</f>
        <v>1111</v>
      </c>
      <c r="AJ203" s="4">
        <f>MAX(T203,W203)</f>
        <v>694</v>
      </c>
      <c r="AK203" s="4">
        <f>X203</f>
        <v>1054</v>
      </c>
      <c r="AL203" s="4">
        <f>(AH203+AJ203)</f>
        <v>1624</v>
      </c>
      <c r="AM203" s="4">
        <f>(AI203+AK203)</f>
        <v>2165</v>
      </c>
      <c r="AN203" s="4">
        <f>(280+M203+25+25)</f>
        <v>2430</v>
      </c>
      <c r="AO203" s="4">
        <v>3520</v>
      </c>
    </row>
    <row r="204" spans="1:41" s="2" customFormat="1" x14ac:dyDescent="0.2">
      <c r="A204">
        <f t="shared" si="181"/>
        <v>203</v>
      </c>
      <c r="B204" t="s">
        <v>14</v>
      </c>
      <c r="C204">
        <v>1</v>
      </c>
      <c r="D204" t="s">
        <v>49</v>
      </c>
      <c r="E204" s="10">
        <v>1</v>
      </c>
      <c r="F204" t="s">
        <v>10</v>
      </c>
      <c r="G204">
        <v>1000</v>
      </c>
      <c r="H204" s="2">
        <f t="shared" si="292"/>
        <v>555</v>
      </c>
      <c r="I204" s="2">
        <f t="shared" si="293"/>
        <v>150</v>
      </c>
      <c r="J204" s="4" t="s">
        <v>18</v>
      </c>
      <c r="K204" s="4">
        <v>30</v>
      </c>
      <c r="L204" s="2">
        <v>1100</v>
      </c>
      <c r="M204" s="4">
        <v>2100</v>
      </c>
      <c r="N204" s="4">
        <v>1200</v>
      </c>
      <c r="O204" s="4">
        <v>780</v>
      </c>
      <c r="P204" s="4">
        <v>62</v>
      </c>
      <c r="Q204" s="4">
        <v>68</v>
      </c>
      <c r="R204" s="2" t="s">
        <v>47</v>
      </c>
      <c r="S204" s="2">
        <f t="shared" si="152"/>
        <v>1035</v>
      </c>
      <c r="T204" s="2">
        <f t="shared" si="153"/>
        <v>690</v>
      </c>
      <c r="U204" s="4"/>
      <c r="V204" s="4"/>
      <c r="W204" s="4">
        <f t="shared" si="156"/>
        <v>694</v>
      </c>
      <c r="X204" s="4">
        <f t="shared" si="157"/>
        <v>1054</v>
      </c>
      <c r="Y204" s="4"/>
      <c r="Z204"/>
      <c r="AA204" s="4"/>
      <c r="AB204" s="4"/>
      <c r="AC204" s="2">
        <f t="shared" si="294"/>
        <v>930</v>
      </c>
      <c r="AD204" s="2">
        <f t="shared" si="285"/>
        <v>1340</v>
      </c>
      <c r="AE204" s="2">
        <f t="shared" si="286"/>
        <v>842</v>
      </c>
      <c r="AF204" s="2">
        <f t="shared" si="287"/>
        <v>1111</v>
      </c>
      <c r="AG204" s="2" t="s">
        <v>47</v>
      </c>
      <c r="AH204" s="4">
        <f t="shared" si="288"/>
        <v>1035</v>
      </c>
      <c r="AI204" s="4">
        <f t="shared" si="289"/>
        <v>1111</v>
      </c>
      <c r="AJ204" s="4">
        <f t="shared" si="290"/>
        <v>694</v>
      </c>
      <c r="AK204" s="4">
        <f t="shared" si="291"/>
        <v>1054</v>
      </c>
      <c r="AL204" s="4">
        <f t="shared" si="178"/>
        <v>1729</v>
      </c>
      <c r="AM204" s="4">
        <f t="shared" si="179"/>
        <v>2165</v>
      </c>
      <c r="AN204" s="4">
        <f t="shared" si="295"/>
        <v>2430</v>
      </c>
      <c r="AO204" s="4">
        <v>3520</v>
      </c>
    </row>
    <row r="205" spans="1:41" s="2" customFormat="1" x14ac:dyDescent="0.2">
      <c r="A205">
        <f t="shared" si="181"/>
        <v>204</v>
      </c>
      <c r="B205" t="s">
        <v>14</v>
      </c>
      <c r="C205">
        <v>1</v>
      </c>
      <c r="D205" t="s">
        <v>49</v>
      </c>
      <c r="E205" s="10">
        <v>1</v>
      </c>
      <c r="F205" t="s">
        <v>11</v>
      </c>
      <c r="G205">
        <v>700</v>
      </c>
      <c r="H205" s="2">
        <f t="shared" si="292"/>
        <v>415</v>
      </c>
      <c r="I205" s="2">
        <f t="shared" si="293"/>
        <v>415</v>
      </c>
      <c r="J205" s="4" t="s">
        <v>19</v>
      </c>
      <c r="K205" s="4">
        <v>0</v>
      </c>
      <c r="L205" s="2">
        <v>1100</v>
      </c>
      <c r="M205" s="4">
        <v>2100</v>
      </c>
      <c r="N205" s="4">
        <v>1200</v>
      </c>
      <c r="O205" s="4">
        <v>780</v>
      </c>
      <c r="P205" s="4">
        <v>62</v>
      </c>
      <c r="Q205" s="4">
        <v>68</v>
      </c>
      <c r="R205" s="2" t="s">
        <v>47</v>
      </c>
      <c r="S205" s="2">
        <f t="shared" si="152"/>
        <v>775</v>
      </c>
      <c r="T205" s="2">
        <f t="shared" si="153"/>
        <v>775</v>
      </c>
      <c r="U205" s="4"/>
      <c r="V205" s="4"/>
      <c r="W205" s="4">
        <f t="shared" si="156"/>
        <v>694</v>
      </c>
      <c r="X205" s="4">
        <f t="shared" si="157"/>
        <v>1054</v>
      </c>
      <c r="Y205" s="4"/>
      <c r="Z205"/>
      <c r="AA205" s="4"/>
      <c r="AB205" s="4"/>
      <c r="AC205" s="2">
        <f t="shared" si="294"/>
        <v>930</v>
      </c>
      <c r="AD205" s="2">
        <f t="shared" si="285"/>
        <v>1340</v>
      </c>
      <c r="AE205" s="2">
        <f t="shared" si="286"/>
        <v>842</v>
      </c>
      <c r="AF205" s="2">
        <f t="shared" si="287"/>
        <v>1111</v>
      </c>
      <c r="AG205" s="2" t="s">
        <v>47</v>
      </c>
      <c r="AH205" s="4">
        <f t="shared" si="288"/>
        <v>930</v>
      </c>
      <c r="AI205" s="4">
        <f t="shared" si="289"/>
        <v>1111</v>
      </c>
      <c r="AJ205" s="4">
        <f t="shared" si="290"/>
        <v>775</v>
      </c>
      <c r="AK205" s="4">
        <f t="shared" si="291"/>
        <v>1054</v>
      </c>
      <c r="AL205" s="4">
        <f t="shared" si="178"/>
        <v>1705</v>
      </c>
      <c r="AM205" s="4">
        <f t="shared" si="179"/>
        <v>2165</v>
      </c>
      <c r="AN205" s="4">
        <f t="shared" si="295"/>
        <v>2430</v>
      </c>
      <c r="AO205" s="4">
        <v>3520</v>
      </c>
    </row>
    <row r="206" spans="1:41" s="2" customFormat="1" x14ac:dyDescent="0.2">
      <c r="A206">
        <f t="shared" si="181"/>
        <v>205</v>
      </c>
      <c r="B206" t="s">
        <v>14</v>
      </c>
      <c r="C206">
        <v>1</v>
      </c>
      <c r="D206" t="s">
        <v>49</v>
      </c>
      <c r="E206" s="10">
        <v>1</v>
      </c>
      <c r="F206" t="s">
        <v>11</v>
      </c>
      <c r="G206">
        <v>800</v>
      </c>
      <c r="H206" s="2">
        <f t="shared" si="292"/>
        <v>465</v>
      </c>
      <c r="I206" s="2">
        <f t="shared" si="293"/>
        <v>465</v>
      </c>
      <c r="J206" s="4" t="s">
        <v>19</v>
      </c>
      <c r="K206" s="4">
        <v>0</v>
      </c>
      <c r="L206" s="2">
        <v>1100</v>
      </c>
      <c r="M206" s="4">
        <v>2100</v>
      </c>
      <c r="N206" s="4">
        <v>1200</v>
      </c>
      <c r="O206" s="4">
        <v>780</v>
      </c>
      <c r="P206" s="4">
        <v>62</v>
      </c>
      <c r="Q206" s="4">
        <v>68</v>
      </c>
      <c r="R206" s="2" t="s">
        <v>47</v>
      </c>
      <c r="S206" s="2">
        <f t="shared" si="152"/>
        <v>875</v>
      </c>
      <c r="T206" s="2">
        <f t="shared" si="153"/>
        <v>875</v>
      </c>
      <c r="U206" s="4"/>
      <c r="V206" s="4"/>
      <c r="W206" s="4">
        <f t="shared" si="156"/>
        <v>694</v>
      </c>
      <c r="X206" s="4">
        <f t="shared" si="157"/>
        <v>1054</v>
      </c>
      <c r="Y206" s="4"/>
      <c r="Z206"/>
      <c r="AA206" s="4"/>
      <c r="AB206" s="4"/>
      <c r="AC206" s="2">
        <f t="shared" si="294"/>
        <v>930</v>
      </c>
      <c r="AD206" s="2">
        <f t="shared" si="285"/>
        <v>1340</v>
      </c>
      <c r="AE206" s="2">
        <f t="shared" si="286"/>
        <v>842</v>
      </c>
      <c r="AF206" s="2">
        <f t="shared" si="287"/>
        <v>1111</v>
      </c>
      <c r="AG206" s="2" t="s">
        <v>47</v>
      </c>
      <c r="AH206" s="4">
        <f t="shared" si="288"/>
        <v>930</v>
      </c>
      <c r="AI206" s="4">
        <f t="shared" si="289"/>
        <v>1111</v>
      </c>
      <c r="AJ206" s="4">
        <f t="shared" si="290"/>
        <v>875</v>
      </c>
      <c r="AK206" s="4">
        <f t="shared" si="291"/>
        <v>1054</v>
      </c>
      <c r="AL206" s="4">
        <f t="shared" si="178"/>
        <v>1805</v>
      </c>
      <c r="AM206" s="4">
        <f t="shared" si="179"/>
        <v>2165</v>
      </c>
      <c r="AN206" s="4">
        <f t="shared" si="295"/>
        <v>2430</v>
      </c>
      <c r="AO206" s="4">
        <v>3520</v>
      </c>
    </row>
    <row r="207" spans="1:41" s="2" customFormat="1" x14ac:dyDescent="0.2">
      <c r="A207">
        <f t="shared" si="181"/>
        <v>206</v>
      </c>
      <c r="B207" s="1" t="s">
        <v>14</v>
      </c>
      <c r="C207" s="1">
        <v>1</v>
      </c>
      <c r="D207" t="s">
        <v>49</v>
      </c>
      <c r="E207" s="11">
        <v>1</v>
      </c>
      <c r="F207" s="1" t="s">
        <v>11</v>
      </c>
      <c r="G207" s="1">
        <v>900</v>
      </c>
      <c r="H207" s="2">
        <f t="shared" si="292"/>
        <v>515</v>
      </c>
      <c r="I207" s="2">
        <f t="shared" si="293"/>
        <v>515</v>
      </c>
      <c r="J207" s="5" t="s">
        <v>19</v>
      </c>
      <c r="K207" s="5">
        <v>0</v>
      </c>
      <c r="L207" s="1">
        <v>1100</v>
      </c>
      <c r="M207" s="5">
        <v>2100</v>
      </c>
      <c r="N207" s="5">
        <v>1200</v>
      </c>
      <c r="O207" s="5">
        <v>780</v>
      </c>
      <c r="P207" s="5">
        <v>62</v>
      </c>
      <c r="Q207" s="4">
        <v>68</v>
      </c>
      <c r="R207" s="2" t="s">
        <v>47</v>
      </c>
      <c r="S207" s="1">
        <f t="shared" si="152"/>
        <v>975</v>
      </c>
      <c r="T207" s="1">
        <f t="shared" si="153"/>
        <v>975</v>
      </c>
      <c r="U207" s="5"/>
      <c r="V207" s="5"/>
      <c r="W207" s="5">
        <f t="shared" si="156"/>
        <v>694</v>
      </c>
      <c r="X207" s="5">
        <f t="shared" si="157"/>
        <v>1054</v>
      </c>
      <c r="Y207" s="5"/>
      <c r="Z207" s="1"/>
      <c r="AA207" s="5"/>
      <c r="AB207" s="5"/>
      <c r="AC207" s="2">
        <f t="shared" si="294"/>
        <v>930</v>
      </c>
      <c r="AD207" s="1">
        <f t="shared" si="285"/>
        <v>1340</v>
      </c>
      <c r="AE207" s="1">
        <f t="shared" si="286"/>
        <v>842</v>
      </c>
      <c r="AF207" s="1">
        <f t="shared" si="287"/>
        <v>1111</v>
      </c>
      <c r="AG207" s="2" t="s">
        <v>47</v>
      </c>
      <c r="AH207" s="5">
        <f t="shared" si="288"/>
        <v>975</v>
      </c>
      <c r="AI207" s="5">
        <f t="shared" si="289"/>
        <v>1111</v>
      </c>
      <c r="AJ207" s="5">
        <f t="shared" si="290"/>
        <v>975</v>
      </c>
      <c r="AK207" s="5">
        <f t="shared" si="291"/>
        <v>1054</v>
      </c>
      <c r="AL207" s="5">
        <f t="shared" si="178"/>
        <v>1950</v>
      </c>
      <c r="AM207" s="5">
        <f t="shared" si="179"/>
        <v>2165</v>
      </c>
      <c r="AN207" s="5">
        <f t="shared" si="295"/>
        <v>2430</v>
      </c>
      <c r="AO207" s="4">
        <v>3520</v>
      </c>
    </row>
    <row r="208" spans="1:41" s="2" customFormat="1" x14ac:dyDescent="0.2">
      <c r="A208">
        <f t="shared" si="181"/>
        <v>207</v>
      </c>
      <c r="B208" t="s">
        <v>14</v>
      </c>
      <c r="C208">
        <v>1</v>
      </c>
      <c r="D208" t="s">
        <v>49</v>
      </c>
      <c r="E208" s="10">
        <v>1.6</v>
      </c>
      <c r="F208" t="s">
        <v>10</v>
      </c>
      <c r="G208" s="4">
        <v>700</v>
      </c>
      <c r="H208" s="2">
        <f t="shared" si="292"/>
        <v>405</v>
      </c>
      <c r="I208" s="2">
        <f t="shared" si="293"/>
        <v>150</v>
      </c>
      <c r="J208" s="4" t="s">
        <v>19</v>
      </c>
      <c r="K208" s="4">
        <v>0</v>
      </c>
      <c r="L208" s="2">
        <v>1100</v>
      </c>
      <c r="M208" s="4">
        <v>2100</v>
      </c>
      <c r="N208" s="4">
        <v>1200</v>
      </c>
      <c r="O208" s="4">
        <v>780</v>
      </c>
      <c r="P208" s="4">
        <v>62</v>
      </c>
      <c r="Q208" s="4">
        <v>68</v>
      </c>
      <c r="R208" s="2" t="s">
        <v>47</v>
      </c>
      <c r="S208" s="2">
        <f t="shared" si="152"/>
        <v>765</v>
      </c>
      <c r="T208" s="2">
        <f t="shared" si="153"/>
        <v>510</v>
      </c>
      <c r="U208" s="4"/>
      <c r="V208" s="4"/>
      <c r="W208" s="4">
        <f t="shared" si="156"/>
        <v>694</v>
      </c>
      <c r="X208" s="4">
        <f t="shared" si="157"/>
        <v>1054</v>
      </c>
      <c r="Y208" s="4"/>
      <c r="AA208" s="4"/>
      <c r="AB208" s="4"/>
      <c r="AC208" s="2">
        <f t="shared" si="294"/>
        <v>930</v>
      </c>
      <c r="AD208" s="2">
        <f t="shared" si="285"/>
        <v>1340</v>
      </c>
      <c r="AE208" s="2">
        <f t="shared" si="286"/>
        <v>842</v>
      </c>
      <c r="AF208" s="2">
        <f t="shared" si="287"/>
        <v>1111</v>
      </c>
      <c r="AG208" s="2" t="s">
        <v>47</v>
      </c>
      <c r="AH208" s="4">
        <f t="shared" si="288"/>
        <v>930</v>
      </c>
      <c r="AI208" s="4">
        <f t="shared" si="289"/>
        <v>1111</v>
      </c>
      <c r="AJ208" s="4">
        <f t="shared" si="290"/>
        <v>694</v>
      </c>
      <c r="AK208" s="4">
        <f t="shared" si="291"/>
        <v>1054</v>
      </c>
      <c r="AL208" s="4">
        <f t="shared" si="178"/>
        <v>1624</v>
      </c>
      <c r="AM208" s="4">
        <f t="shared" si="179"/>
        <v>2165</v>
      </c>
      <c r="AN208" s="4">
        <f t="shared" si="295"/>
        <v>2430</v>
      </c>
      <c r="AO208" s="4">
        <v>3520</v>
      </c>
    </row>
    <row r="209" spans="1:41" s="2" customFormat="1" x14ac:dyDescent="0.2">
      <c r="A209">
        <f t="shared" si="181"/>
        <v>208</v>
      </c>
      <c r="B209" t="s">
        <v>14</v>
      </c>
      <c r="C209">
        <v>1</v>
      </c>
      <c r="D209" t="s">
        <v>49</v>
      </c>
      <c r="E209" s="10">
        <v>1.6</v>
      </c>
      <c r="F209" t="s">
        <v>10</v>
      </c>
      <c r="G209">
        <v>800</v>
      </c>
      <c r="H209" s="2">
        <f t="shared" si="292"/>
        <v>455</v>
      </c>
      <c r="I209" s="2">
        <f t="shared" si="293"/>
        <v>150</v>
      </c>
      <c r="J209" s="4" t="s">
        <v>18</v>
      </c>
      <c r="K209" s="4">
        <v>30</v>
      </c>
      <c r="L209" s="2">
        <v>1100</v>
      </c>
      <c r="M209" s="4">
        <v>2100</v>
      </c>
      <c r="N209" s="4">
        <v>1200</v>
      </c>
      <c r="O209" s="4">
        <v>780</v>
      </c>
      <c r="P209" s="4">
        <v>62</v>
      </c>
      <c r="Q209" s="4">
        <v>68</v>
      </c>
      <c r="R209" s="2" t="s">
        <v>47</v>
      </c>
      <c r="S209" s="2">
        <f t="shared" si="152"/>
        <v>835</v>
      </c>
      <c r="T209" s="2">
        <f t="shared" si="153"/>
        <v>590</v>
      </c>
      <c r="U209" s="4"/>
      <c r="V209" s="4"/>
      <c r="W209" s="4">
        <f t="shared" si="156"/>
        <v>694</v>
      </c>
      <c r="X209" s="4">
        <f t="shared" si="157"/>
        <v>1054</v>
      </c>
      <c r="Y209" s="4"/>
      <c r="Z209"/>
      <c r="AA209" s="4"/>
      <c r="AB209" s="4"/>
      <c r="AC209" s="2">
        <f t="shared" si="294"/>
        <v>930</v>
      </c>
      <c r="AD209" s="2">
        <f t="shared" si="285"/>
        <v>1340</v>
      </c>
      <c r="AE209" s="2">
        <f t="shared" si="286"/>
        <v>842</v>
      </c>
      <c r="AF209" s="2">
        <f t="shared" si="287"/>
        <v>1111</v>
      </c>
      <c r="AG209" s="2" t="s">
        <v>47</v>
      </c>
      <c r="AH209" s="4">
        <f t="shared" si="288"/>
        <v>930</v>
      </c>
      <c r="AI209" s="4">
        <f t="shared" si="289"/>
        <v>1111</v>
      </c>
      <c r="AJ209" s="4">
        <f t="shared" si="290"/>
        <v>694</v>
      </c>
      <c r="AK209" s="4">
        <f t="shared" si="291"/>
        <v>1054</v>
      </c>
      <c r="AL209" s="4">
        <f t="shared" si="178"/>
        <v>1624</v>
      </c>
      <c r="AM209" s="4">
        <f t="shared" si="179"/>
        <v>2165</v>
      </c>
      <c r="AN209" s="4">
        <f t="shared" si="295"/>
        <v>2430</v>
      </c>
      <c r="AO209" s="4">
        <v>3520</v>
      </c>
    </row>
    <row r="210" spans="1:41" s="2" customFormat="1" x14ac:dyDescent="0.2">
      <c r="A210">
        <f t="shared" si="181"/>
        <v>209</v>
      </c>
      <c r="B210" t="s">
        <v>14</v>
      </c>
      <c r="C210">
        <v>1</v>
      </c>
      <c r="D210" t="s">
        <v>49</v>
      </c>
      <c r="E210" s="10">
        <v>1.6</v>
      </c>
      <c r="F210" t="s">
        <v>10</v>
      </c>
      <c r="G210">
        <v>800</v>
      </c>
      <c r="H210" s="2">
        <f t="shared" si="292"/>
        <v>455</v>
      </c>
      <c r="I210" s="2">
        <f t="shared" si="293"/>
        <v>150</v>
      </c>
      <c r="J210" s="4" t="s">
        <v>19</v>
      </c>
      <c r="K210" s="4">
        <v>0</v>
      </c>
      <c r="L210" s="2">
        <v>1100</v>
      </c>
      <c r="M210" s="4">
        <v>2100</v>
      </c>
      <c r="N210" s="4">
        <v>1200</v>
      </c>
      <c r="O210" s="4">
        <v>780</v>
      </c>
      <c r="P210" s="4">
        <v>62</v>
      </c>
      <c r="Q210" s="4">
        <v>68</v>
      </c>
      <c r="R210" s="2" t="s">
        <v>47</v>
      </c>
      <c r="S210" s="2">
        <f t="shared" si="152"/>
        <v>865</v>
      </c>
      <c r="T210" s="2">
        <f t="shared" si="153"/>
        <v>560</v>
      </c>
      <c r="U210" s="4"/>
      <c r="V210" s="4"/>
      <c r="W210" s="4">
        <f t="shared" si="156"/>
        <v>694</v>
      </c>
      <c r="X210" s="4">
        <f t="shared" si="157"/>
        <v>1054</v>
      </c>
      <c r="Y210" s="4"/>
      <c r="Z210"/>
      <c r="AA210" s="4"/>
      <c r="AB210" s="4"/>
      <c r="AC210" s="2">
        <f t="shared" si="294"/>
        <v>930</v>
      </c>
      <c r="AD210" s="2">
        <f t="shared" si="285"/>
        <v>1340</v>
      </c>
      <c r="AE210" s="2">
        <f t="shared" si="286"/>
        <v>842</v>
      </c>
      <c r="AF210" s="2">
        <f t="shared" si="287"/>
        <v>1111</v>
      </c>
      <c r="AG210" s="2" t="s">
        <v>47</v>
      </c>
      <c r="AH210" s="4">
        <f t="shared" si="288"/>
        <v>930</v>
      </c>
      <c r="AI210" s="4">
        <f t="shared" si="289"/>
        <v>1111</v>
      </c>
      <c r="AJ210" s="4">
        <f t="shared" si="290"/>
        <v>694</v>
      </c>
      <c r="AK210" s="4">
        <f t="shared" si="291"/>
        <v>1054</v>
      </c>
      <c r="AL210" s="4">
        <f t="shared" si="178"/>
        <v>1624</v>
      </c>
      <c r="AM210" s="4">
        <f t="shared" si="179"/>
        <v>2165</v>
      </c>
      <c r="AN210" s="4">
        <f t="shared" si="295"/>
        <v>2430</v>
      </c>
      <c r="AO210" s="4">
        <v>3520</v>
      </c>
    </row>
    <row r="211" spans="1:41" s="2" customFormat="1" x14ac:dyDescent="0.2">
      <c r="A211">
        <f t="shared" si="181"/>
        <v>210</v>
      </c>
      <c r="B211" t="s">
        <v>14</v>
      </c>
      <c r="C211">
        <v>1</v>
      </c>
      <c r="D211" t="s">
        <v>49</v>
      </c>
      <c r="E211" s="10">
        <v>1.6</v>
      </c>
      <c r="F211" t="s">
        <v>10</v>
      </c>
      <c r="G211">
        <v>900</v>
      </c>
      <c r="H211" s="2">
        <f>G211/2+IF(F211="CLD",65,55)</f>
        <v>505</v>
      </c>
      <c r="I211" s="2">
        <f>IF(F211="CLD",G211/2+65,150)</f>
        <v>150</v>
      </c>
      <c r="J211" s="4" t="s">
        <v>18</v>
      </c>
      <c r="K211" s="4">
        <v>50</v>
      </c>
      <c r="L211" s="2">
        <v>1100</v>
      </c>
      <c r="M211" s="4">
        <v>2100</v>
      </c>
      <c r="N211" s="4">
        <v>1200</v>
      </c>
      <c r="O211" s="4">
        <v>780</v>
      </c>
      <c r="P211" s="4">
        <v>62</v>
      </c>
      <c r="Q211" s="4">
        <v>68</v>
      </c>
      <c r="R211" s="2" t="s">
        <v>47</v>
      </c>
      <c r="S211" s="2">
        <f>(-K211+G211/2+H211+10)</f>
        <v>915</v>
      </c>
      <c r="T211" s="2">
        <f>(K211+G211/2+I211+10)</f>
        <v>660</v>
      </c>
      <c r="U211" s="4"/>
      <c r="V211" s="4"/>
      <c r="W211" s="4">
        <f>(L211/2+40+P211+42)</f>
        <v>694</v>
      </c>
      <c r="X211" s="4">
        <f>(L211/2+40+P211+402)</f>
        <v>1054</v>
      </c>
      <c r="Y211" s="4"/>
      <c r="Z211"/>
      <c r="AA211" s="4"/>
      <c r="AB211" s="4"/>
      <c r="AC211" s="2">
        <f t="shared" si="294"/>
        <v>930</v>
      </c>
      <c r="AD211" s="2">
        <f t="shared" si="285"/>
        <v>1340</v>
      </c>
      <c r="AE211" s="2">
        <f>(L211/2+40+P211+190)</f>
        <v>842</v>
      </c>
      <c r="AF211" s="2">
        <f>(L211/2+40+P211+459)</f>
        <v>1111</v>
      </c>
      <c r="AG211" s="2" t="s">
        <v>47</v>
      </c>
      <c r="AH211" s="4">
        <f>MAX(S211,AC211,AE211)</f>
        <v>930</v>
      </c>
      <c r="AI211" s="4">
        <f>MIN(AD211,AF211)</f>
        <v>1111</v>
      </c>
      <c r="AJ211" s="4">
        <f>MAX(T211,W211)</f>
        <v>694</v>
      </c>
      <c r="AK211" s="4">
        <f>X211</f>
        <v>1054</v>
      </c>
      <c r="AL211" s="4">
        <f>(AH211+AJ211)</f>
        <v>1624</v>
      </c>
      <c r="AM211" s="4">
        <f>(AI211+AK211)</f>
        <v>2165</v>
      </c>
      <c r="AN211" s="4">
        <f>(280+M211+25+25)</f>
        <v>2430</v>
      </c>
      <c r="AO211" s="4">
        <v>3520</v>
      </c>
    </row>
    <row r="212" spans="1:41" s="2" customFormat="1" x14ac:dyDescent="0.2">
      <c r="A212">
        <f t="shared" si="181"/>
        <v>211</v>
      </c>
      <c r="B212" t="s">
        <v>14</v>
      </c>
      <c r="C212">
        <v>1</v>
      </c>
      <c r="D212" t="s">
        <v>49</v>
      </c>
      <c r="E212" s="10">
        <v>1.6</v>
      </c>
      <c r="F212" t="s">
        <v>10</v>
      </c>
      <c r="G212">
        <v>1000</v>
      </c>
      <c r="H212" s="2">
        <f t="shared" si="292"/>
        <v>555</v>
      </c>
      <c r="I212" s="2">
        <f t="shared" si="293"/>
        <v>150</v>
      </c>
      <c r="J212" s="4" t="s">
        <v>18</v>
      </c>
      <c r="K212" s="4">
        <v>30</v>
      </c>
      <c r="L212" s="2">
        <v>1100</v>
      </c>
      <c r="M212" s="4">
        <v>2100</v>
      </c>
      <c r="N212" s="4">
        <v>1200</v>
      </c>
      <c r="O212" s="4">
        <v>780</v>
      </c>
      <c r="P212" s="4">
        <v>62</v>
      </c>
      <c r="Q212" s="4">
        <v>68</v>
      </c>
      <c r="R212" s="2" t="s">
        <v>47</v>
      </c>
      <c r="S212" s="2">
        <f t="shared" si="152"/>
        <v>1035</v>
      </c>
      <c r="T212" s="2">
        <f t="shared" si="153"/>
        <v>690</v>
      </c>
      <c r="U212" s="4"/>
      <c r="V212" s="4"/>
      <c r="W212" s="4">
        <f t="shared" si="156"/>
        <v>694</v>
      </c>
      <c r="X212" s="4">
        <f t="shared" si="157"/>
        <v>1054</v>
      </c>
      <c r="Y212" s="4"/>
      <c r="Z212"/>
      <c r="AA212" s="4"/>
      <c r="AB212" s="4"/>
      <c r="AC212" s="2">
        <f t="shared" si="294"/>
        <v>930</v>
      </c>
      <c r="AD212" s="2">
        <f t="shared" si="285"/>
        <v>1340</v>
      </c>
      <c r="AE212" s="2">
        <f t="shared" si="286"/>
        <v>842</v>
      </c>
      <c r="AF212" s="2">
        <f t="shared" si="287"/>
        <v>1111</v>
      </c>
      <c r="AG212" s="2" t="s">
        <v>47</v>
      </c>
      <c r="AH212" s="4">
        <f t="shared" si="288"/>
        <v>1035</v>
      </c>
      <c r="AI212" s="4">
        <f t="shared" si="289"/>
        <v>1111</v>
      </c>
      <c r="AJ212" s="4">
        <f t="shared" si="290"/>
        <v>694</v>
      </c>
      <c r="AK212" s="4">
        <f t="shared" si="291"/>
        <v>1054</v>
      </c>
      <c r="AL212" s="4">
        <f t="shared" si="178"/>
        <v>1729</v>
      </c>
      <c r="AM212" s="4">
        <f t="shared" si="179"/>
        <v>2165</v>
      </c>
      <c r="AN212" s="4">
        <f t="shared" si="295"/>
        <v>2430</v>
      </c>
      <c r="AO212" s="4">
        <v>3520</v>
      </c>
    </row>
    <row r="213" spans="1:41" s="2" customFormat="1" x14ac:dyDescent="0.2">
      <c r="A213">
        <f t="shared" si="181"/>
        <v>212</v>
      </c>
      <c r="B213" t="s">
        <v>14</v>
      </c>
      <c r="C213">
        <v>1</v>
      </c>
      <c r="D213" t="s">
        <v>49</v>
      </c>
      <c r="E213" s="10">
        <v>1.6</v>
      </c>
      <c r="F213" t="s">
        <v>11</v>
      </c>
      <c r="G213">
        <v>700</v>
      </c>
      <c r="H213" s="2">
        <f t="shared" si="292"/>
        <v>415</v>
      </c>
      <c r="I213" s="2">
        <f t="shared" si="293"/>
        <v>415</v>
      </c>
      <c r="J213" s="4" t="s">
        <v>19</v>
      </c>
      <c r="K213" s="4">
        <v>0</v>
      </c>
      <c r="L213" s="2">
        <v>1100</v>
      </c>
      <c r="M213" s="4">
        <v>2100</v>
      </c>
      <c r="N213" s="4">
        <v>1200</v>
      </c>
      <c r="O213" s="4">
        <v>780</v>
      </c>
      <c r="P213" s="4">
        <v>62</v>
      </c>
      <c r="Q213" s="4">
        <v>68</v>
      </c>
      <c r="R213" s="2" t="s">
        <v>47</v>
      </c>
      <c r="S213" s="2">
        <f t="shared" si="152"/>
        <v>775</v>
      </c>
      <c r="T213" s="2">
        <f t="shared" si="153"/>
        <v>775</v>
      </c>
      <c r="U213" s="4"/>
      <c r="V213" s="4"/>
      <c r="W213" s="4">
        <f t="shared" si="156"/>
        <v>694</v>
      </c>
      <c r="X213" s="4">
        <f t="shared" si="157"/>
        <v>1054</v>
      </c>
      <c r="Y213" s="4"/>
      <c r="Z213"/>
      <c r="AA213" s="4"/>
      <c r="AB213" s="4"/>
      <c r="AC213" s="2">
        <f t="shared" si="294"/>
        <v>930</v>
      </c>
      <c r="AD213" s="2">
        <f t="shared" si="285"/>
        <v>1340</v>
      </c>
      <c r="AE213" s="2">
        <f t="shared" si="286"/>
        <v>842</v>
      </c>
      <c r="AF213" s="2">
        <f t="shared" si="287"/>
        <v>1111</v>
      </c>
      <c r="AG213" s="2" t="s">
        <v>47</v>
      </c>
      <c r="AH213" s="4">
        <f t="shared" si="288"/>
        <v>930</v>
      </c>
      <c r="AI213" s="4">
        <f t="shared" si="289"/>
        <v>1111</v>
      </c>
      <c r="AJ213" s="4">
        <f t="shared" si="290"/>
        <v>775</v>
      </c>
      <c r="AK213" s="4">
        <f t="shared" si="291"/>
        <v>1054</v>
      </c>
      <c r="AL213" s="4">
        <f t="shared" si="178"/>
        <v>1705</v>
      </c>
      <c r="AM213" s="4">
        <f t="shared" si="179"/>
        <v>2165</v>
      </c>
      <c r="AN213" s="4">
        <f t="shared" si="295"/>
        <v>2430</v>
      </c>
      <c r="AO213" s="4">
        <v>3520</v>
      </c>
    </row>
    <row r="214" spans="1:41" s="2" customFormat="1" x14ac:dyDescent="0.2">
      <c r="A214">
        <f t="shared" si="181"/>
        <v>213</v>
      </c>
      <c r="B214" t="s">
        <v>14</v>
      </c>
      <c r="C214">
        <v>1</v>
      </c>
      <c r="D214" t="s">
        <v>49</v>
      </c>
      <c r="E214" s="10">
        <v>1.6</v>
      </c>
      <c r="F214" t="s">
        <v>11</v>
      </c>
      <c r="G214">
        <v>800</v>
      </c>
      <c r="H214" s="2">
        <f t="shared" si="292"/>
        <v>465</v>
      </c>
      <c r="I214" s="2">
        <f t="shared" si="293"/>
        <v>465</v>
      </c>
      <c r="J214" s="4" t="s">
        <v>19</v>
      </c>
      <c r="K214" s="4">
        <v>0</v>
      </c>
      <c r="L214" s="2">
        <v>1100</v>
      </c>
      <c r="M214" s="4">
        <v>2100</v>
      </c>
      <c r="N214" s="4">
        <v>1200</v>
      </c>
      <c r="O214" s="4">
        <v>780</v>
      </c>
      <c r="P214" s="4">
        <v>62</v>
      </c>
      <c r="Q214" s="4">
        <v>68</v>
      </c>
      <c r="R214" s="2" t="s">
        <v>47</v>
      </c>
      <c r="S214" s="2">
        <f t="shared" si="152"/>
        <v>875</v>
      </c>
      <c r="T214" s="2">
        <f t="shared" si="153"/>
        <v>875</v>
      </c>
      <c r="U214" s="4"/>
      <c r="V214" s="4"/>
      <c r="W214" s="4">
        <f t="shared" si="156"/>
        <v>694</v>
      </c>
      <c r="X214" s="4">
        <f t="shared" si="157"/>
        <v>1054</v>
      </c>
      <c r="Y214" s="4"/>
      <c r="Z214"/>
      <c r="AA214" s="4"/>
      <c r="AB214" s="4"/>
      <c r="AC214" s="2">
        <f t="shared" si="294"/>
        <v>930</v>
      </c>
      <c r="AD214" s="2">
        <f t="shared" si="285"/>
        <v>1340</v>
      </c>
      <c r="AE214" s="2">
        <f t="shared" si="286"/>
        <v>842</v>
      </c>
      <c r="AF214" s="2">
        <f t="shared" si="287"/>
        <v>1111</v>
      </c>
      <c r="AG214" s="2" t="s">
        <v>47</v>
      </c>
      <c r="AH214" s="4">
        <f t="shared" si="288"/>
        <v>930</v>
      </c>
      <c r="AI214" s="4">
        <f t="shared" si="289"/>
        <v>1111</v>
      </c>
      <c r="AJ214" s="4">
        <f t="shared" si="290"/>
        <v>875</v>
      </c>
      <c r="AK214" s="4">
        <f t="shared" si="291"/>
        <v>1054</v>
      </c>
      <c r="AL214" s="4">
        <f t="shared" si="178"/>
        <v>1805</v>
      </c>
      <c r="AM214" s="4">
        <f t="shared" si="179"/>
        <v>2165</v>
      </c>
      <c r="AN214" s="4">
        <f t="shared" si="295"/>
        <v>2430</v>
      </c>
      <c r="AO214" s="4">
        <v>3520</v>
      </c>
    </row>
    <row r="215" spans="1:41" s="2" customFormat="1" x14ac:dyDescent="0.2">
      <c r="A215">
        <f t="shared" si="181"/>
        <v>214</v>
      </c>
      <c r="B215" s="1" t="s">
        <v>14</v>
      </c>
      <c r="C215" s="1">
        <v>1</v>
      </c>
      <c r="D215" t="s">
        <v>49</v>
      </c>
      <c r="E215" s="11">
        <v>1.6</v>
      </c>
      <c r="F215" s="1" t="s">
        <v>11</v>
      </c>
      <c r="G215" s="1">
        <v>900</v>
      </c>
      <c r="H215" s="2">
        <f t="shared" si="292"/>
        <v>515</v>
      </c>
      <c r="I215" s="2">
        <f t="shared" si="293"/>
        <v>515</v>
      </c>
      <c r="J215" s="5" t="s">
        <v>19</v>
      </c>
      <c r="K215" s="5">
        <v>0</v>
      </c>
      <c r="L215" s="1">
        <v>1100</v>
      </c>
      <c r="M215" s="5">
        <v>2100</v>
      </c>
      <c r="N215" s="5">
        <v>1200</v>
      </c>
      <c r="O215" s="5">
        <v>780</v>
      </c>
      <c r="P215" s="5">
        <v>62</v>
      </c>
      <c r="Q215" s="4">
        <v>68</v>
      </c>
      <c r="R215" s="2" t="s">
        <v>47</v>
      </c>
      <c r="S215" s="1">
        <f t="shared" si="152"/>
        <v>975</v>
      </c>
      <c r="T215" s="1">
        <f t="shared" si="153"/>
        <v>975</v>
      </c>
      <c r="U215" s="5"/>
      <c r="V215" s="5"/>
      <c r="W215" s="5">
        <f t="shared" si="156"/>
        <v>694</v>
      </c>
      <c r="X215" s="5">
        <f t="shared" si="157"/>
        <v>1054</v>
      </c>
      <c r="Y215" s="5"/>
      <c r="Z215" s="1"/>
      <c r="AA215" s="5"/>
      <c r="AB215" s="5"/>
      <c r="AC215" s="2">
        <f t="shared" si="294"/>
        <v>930</v>
      </c>
      <c r="AD215" s="1">
        <f t="shared" si="285"/>
        <v>1340</v>
      </c>
      <c r="AE215" s="1">
        <f t="shared" si="286"/>
        <v>842</v>
      </c>
      <c r="AF215" s="1">
        <f t="shared" si="287"/>
        <v>1111</v>
      </c>
      <c r="AG215" s="2" t="s">
        <v>47</v>
      </c>
      <c r="AH215" s="5">
        <f t="shared" si="288"/>
        <v>975</v>
      </c>
      <c r="AI215" s="5">
        <f t="shared" si="289"/>
        <v>1111</v>
      </c>
      <c r="AJ215" s="5">
        <f t="shared" si="290"/>
        <v>975</v>
      </c>
      <c r="AK215" s="5">
        <f t="shared" si="291"/>
        <v>1054</v>
      </c>
      <c r="AL215" s="5">
        <f t="shared" si="178"/>
        <v>1950</v>
      </c>
      <c r="AM215" s="5">
        <f t="shared" si="179"/>
        <v>2165</v>
      </c>
      <c r="AN215" s="5">
        <f t="shared" si="295"/>
        <v>2430</v>
      </c>
      <c r="AO215" s="4">
        <v>3520</v>
      </c>
    </row>
    <row r="216" spans="1:41" s="2" customFormat="1" x14ac:dyDescent="0.2">
      <c r="A216">
        <f t="shared" si="181"/>
        <v>215</v>
      </c>
      <c r="B216" t="s">
        <v>14</v>
      </c>
      <c r="C216">
        <v>2</v>
      </c>
      <c r="D216" t="s">
        <v>49</v>
      </c>
      <c r="E216" s="10">
        <v>1</v>
      </c>
      <c r="F216" t="s">
        <v>10</v>
      </c>
      <c r="G216" s="4">
        <v>700</v>
      </c>
      <c r="H216" s="2">
        <f t="shared" si="292"/>
        <v>405</v>
      </c>
      <c r="I216" s="2">
        <f t="shared" si="293"/>
        <v>150</v>
      </c>
      <c r="J216" s="4" t="s">
        <v>19</v>
      </c>
      <c r="K216" s="4">
        <v>0</v>
      </c>
      <c r="L216" s="2">
        <v>1100</v>
      </c>
      <c r="M216" s="4">
        <v>2100</v>
      </c>
      <c r="N216" s="4">
        <v>1200</v>
      </c>
      <c r="O216" s="4">
        <v>780</v>
      </c>
      <c r="P216" s="4">
        <v>62</v>
      </c>
      <c r="Q216" s="4">
        <v>68</v>
      </c>
      <c r="R216" s="2" t="s">
        <v>47</v>
      </c>
      <c r="S216" s="2">
        <f t="shared" si="152"/>
        <v>765</v>
      </c>
      <c r="T216" s="2">
        <f t="shared" si="153"/>
        <v>510</v>
      </c>
      <c r="U216" s="4"/>
      <c r="V216" s="4"/>
      <c r="W216" s="4">
        <f t="shared" si="156"/>
        <v>694</v>
      </c>
      <c r="X216" s="4">
        <f t="shared" si="157"/>
        <v>1054</v>
      </c>
      <c r="Y216" s="4"/>
      <c r="AA216" s="4"/>
      <c r="AB216" s="4"/>
      <c r="AC216" s="2">
        <f t="shared" si="294"/>
        <v>930</v>
      </c>
      <c r="AD216" s="2">
        <f t="shared" si="285"/>
        <v>1340</v>
      </c>
      <c r="AE216" s="2">
        <f t="shared" si="286"/>
        <v>842</v>
      </c>
      <c r="AF216" s="2">
        <f t="shared" si="287"/>
        <v>1111</v>
      </c>
      <c r="AG216" s="2" t="s">
        <v>47</v>
      </c>
      <c r="AH216" s="4">
        <f t="shared" si="288"/>
        <v>930</v>
      </c>
      <c r="AI216" s="4">
        <f t="shared" si="289"/>
        <v>1111</v>
      </c>
      <c r="AJ216" s="4">
        <f t="shared" si="290"/>
        <v>694</v>
      </c>
      <c r="AK216" s="4">
        <f t="shared" si="291"/>
        <v>1054</v>
      </c>
      <c r="AL216" s="4">
        <f t="shared" si="178"/>
        <v>1624</v>
      </c>
      <c r="AM216" s="4">
        <f t="shared" si="179"/>
        <v>2165</v>
      </c>
      <c r="AN216" s="4">
        <f t="shared" ref="AN216:AN231" si="296">(280+M216+280)</f>
        <v>2660</v>
      </c>
      <c r="AO216" s="4">
        <f t="shared" ref="AO216:AO231" si="297">(280+M216+280)</f>
        <v>2660</v>
      </c>
    </row>
    <row r="217" spans="1:41" s="2" customFormat="1" x14ac:dyDescent="0.2">
      <c r="A217">
        <f t="shared" ref="A217:A245" si="298">A216+1</f>
        <v>216</v>
      </c>
      <c r="B217" t="s">
        <v>14</v>
      </c>
      <c r="C217">
        <v>2</v>
      </c>
      <c r="D217" t="s">
        <v>49</v>
      </c>
      <c r="E217" s="10">
        <v>1</v>
      </c>
      <c r="F217" t="s">
        <v>10</v>
      </c>
      <c r="G217">
        <v>800</v>
      </c>
      <c r="H217" s="2">
        <f t="shared" si="292"/>
        <v>455</v>
      </c>
      <c r="I217" s="2">
        <f t="shared" si="293"/>
        <v>150</v>
      </c>
      <c r="J217" s="4" t="s">
        <v>18</v>
      </c>
      <c r="K217" s="4">
        <v>30</v>
      </c>
      <c r="L217" s="2">
        <v>1100</v>
      </c>
      <c r="M217" s="4">
        <v>2100</v>
      </c>
      <c r="N217" s="4">
        <v>1200</v>
      </c>
      <c r="O217" s="4">
        <v>780</v>
      </c>
      <c r="P217" s="4">
        <v>62</v>
      </c>
      <c r="Q217" s="4">
        <v>68</v>
      </c>
      <c r="R217" s="2" t="s">
        <v>47</v>
      </c>
      <c r="S217" s="2">
        <f t="shared" si="152"/>
        <v>835</v>
      </c>
      <c r="T217" s="2">
        <f t="shared" si="153"/>
        <v>590</v>
      </c>
      <c r="U217" s="4"/>
      <c r="V217" s="4"/>
      <c r="W217" s="4">
        <f t="shared" si="156"/>
        <v>694</v>
      </c>
      <c r="X217" s="4">
        <f t="shared" si="157"/>
        <v>1054</v>
      </c>
      <c r="Y217" s="4"/>
      <c r="Z217"/>
      <c r="AA217" s="4"/>
      <c r="AB217" s="4"/>
      <c r="AC217" s="2">
        <f t="shared" si="294"/>
        <v>930</v>
      </c>
      <c r="AD217" s="2">
        <f t="shared" si="285"/>
        <v>1340</v>
      </c>
      <c r="AE217" s="2">
        <f t="shared" si="286"/>
        <v>842</v>
      </c>
      <c r="AF217" s="2">
        <f t="shared" si="287"/>
        <v>1111</v>
      </c>
      <c r="AG217" s="2" t="s">
        <v>47</v>
      </c>
      <c r="AH217" s="4">
        <f t="shared" si="288"/>
        <v>930</v>
      </c>
      <c r="AI217" s="4">
        <f t="shared" si="289"/>
        <v>1111</v>
      </c>
      <c r="AJ217" s="4">
        <f t="shared" si="290"/>
        <v>694</v>
      </c>
      <c r="AK217" s="4">
        <f t="shared" si="291"/>
        <v>1054</v>
      </c>
      <c r="AL217" s="4">
        <f t="shared" si="178"/>
        <v>1624</v>
      </c>
      <c r="AM217" s="4">
        <f t="shared" si="179"/>
        <v>2165</v>
      </c>
      <c r="AN217" s="4">
        <f t="shared" si="296"/>
        <v>2660</v>
      </c>
      <c r="AO217" s="4">
        <f t="shared" si="297"/>
        <v>2660</v>
      </c>
    </row>
    <row r="218" spans="1:41" s="2" customFormat="1" x14ac:dyDescent="0.2">
      <c r="A218">
        <f t="shared" si="298"/>
        <v>217</v>
      </c>
      <c r="B218" t="s">
        <v>14</v>
      </c>
      <c r="C218">
        <v>2</v>
      </c>
      <c r="D218" t="s">
        <v>49</v>
      </c>
      <c r="E218" s="10">
        <v>1</v>
      </c>
      <c r="F218" t="s">
        <v>10</v>
      </c>
      <c r="G218">
        <v>800</v>
      </c>
      <c r="H218" s="2">
        <f t="shared" si="292"/>
        <v>455</v>
      </c>
      <c r="I218" s="2">
        <f t="shared" si="293"/>
        <v>150</v>
      </c>
      <c r="J218" s="4" t="s">
        <v>19</v>
      </c>
      <c r="K218" s="4">
        <v>0</v>
      </c>
      <c r="L218" s="2">
        <v>1100</v>
      </c>
      <c r="M218" s="4">
        <v>2100</v>
      </c>
      <c r="N218" s="4">
        <v>1200</v>
      </c>
      <c r="O218" s="4">
        <v>780</v>
      </c>
      <c r="P218" s="4">
        <v>62</v>
      </c>
      <c r="Q218" s="4">
        <v>68</v>
      </c>
      <c r="R218" s="2" t="s">
        <v>47</v>
      </c>
      <c r="S218" s="2">
        <f t="shared" si="152"/>
        <v>865</v>
      </c>
      <c r="T218" s="2">
        <f t="shared" si="153"/>
        <v>560</v>
      </c>
      <c r="U218" s="4"/>
      <c r="V218" s="4"/>
      <c r="W218" s="4">
        <f t="shared" si="156"/>
        <v>694</v>
      </c>
      <c r="X218" s="4">
        <f t="shared" si="157"/>
        <v>1054</v>
      </c>
      <c r="Y218" s="4"/>
      <c r="Z218"/>
      <c r="AA218" s="4"/>
      <c r="AB218" s="4"/>
      <c r="AC218" s="2">
        <f t="shared" si="294"/>
        <v>930</v>
      </c>
      <c r="AD218" s="2">
        <f t="shared" si="285"/>
        <v>1340</v>
      </c>
      <c r="AE218" s="2">
        <f t="shared" si="286"/>
        <v>842</v>
      </c>
      <c r="AF218" s="2">
        <f t="shared" si="287"/>
        <v>1111</v>
      </c>
      <c r="AG218" s="2" t="s">
        <v>47</v>
      </c>
      <c r="AH218" s="4">
        <f t="shared" si="288"/>
        <v>930</v>
      </c>
      <c r="AI218" s="4">
        <f t="shared" si="289"/>
        <v>1111</v>
      </c>
      <c r="AJ218" s="4">
        <f t="shared" si="290"/>
        <v>694</v>
      </c>
      <c r="AK218" s="4">
        <f t="shared" si="291"/>
        <v>1054</v>
      </c>
      <c r="AL218" s="4">
        <f t="shared" si="178"/>
        <v>1624</v>
      </c>
      <c r="AM218" s="4">
        <f t="shared" si="179"/>
        <v>2165</v>
      </c>
      <c r="AN218" s="4">
        <f t="shared" si="296"/>
        <v>2660</v>
      </c>
      <c r="AO218" s="4">
        <f t="shared" si="297"/>
        <v>2660</v>
      </c>
    </row>
    <row r="219" spans="1:41" s="2" customFormat="1" x14ac:dyDescent="0.2">
      <c r="A219">
        <f t="shared" si="298"/>
        <v>218</v>
      </c>
      <c r="B219" t="s">
        <v>14</v>
      </c>
      <c r="C219">
        <v>2</v>
      </c>
      <c r="D219" t="s">
        <v>49</v>
      </c>
      <c r="E219" s="10">
        <v>1</v>
      </c>
      <c r="F219" t="s">
        <v>10</v>
      </c>
      <c r="G219">
        <v>900</v>
      </c>
      <c r="H219" s="2">
        <f>G219/2+IF(F219="CLD",65,55)</f>
        <v>505</v>
      </c>
      <c r="I219" s="2">
        <f>IF(F219="CLD",G219/2+65,150)</f>
        <v>150</v>
      </c>
      <c r="J219" s="4" t="s">
        <v>18</v>
      </c>
      <c r="K219" s="4">
        <v>50</v>
      </c>
      <c r="L219" s="2">
        <v>1100</v>
      </c>
      <c r="M219" s="4">
        <v>2100</v>
      </c>
      <c r="N219" s="4">
        <v>1200</v>
      </c>
      <c r="O219" s="4">
        <v>780</v>
      </c>
      <c r="P219" s="4">
        <v>62</v>
      </c>
      <c r="Q219" s="4">
        <v>68</v>
      </c>
      <c r="R219" s="2" t="s">
        <v>47</v>
      </c>
      <c r="S219" s="2">
        <f>(-K219+G219/2+H219+10)</f>
        <v>915</v>
      </c>
      <c r="T219" s="2">
        <f>(K219+G219/2+I219+10)</f>
        <v>660</v>
      </c>
      <c r="U219" s="4"/>
      <c r="V219" s="4"/>
      <c r="W219" s="4">
        <f>(L219/2+40+P219+42)</f>
        <v>694</v>
      </c>
      <c r="X219" s="4">
        <f>(L219/2+40+P219+402)</f>
        <v>1054</v>
      </c>
      <c r="Y219" s="4"/>
      <c r="Z219"/>
      <c r="AA219" s="4"/>
      <c r="AB219" s="4"/>
      <c r="AC219" s="2">
        <f t="shared" si="294"/>
        <v>930</v>
      </c>
      <c r="AD219" s="2">
        <f t="shared" si="285"/>
        <v>1340</v>
      </c>
      <c r="AE219" s="2">
        <f>(L219/2+40+P219+190)</f>
        <v>842</v>
      </c>
      <c r="AF219" s="2">
        <f>(L219/2+40+P219+459)</f>
        <v>1111</v>
      </c>
      <c r="AG219" s="2" t="s">
        <v>47</v>
      </c>
      <c r="AH219" s="4">
        <f>MAX(S219,AC219,AE219)</f>
        <v>930</v>
      </c>
      <c r="AI219" s="4">
        <f>MIN(AD219,AF219)</f>
        <v>1111</v>
      </c>
      <c r="AJ219" s="4">
        <f>MAX(T219,W219)</f>
        <v>694</v>
      </c>
      <c r="AK219" s="4">
        <f>X219</f>
        <v>1054</v>
      </c>
      <c r="AL219" s="4">
        <f>(AH219+AJ219)</f>
        <v>1624</v>
      </c>
      <c r="AM219" s="4">
        <f>(AI219+AK219)</f>
        <v>2165</v>
      </c>
      <c r="AN219" s="4">
        <f>(280+M219+280)</f>
        <v>2660</v>
      </c>
      <c r="AO219" s="4">
        <f>(280+M219+280)</f>
        <v>2660</v>
      </c>
    </row>
    <row r="220" spans="1:41" s="2" customFormat="1" x14ac:dyDescent="0.2">
      <c r="A220">
        <f t="shared" si="298"/>
        <v>219</v>
      </c>
      <c r="B220" t="s">
        <v>14</v>
      </c>
      <c r="C220">
        <v>2</v>
      </c>
      <c r="D220" t="s">
        <v>49</v>
      </c>
      <c r="E220" s="10">
        <v>1</v>
      </c>
      <c r="F220" t="s">
        <v>10</v>
      </c>
      <c r="G220">
        <v>1000</v>
      </c>
      <c r="H220" s="2">
        <f t="shared" si="292"/>
        <v>555</v>
      </c>
      <c r="I220" s="2">
        <f t="shared" si="293"/>
        <v>150</v>
      </c>
      <c r="J220" s="4" t="s">
        <v>18</v>
      </c>
      <c r="K220" s="4">
        <v>30</v>
      </c>
      <c r="L220" s="2">
        <v>1100</v>
      </c>
      <c r="M220" s="4">
        <v>2100</v>
      </c>
      <c r="N220" s="4">
        <v>1200</v>
      </c>
      <c r="O220" s="4">
        <v>780</v>
      </c>
      <c r="P220" s="4">
        <v>62</v>
      </c>
      <c r="Q220" s="4">
        <v>68</v>
      </c>
      <c r="R220" s="2" t="s">
        <v>47</v>
      </c>
      <c r="S220" s="2">
        <f t="shared" si="152"/>
        <v>1035</v>
      </c>
      <c r="T220" s="2">
        <f t="shared" si="153"/>
        <v>690</v>
      </c>
      <c r="U220" s="4"/>
      <c r="V220" s="4"/>
      <c r="W220" s="4">
        <f t="shared" si="156"/>
        <v>694</v>
      </c>
      <c r="X220" s="4">
        <f t="shared" si="157"/>
        <v>1054</v>
      </c>
      <c r="Y220" s="4"/>
      <c r="Z220"/>
      <c r="AA220" s="4"/>
      <c r="AB220" s="4"/>
      <c r="AC220" s="2">
        <f t="shared" si="294"/>
        <v>930</v>
      </c>
      <c r="AD220" s="2">
        <f t="shared" si="285"/>
        <v>1340</v>
      </c>
      <c r="AE220" s="2">
        <f t="shared" si="286"/>
        <v>842</v>
      </c>
      <c r="AF220" s="2">
        <f t="shared" si="287"/>
        <v>1111</v>
      </c>
      <c r="AG220" s="2" t="s">
        <v>47</v>
      </c>
      <c r="AH220" s="4">
        <f t="shared" si="288"/>
        <v>1035</v>
      </c>
      <c r="AI220" s="4">
        <f t="shared" si="289"/>
        <v>1111</v>
      </c>
      <c r="AJ220" s="4">
        <f t="shared" si="290"/>
        <v>694</v>
      </c>
      <c r="AK220" s="4">
        <f t="shared" si="291"/>
        <v>1054</v>
      </c>
      <c r="AL220" s="4">
        <f t="shared" si="178"/>
        <v>1729</v>
      </c>
      <c r="AM220" s="4">
        <f t="shared" si="179"/>
        <v>2165</v>
      </c>
      <c r="AN220" s="4">
        <f t="shared" si="296"/>
        <v>2660</v>
      </c>
      <c r="AO220" s="4">
        <f t="shared" si="297"/>
        <v>2660</v>
      </c>
    </row>
    <row r="221" spans="1:41" s="2" customFormat="1" x14ac:dyDescent="0.2">
      <c r="A221">
        <f t="shared" si="298"/>
        <v>220</v>
      </c>
      <c r="B221" t="s">
        <v>14</v>
      </c>
      <c r="C221">
        <v>2</v>
      </c>
      <c r="D221" t="s">
        <v>49</v>
      </c>
      <c r="E221" s="10">
        <v>1</v>
      </c>
      <c r="F221" t="s">
        <v>11</v>
      </c>
      <c r="G221">
        <v>700</v>
      </c>
      <c r="H221" s="2">
        <f t="shared" si="292"/>
        <v>415</v>
      </c>
      <c r="I221" s="2">
        <f t="shared" si="293"/>
        <v>415</v>
      </c>
      <c r="J221" s="4" t="s">
        <v>19</v>
      </c>
      <c r="K221" s="4">
        <v>0</v>
      </c>
      <c r="L221" s="2">
        <v>1100</v>
      </c>
      <c r="M221" s="4">
        <v>2100</v>
      </c>
      <c r="N221" s="4">
        <v>1200</v>
      </c>
      <c r="O221" s="4">
        <v>780</v>
      </c>
      <c r="P221" s="4">
        <v>62</v>
      </c>
      <c r="Q221" s="4">
        <v>68</v>
      </c>
      <c r="R221" s="2" t="s">
        <v>47</v>
      </c>
      <c r="S221" s="2">
        <f t="shared" si="152"/>
        <v>775</v>
      </c>
      <c r="T221" s="2">
        <f t="shared" si="153"/>
        <v>775</v>
      </c>
      <c r="U221" s="4"/>
      <c r="V221" s="4"/>
      <c r="W221" s="4">
        <f t="shared" si="156"/>
        <v>694</v>
      </c>
      <c r="X221" s="4">
        <f t="shared" si="157"/>
        <v>1054</v>
      </c>
      <c r="Y221" s="4"/>
      <c r="Z221"/>
      <c r="AA221" s="4"/>
      <c r="AB221" s="4"/>
      <c r="AC221" s="2">
        <f t="shared" si="294"/>
        <v>930</v>
      </c>
      <c r="AD221" s="2">
        <f t="shared" si="285"/>
        <v>1340</v>
      </c>
      <c r="AE221" s="2">
        <f t="shared" si="286"/>
        <v>842</v>
      </c>
      <c r="AF221" s="2">
        <f t="shared" si="287"/>
        <v>1111</v>
      </c>
      <c r="AG221" s="2" t="s">
        <v>47</v>
      </c>
      <c r="AH221" s="4">
        <f t="shared" si="288"/>
        <v>930</v>
      </c>
      <c r="AI221" s="4">
        <f t="shared" si="289"/>
        <v>1111</v>
      </c>
      <c r="AJ221" s="4">
        <f t="shared" si="290"/>
        <v>775</v>
      </c>
      <c r="AK221" s="4">
        <f t="shared" si="291"/>
        <v>1054</v>
      </c>
      <c r="AL221" s="4">
        <f t="shared" si="178"/>
        <v>1705</v>
      </c>
      <c r="AM221" s="4">
        <f t="shared" si="179"/>
        <v>2165</v>
      </c>
      <c r="AN221" s="4">
        <f t="shared" si="296"/>
        <v>2660</v>
      </c>
      <c r="AO221" s="4">
        <f t="shared" si="297"/>
        <v>2660</v>
      </c>
    </row>
    <row r="222" spans="1:41" s="2" customFormat="1" x14ac:dyDescent="0.2">
      <c r="A222">
        <f t="shared" si="298"/>
        <v>221</v>
      </c>
      <c r="B222" t="s">
        <v>14</v>
      </c>
      <c r="C222">
        <v>2</v>
      </c>
      <c r="D222" t="s">
        <v>49</v>
      </c>
      <c r="E222" s="10">
        <v>1</v>
      </c>
      <c r="F222" t="s">
        <v>11</v>
      </c>
      <c r="G222">
        <v>800</v>
      </c>
      <c r="H222" s="2">
        <f t="shared" si="292"/>
        <v>465</v>
      </c>
      <c r="I222" s="2">
        <f t="shared" si="293"/>
        <v>465</v>
      </c>
      <c r="J222" s="4" t="s">
        <v>19</v>
      </c>
      <c r="K222" s="4">
        <v>0</v>
      </c>
      <c r="L222" s="2">
        <v>1100</v>
      </c>
      <c r="M222" s="4">
        <v>2100</v>
      </c>
      <c r="N222" s="4">
        <v>1200</v>
      </c>
      <c r="O222" s="4">
        <v>780</v>
      </c>
      <c r="P222" s="4">
        <v>62</v>
      </c>
      <c r="Q222" s="4">
        <v>68</v>
      </c>
      <c r="R222" s="2" t="s">
        <v>47</v>
      </c>
      <c r="S222" s="2">
        <f t="shared" si="152"/>
        <v>875</v>
      </c>
      <c r="T222" s="2">
        <f t="shared" si="153"/>
        <v>875</v>
      </c>
      <c r="U222" s="4"/>
      <c r="V222" s="4"/>
      <c r="W222" s="4">
        <f t="shared" si="156"/>
        <v>694</v>
      </c>
      <c r="X222" s="4">
        <f t="shared" si="157"/>
        <v>1054</v>
      </c>
      <c r="Y222" s="4"/>
      <c r="Z222"/>
      <c r="AA222" s="4"/>
      <c r="AB222" s="4"/>
      <c r="AC222" s="2">
        <f t="shared" si="294"/>
        <v>930</v>
      </c>
      <c r="AD222" s="2">
        <f t="shared" si="285"/>
        <v>1340</v>
      </c>
      <c r="AE222" s="2">
        <f t="shared" si="286"/>
        <v>842</v>
      </c>
      <c r="AF222" s="2">
        <f t="shared" si="287"/>
        <v>1111</v>
      </c>
      <c r="AG222" s="2" t="s">
        <v>47</v>
      </c>
      <c r="AH222" s="4">
        <f t="shared" si="288"/>
        <v>930</v>
      </c>
      <c r="AI222" s="4">
        <f t="shared" si="289"/>
        <v>1111</v>
      </c>
      <c r="AJ222" s="4">
        <f t="shared" si="290"/>
        <v>875</v>
      </c>
      <c r="AK222" s="4">
        <f t="shared" si="291"/>
        <v>1054</v>
      </c>
      <c r="AL222" s="4">
        <f t="shared" si="178"/>
        <v>1805</v>
      </c>
      <c r="AM222" s="4">
        <f t="shared" si="179"/>
        <v>2165</v>
      </c>
      <c r="AN222" s="4">
        <f t="shared" si="296"/>
        <v>2660</v>
      </c>
      <c r="AO222" s="4">
        <f t="shared" si="297"/>
        <v>2660</v>
      </c>
    </row>
    <row r="223" spans="1:41" s="2" customFormat="1" x14ac:dyDescent="0.2">
      <c r="A223">
        <f t="shared" si="298"/>
        <v>222</v>
      </c>
      <c r="B223" s="1" t="s">
        <v>14</v>
      </c>
      <c r="C223" s="1">
        <v>2</v>
      </c>
      <c r="D223" t="s">
        <v>49</v>
      </c>
      <c r="E223" s="11">
        <v>1</v>
      </c>
      <c r="F223" s="1" t="s">
        <v>11</v>
      </c>
      <c r="G223" s="1">
        <v>900</v>
      </c>
      <c r="H223" s="2">
        <f t="shared" si="292"/>
        <v>515</v>
      </c>
      <c r="I223" s="2">
        <f t="shared" si="293"/>
        <v>515</v>
      </c>
      <c r="J223" s="5" t="s">
        <v>19</v>
      </c>
      <c r="K223" s="5">
        <v>0</v>
      </c>
      <c r="L223" s="1">
        <v>1100</v>
      </c>
      <c r="M223" s="5">
        <v>2100</v>
      </c>
      <c r="N223" s="5">
        <v>1200</v>
      </c>
      <c r="O223" s="5">
        <v>780</v>
      </c>
      <c r="P223" s="5">
        <v>62</v>
      </c>
      <c r="Q223" s="4">
        <v>68</v>
      </c>
      <c r="R223" s="2" t="s">
        <v>47</v>
      </c>
      <c r="S223" s="1">
        <f t="shared" si="152"/>
        <v>975</v>
      </c>
      <c r="T223" s="1">
        <f t="shared" si="153"/>
        <v>975</v>
      </c>
      <c r="U223" s="5"/>
      <c r="V223" s="5"/>
      <c r="W223" s="5">
        <f t="shared" si="156"/>
        <v>694</v>
      </c>
      <c r="X223" s="5">
        <f t="shared" si="157"/>
        <v>1054</v>
      </c>
      <c r="Y223" s="5"/>
      <c r="Z223" s="1"/>
      <c r="AA223" s="5"/>
      <c r="AB223" s="5"/>
      <c r="AC223" s="2">
        <f t="shared" si="294"/>
        <v>930</v>
      </c>
      <c r="AD223" s="1">
        <f t="shared" si="285"/>
        <v>1340</v>
      </c>
      <c r="AE223" s="1">
        <f t="shared" si="286"/>
        <v>842</v>
      </c>
      <c r="AF223" s="1">
        <f t="shared" si="287"/>
        <v>1111</v>
      </c>
      <c r="AG223" s="2" t="s">
        <v>47</v>
      </c>
      <c r="AH223" s="5">
        <f t="shared" si="288"/>
        <v>975</v>
      </c>
      <c r="AI223" s="5">
        <f t="shared" si="289"/>
        <v>1111</v>
      </c>
      <c r="AJ223" s="5">
        <f t="shared" si="290"/>
        <v>975</v>
      </c>
      <c r="AK223" s="5">
        <f t="shared" si="291"/>
        <v>1054</v>
      </c>
      <c r="AL223" s="5">
        <f t="shared" si="178"/>
        <v>1950</v>
      </c>
      <c r="AM223" s="5">
        <f t="shared" si="179"/>
        <v>2165</v>
      </c>
      <c r="AN223" s="5">
        <f t="shared" si="296"/>
        <v>2660</v>
      </c>
      <c r="AO223" s="5">
        <f t="shared" si="297"/>
        <v>2660</v>
      </c>
    </row>
    <row r="224" spans="1:41" s="2" customFormat="1" x14ac:dyDescent="0.2">
      <c r="A224">
        <f t="shared" si="298"/>
        <v>223</v>
      </c>
      <c r="B224" t="s">
        <v>14</v>
      </c>
      <c r="C224">
        <v>2</v>
      </c>
      <c r="D224" t="s">
        <v>49</v>
      </c>
      <c r="E224" s="10">
        <v>1.6</v>
      </c>
      <c r="F224" t="s">
        <v>10</v>
      </c>
      <c r="G224" s="4">
        <v>700</v>
      </c>
      <c r="H224" s="2">
        <f t="shared" si="292"/>
        <v>405</v>
      </c>
      <c r="I224" s="2">
        <f t="shared" si="293"/>
        <v>150</v>
      </c>
      <c r="J224" s="4" t="s">
        <v>19</v>
      </c>
      <c r="K224" s="4">
        <v>0</v>
      </c>
      <c r="L224" s="2">
        <v>1100</v>
      </c>
      <c r="M224" s="4">
        <v>2100</v>
      </c>
      <c r="N224" s="4">
        <v>1200</v>
      </c>
      <c r="O224" s="4">
        <v>780</v>
      </c>
      <c r="P224" s="4">
        <v>62</v>
      </c>
      <c r="Q224" s="4">
        <v>68</v>
      </c>
      <c r="R224" s="2" t="s">
        <v>47</v>
      </c>
      <c r="S224" s="2">
        <f t="shared" si="152"/>
        <v>765</v>
      </c>
      <c r="T224" s="2">
        <f t="shared" si="153"/>
        <v>510</v>
      </c>
      <c r="U224" s="4"/>
      <c r="V224" s="4"/>
      <c r="W224" s="4">
        <f t="shared" si="156"/>
        <v>694</v>
      </c>
      <c r="X224" s="4">
        <f t="shared" si="157"/>
        <v>1054</v>
      </c>
      <c r="Y224" s="4"/>
      <c r="AA224" s="4"/>
      <c r="AB224" s="4"/>
      <c r="AC224" s="2">
        <f t="shared" si="294"/>
        <v>930</v>
      </c>
      <c r="AD224" s="2">
        <f t="shared" si="285"/>
        <v>1340</v>
      </c>
      <c r="AE224" s="2">
        <f t="shared" si="286"/>
        <v>842</v>
      </c>
      <c r="AF224" s="2">
        <f t="shared" si="287"/>
        <v>1111</v>
      </c>
      <c r="AG224" s="2" t="s">
        <v>47</v>
      </c>
      <c r="AH224" s="4">
        <f t="shared" si="288"/>
        <v>930</v>
      </c>
      <c r="AI224" s="4">
        <f t="shared" si="289"/>
        <v>1111</v>
      </c>
      <c r="AJ224" s="4">
        <f t="shared" si="290"/>
        <v>694</v>
      </c>
      <c r="AK224" s="4">
        <f t="shared" si="291"/>
        <v>1054</v>
      </c>
      <c r="AL224" s="4">
        <f t="shared" si="178"/>
        <v>1624</v>
      </c>
      <c r="AM224" s="4">
        <f t="shared" si="179"/>
        <v>2165</v>
      </c>
      <c r="AN224" s="4">
        <f t="shared" si="296"/>
        <v>2660</v>
      </c>
      <c r="AO224" s="4">
        <f t="shared" si="297"/>
        <v>2660</v>
      </c>
    </row>
    <row r="225" spans="1:41" s="2" customFormat="1" x14ac:dyDescent="0.2">
      <c r="A225">
        <f t="shared" si="298"/>
        <v>224</v>
      </c>
      <c r="B225" t="s">
        <v>14</v>
      </c>
      <c r="C225">
        <v>2</v>
      </c>
      <c r="D225" t="s">
        <v>49</v>
      </c>
      <c r="E225" s="10">
        <v>1.6</v>
      </c>
      <c r="F225" t="s">
        <v>10</v>
      </c>
      <c r="G225">
        <v>800</v>
      </c>
      <c r="H225" s="2">
        <f t="shared" si="292"/>
        <v>455</v>
      </c>
      <c r="I225" s="2">
        <f t="shared" si="293"/>
        <v>150</v>
      </c>
      <c r="J225" s="4" t="s">
        <v>18</v>
      </c>
      <c r="K225" s="4">
        <v>30</v>
      </c>
      <c r="L225" s="2">
        <v>1100</v>
      </c>
      <c r="M225" s="4">
        <v>2100</v>
      </c>
      <c r="N225" s="4">
        <v>1200</v>
      </c>
      <c r="O225" s="4">
        <v>780</v>
      </c>
      <c r="P225" s="4">
        <v>62</v>
      </c>
      <c r="Q225" s="4">
        <v>68</v>
      </c>
      <c r="R225" s="2" t="s">
        <v>47</v>
      </c>
      <c r="S225" s="2">
        <f t="shared" si="152"/>
        <v>835</v>
      </c>
      <c r="T225" s="2">
        <f t="shared" si="153"/>
        <v>590</v>
      </c>
      <c r="U225" s="4"/>
      <c r="V225" s="4"/>
      <c r="W225" s="4">
        <f t="shared" si="156"/>
        <v>694</v>
      </c>
      <c r="X225" s="4">
        <f t="shared" si="157"/>
        <v>1054</v>
      </c>
      <c r="Y225" s="4"/>
      <c r="Z225"/>
      <c r="AA225" s="4"/>
      <c r="AB225" s="4"/>
      <c r="AC225" s="2">
        <f t="shared" si="294"/>
        <v>930</v>
      </c>
      <c r="AD225" s="2">
        <f t="shared" si="285"/>
        <v>1340</v>
      </c>
      <c r="AE225" s="2">
        <f t="shared" si="286"/>
        <v>842</v>
      </c>
      <c r="AF225" s="2">
        <f t="shared" si="287"/>
        <v>1111</v>
      </c>
      <c r="AG225" s="2" t="s">
        <v>47</v>
      </c>
      <c r="AH225" s="4">
        <f t="shared" si="288"/>
        <v>930</v>
      </c>
      <c r="AI225" s="4">
        <f t="shared" si="289"/>
        <v>1111</v>
      </c>
      <c r="AJ225" s="4">
        <f t="shared" si="290"/>
        <v>694</v>
      </c>
      <c r="AK225" s="4">
        <f t="shared" si="291"/>
        <v>1054</v>
      </c>
      <c r="AL225" s="4">
        <f t="shared" si="178"/>
        <v>1624</v>
      </c>
      <c r="AM225" s="4">
        <f t="shared" si="179"/>
        <v>2165</v>
      </c>
      <c r="AN225" s="4">
        <f t="shared" si="296"/>
        <v>2660</v>
      </c>
      <c r="AO225" s="4">
        <f t="shared" si="297"/>
        <v>2660</v>
      </c>
    </row>
    <row r="226" spans="1:41" s="2" customFormat="1" x14ac:dyDescent="0.2">
      <c r="A226">
        <f t="shared" si="298"/>
        <v>225</v>
      </c>
      <c r="B226" t="s">
        <v>14</v>
      </c>
      <c r="C226">
        <v>2</v>
      </c>
      <c r="D226" t="s">
        <v>49</v>
      </c>
      <c r="E226" s="10">
        <v>1.6</v>
      </c>
      <c r="F226" t="s">
        <v>10</v>
      </c>
      <c r="G226">
        <v>800</v>
      </c>
      <c r="H226" s="2">
        <f t="shared" si="292"/>
        <v>455</v>
      </c>
      <c r="I226" s="2">
        <f t="shared" si="293"/>
        <v>150</v>
      </c>
      <c r="J226" s="4" t="s">
        <v>19</v>
      </c>
      <c r="K226" s="4">
        <v>0</v>
      </c>
      <c r="L226" s="2">
        <v>1100</v>
      </c>
      <c r="M226" s="4">
        <v>2100</v>
      </c>
      <c r="N226" s="4">
        <v>1200</v>
      </c>
      <c r="O226" s="4">
        <v>780</v>
      </c>
      <c r="P226" s="4">
        <v>62</v>
      </c>
      <c r="Q226" s="4">
        <v>68</v>
      </c>
      <c r="R226" s="2" t="s">
        <v>47</v>
      </c>
      <c r="S226" s="2">
        <f t="shared" si="152"/>
        <v>865</v>
      </c>
      <c r="T226" s="2">
        <f t="shared" si="153"/>
        <v>560</v>
      </c>
      <c r="U226" s="4"/>
      <c r="V226" s="4"/>
      <c r="W226" s="4">
        <f t="shared" si="156"/>
        <v>694</v>
      </c>
      <c r="X226" s="4">
        <f t="shared" si="157"/>
        <v>1054</v>
      </c>
      <c r="Y226" s="4"/>
      <c r="Z226"/>
      <c r="AA226" s="4"/>
      <c r="AB226" s="4"/>
      <c r="AC226" s="2">
        <f t="shared" si="294"/>
        <v>930</v>
      </c>
      <c r="AD226" s="2">
        <f t="shared" si="285"/>
        <v>1340</v>
      </c>
      <c r="AE226" s="2">
        <f t="shared" si="286"/>
        <v>842</v>
      </c>
      <c r="AF226" s="2">
        <f t="shared" si="287"/>
        <v>1111</v>
      </c>
      <c r="AG226" s="2" t="s">
        <v>47</v>
      </c>
      <c r="AH226" s="4">
        <f t="shared" si="288"/>
        <v>930</v>
      </c>
      <c r="AI226" s="4">
        <f t="shared" si="289"/>
        <v>1111</v>
      </c>
      <c r="AJ226" s="4">
        <f t="shared" si="290"/>
        <v>694</v>
      </c>
      <c r="AK226" s="4">
        <f t="shared" si="291"/>
        <v>1054</v>
      </c>
      <c r="AL226" s="4">
        <f t="shared" si="178"/>
        <v>1624</v>
      </c>
      <c r="AM226" s="4">
        <f t="shared" si="179"/>
        <v>2165</v>
      </c>
      <c r="AN226" s="4">
        <f t="shared" si="296"/>
        <v>2660</v>
      </c>
      <c r="AO226" s="4">
        <f t="shared" si="297"/>
        <v>2660</v>
      </c>
    </row>
    <row r="227" spans="1:41" s="2" customFormat="1" x14ac:dyDescent="0.2">
      <c r="A227">
        <f t="shared" si="298"/>
        <v>226</v>
      </c>
      <c r="B227" t="s">
        <v>14</v>
      </c>
      <c r="C227">
        <v>2</v>
      </c>
      <c r="D227" t="s">
        <v>49</v>
      </c>
      <c r="E227" s="10">
        <v>1.6</v>
      </c>
      <c r="F227" t="s">
        <v>10</v>
      </c>
      <c r="G227">
        <v>900</v>
      </c>
      <c r="H227" s="2">
        <f>G227/2+IF(F227="CLD",65,55)</f>
        <v>505</v>
      </c>
      <c r="I227" s="2">
        <f>IF(F227="CLD",G227/2+65,150)</f>
        <v>150</v>
      </c>
      <c r="J227" s="4" t="s">
        <v>18</v>
      </c>
      <c r="K227" s="4">
        <v>50</v>
      </c>
      <c r="L227" s="2">
        <v>1100</v>
      </c>
      <c r="M227" s="4">
        <v>2100</v>
      </c>
      <c r="N227" s="4">
        <v>1200</v>
      </c>
      <c r="O227" s="4">
        <v>780</v>
      </c>
      <c r="P227" s="4">
        <v>62</v>
      </c>
      <c r="Q227" s="4">
        <v>68</v>
      </c>
      <c r="R227" s="2" t="s">
        <v>47</v>
      </c>
      <c r="S227" s="2">
        <f>(-K227+G227/2+H227+10)</f>
        <v>915</v>
      </c>
      <c r="T227" s="2">
        <f>(K227+G227/2+I227+10)</f>
        <v>660</v>
      </c>
      <c r="U227" s="4"/>
      <c r="V227" s="4"/>
      <c r="W227" s="4">
        <f>(L227/2+40+P227+42)</f>
        <v>694</v>
      </c>
      <c r="X227" s="4">
        <f>(L227/2+40+P227+402)</f>
        <v>1054</v>
      </c>
      <c r="Y227" s="4"/>
      <c r="Z227"/>
      <c r="AA227" s="4"/>
      <c r="AB227" s="4"/>
      <c r="AC227" s="2">
        <f t="shared" si="294"/>
        <v>930</v>
      </c>
      <c r="AD227" s="2">
        <f t="shared" si="285"/>
        <v>1340</v>
      </c>
      <c r="AE227" s="2">
        <f>(L227/2+40+P227+190)</f>
        <v>842</v>
      </c>
      <c r="AF227" s="2">
        <f>(L227/2+40+P227+459)</f>
        <v>1111</v>
      </c>
      <c r="AG227" s="2" t="s">
        <v>47</v>
      </c>
      <c r="AH227" s="4">
        <f>MAX(S227,AC227,AE227)</f>
        <v>930</v>
      </c>
      <c r="AI227" s="4">
        <f>MIN(AD227,AF227)</f>
        <v>1111</v>
      </c>
      <c r="AJ227" s="4">
        <f>MAX(T227,W227)</f>
        <v>694</v>
      </c>
      <c r="AK227" s="4">
        <f>X227</f>
        <v>1054</v>
      </c>
      <c r="AL227" s="4">
        <f>(AH227+AJ227)</f>
        <v>1624</v>
      </c>
      <c r="AM227" s="4">
        <f>(AI227+AK227)</f>
        <v>2165</v>
      </c>
      <c r="AN227" s="4">
        <f>(280+M227+280)</f>
        <v>2660</v>
      </c>
      <c r="AO227" s="4">
        <f>(280+M227+280)</f>
        <v>2660</v>
      </c>
    </row>
    <row r="228" spans="1:41" s="2" customFormat="1" x14ac:dyDescent="0.2">
      <c r="A228">
        <f t="shared" si="298"/>
        <v>227</v>
      </c>
      <c r="B228" t="s">
        <v>14</v>
      </c>
      <c r="C228">
        <v>2</v>
      </c>
      <c r="D228" t="s">
        <v>49</v>
      </c>
      <c r="E228" s="10">
        <v>1.6</v>
      </c>
      <c r="F228" t="s">
        <v>10</v>
      </c>
      <c r="G228">
        <v>1000</v>
      </c>
      <c r="H228" s="2">
        <f t="shared" si="292"/>
        <v>555</v>
      </c>
      <c r="I228" s="2">
        <f t="shared" si="293"/>
        <v>150</v>
      </c>
      <c r="J228" s="4" t="s">
        <v>18</v>
      </c>
      <c r="K228" s="4">
        <v>30</v>
      </c>
      <c r="L228" s="2">
        <v>1100</v>
      </c>
      <c r="M228" s="4">
        <v>2100</v>
      </c>
      <c r="N228" s="4">
        <v>1200</v>
      </c>
      <c r="O228" s="4">
        <v>780</v>
      </c>
      <c r="P228" s="4">
        <v>62</v>
      </c>
      <c r="Q228" s="4">
        <v>68</v>
      </c>
      <c r="R228" s="2" t="s">
        <v>47</v>
      </c>
      <c r="S228" s="2">
        <f t="shared" si="152"/>
        <v>1035</v>
      </c>
      <c r="T228" s="2">
        <f t="shared" si="153"/>
        <v>690</v>
      </c>
      <c r="U228" s="4"/>
      <c r="V228" s="4"/>
      <c r="W228" s="4">
        <f t="shared" si="156"/>
        <v>694</v>
      </c>
      <c r="X228" s="4">
        <f t="shared" si="157"/>
        <v>1054</v>
      </c>
      <c r="Y228" s="4"/>
      <c r="Z228"/>
      <c r="AA228" s="4"/>
      <c r="AB228" s="4"/>
      <c r="AC228" s="2">
        <f t="shared" si="294"/>
        <v>930</v>
      </c>
      <c r="AD228" s="2">
        <f t="shared" si="285"/>
        <v>1340</v>
      </c>
      <c r="AE228" s="2">
        <f t="shared" si="286"/>
        <v>842</v>
      </c>
      <c r="AF228" s="2">
        <f t="shared" si="287"/>
        <v>1111</v>
      </c>
      <c r="AG228" s="2" t="s">
        <v>47</v>
      </c>
      <c r="AH228" s="4">
        <f t="shared" si="288"/>
        <v>1035</v>
      </c>
      <c r="AI228" s="4">
        <f t="shared" si="289"/>
        <v>1111</v>
      </c>
      <c r="AJ228" s="4">
        <f t="shared" si="290"/>
        <v>694</v>
      </c>
      <c r="AK228" s="4">
        <f t="shared" si="291"/>
        <v>1054</v>
      </c>
      <c r="AL228" s="4">
        <f t="shared" si="178"/>
        <v>1729</v>
      </c>
      <c r="AM228" s="4">
        <f t="shared" si="179"/>
        <v>2165</v>
      </c>
      <c r="AN228" s="4">
        <f t="shared" si="296"/>
        <v>2660</v>
      </c>
      <c r="AO228" s="4">
        <f t="shared" si="297"/>
        <v>2660</v>
      </c>
    </row>
    <row r="229" spans="1:41" s="2" customFormat="1" x14ac:dyDescent="0.2">
      <c r="A229">
        <f t="shared" si="298"/>
        <v>228</v>
      </c>
      <c r="B229" t="s">
        <v>14</v>
      </c>
      <c r="C229">
        <v>2</v>
      </c>
      <c r="D229" t="s">
        <v>49</v>
      </c>
      <c r="E229" s="10">
        <v>1.6</v>
      </c>
      <c r="F229" t="s">
        <v>11</v>
      </c>
      <c r="G229">
        <v>700</v>
      </c>
      <c r="H229" s="2">
        <f t="shared" si="292"/>
        <v>415</v>
      </c>
      <c r="I229" s="2">
        <f t="shared" si="293"/>
        <v>415</v>
      </c>
      <c r="J229" s="4" t="s">
        <v>19</v>
      </c>
      <c r="K229" s="4">
        <v>0</v>
      </c>
      <c r="L229" s="2">
        <v>1100</v>
      </c>
      <c r="M229" s="4">
        <v>2100</v>
      </c>
      <c r="N229" s="4">
        <v>1200</v>
      </c>
      <c r="O229" s="4">
        <v>780</v>
      </c>
      <c r="P229" s="4">
        <v>62</v>
      </c>
      <c r="Q229" s="4">
        <v>68</v>
      </c>
      <c r="R229" s="2" t="s">
        <v>47</v>
      </c>
      <c r="S229" s="2">
        <f t="shared" ref="S229:S245" si="299">(-K229+G229/2+H229+10)</f>
        <v>775</v>
      </c>
      <c r="T229" s="2">
        <f t="shared" ref="T229:T245" si="300">(K229+G229/2+I229+10)</f>
        <v>775</v>
      </c>
      <c r="U229" s="4"/>
      <c r="V229" s="4"/>
      <c r="W229" s="4">
        <f t="shared" ref="W229:W245" si="301">(L229/2+40+P229+42)</f>
        <v>694</v>
      </c>
      <c r="X229" s="4">
        <f t="shared" ref="X229:X245" si="302">(L229/2+40+P229+402)</f>
        <v>1054</v>
      </c>
      <c r="Y229" s="4"/>
      <c r="Z229"/>
      <c r="AA229" s="4"/>
      <c r="AB229" s="4"/>
      <c r="AC229" s="2">
        <f t="shared" si="294"/>
        <v>930</v>
      </c>
      <c r="AD229" s="2">
        <f t="shared" si="285"/>
        <v>1340</v>
      </c>
      <c r="AE229" s="2">
        <f t="shared" si="286"/>
        <v>842</v>
      </c>
      <c r="AF229" s="2">
        <f t="shared" si="287"/>
        <v>1111</v>
      </c>
      <c r="AG229" s="2" t="s">
        <v>47</v>
      </c>
      <c r="AH229" s="4">
        <f t="shared" si="288"/>
        <v>930</v>
      </c>
      <c r="AI229" s="4">
        <f t="shared" si="289"/>
        <v>1111</v>
      </c>
      <c r="AJ229" s="4">
        <f t="shared" si="290"/>
        <v>775</v>
      </c>
      <c r="AK229" s="4">
        <f t="shared" si="291"/>
        <v>1054</v>
      </c>
      <c r="AL229" s="4">
        <f t="shared" si="178"/>
        <v>1705</v>
      </c>
      <c r="AM229" s="4">
        <f t="shared" si="179"/>
        <v>2165</v>
      </c>
      <c r="AN229" s="4">
        <f t="shared" si="296"/>
        <v>2660</v>
      </c>
      <c r="AO229" s="4">
        <f t="shared" si="297"/>
        <v>2660</v>
      </c>
    </row>
    <row r="230" spans="1:41" s="2" customFormat="1" x14ac:dyDescent="0.2">
      <c r="A230">
        <f t="shared" si="298"/>
        <v>229</v>
      </c>
      <c r="B230" t="s">
        <v>14</v>
      </c>
      <c r="C230">
        <v>2</v>
      </c>
      <c r="D230" t="s">
        <v>49</v>
      </c>
      <c r="E230" s="10">
        <v>1.6</v>
      </c>
      <c r="F230" t="s">
        <v>11</v>
      </c>
      <c r="G230">
        <v>800</v>
      </c>
      <c r="H230" s="2">
        <f t="shared" si="292"/>
        <v>465</v>
      </c>
      <c r="I230" s="2">
        <f t="shared" si="293"/>
        <v>465</v>
      </c>
      <c r="J230" s="4" t="s">
        <v>19</v>
      </c>
      <c r="K230" s="4">
        <v>0</v>
      </c>
      <c r="L230" s="2">
        <v>1100</v>
      </c>
      <c r="M230" s="4">
        <v>2100</v>
      </c>
      <c r="N230" s="4">
        <v>1200</v>
      </c>
      <c r="O230" s="4">
        <v>780</v>
      </c>
      <c r="P230" s="4">
        <v>62</v>
      </c>
      <c r="Q230" s="4">
        <v>68</v>
      </c>
      <c r="R230" s="2" t="s">
        <v>47</v>
      </c>
      <c r="S230" s="2">
        <f t="shared" si="299"/>
        <v>875</v>
      </c>
      <c r="T230" s="2">
        <f t="shared" si="300"/>
        <v>875</v>
      </c>
      <c r="U230" s="4"/>
      <c r="V230" s="4"/>
      <c r="W230" s="4">
        <f t="shared" si="301"/>
        <v>694</v>
      </c>
      <c r="X230" s="4">
        <f t="shared" si="302"/>
        <v>1054</v>
      </c>
      <c r="Y230" s="4"/>
      <c r="Z230"/>
      <c r="AA230" s="4"/>
      <c r="AB230" s="4"/>
      <c r="AC230" s="2">
        <f t="shared" si="294"/>
        <v>930</v>
      </c>
      <c r="AD230" s="2">
        <f t="shared" si="285"/>
        <v>1340</v>
      </c>
      <c r="AE230" s="2">
        <f t="shared" si="286"/>
        <v>842</v>
      </c>
      <c r="AF230" s="2">
        <f t="shared" si="287"/>
        <v>1111</v>
      </c>
      <c r="AG230" s="2" t="s">
        <v>47</v>
      </c>
      <c r="AH230" s="4">
        <f t="shared" si="288"/>
        <v>930</v>
      </c>
      <c r="AI230" s="4">
        <f t="shared" si="289"/>
        <v>1111</v>
      </c>
      <c r="AJ230" s="4">
        <f t="shared" si="290"/>
        <v>875</v>
      </c>
      <c r="AK230" s="4">
        <f t="shared" si="291"/>
        <v>1054</v>
      </c>
      <c r="AL230" s="4">
        <f t="shared" si="178"/>
        <v>1805</v>
      </c>
      <c r="AM230" s="4">
        <f t="shared" si="179"/>
        <v>2165</v>
      </c>
      <c r="AN230" s="4">
        <f t="shared" si="296"/>
        <v>2660</v>
      </c>
      <c r="AO230" s="4">
        <f t="shared" si="297"/>
        <v>2660</v>
      </c>
    </row>
    <row r="231" spans="1:41" s="6" customFormat="1" ht="13.5" thickBot="1" x14ac:dyDescent="0.25">
      <c r="A231">
        <f t="shared" si="298"/>
        <v>230</v>
      </c>
      <c r="B231" s="6" t="s">
        <v>14</v>
      </c>
      <c r="C231" s="6">
        <v>2</v>
      </c>
      <c r="D231" s="6" t="s">
        <v>49</v>
      </c>
      <c r="E231" s="13">
        <v>1.6</v>
      </c>
      <c r="F231" s="6" t="s">
        <v>11</v>
      </c>
      <c r="G231" s="6">
        <v>900</v>
      </c>
      <c r="H231" s="6">
        <f t="shared" si="292"/>
        <v>515</v>
      </c>
      <c r="I231" s="6">
        <f t="shared" si="293"/>
        <v>515</v>
      </c>
      <c r="J231" s="7" t="s">
        <v>19</v>
      </c>
      <c r="K231" s="7">
        <v>0</v>
      </c>
      <c r="L231" s="6">
        <v>1100</v>
      </c>
      <c r="M231" s="7">
        <v>2100</v>
      </c>
      <c r="N231" s="7">
        <v>1200</v>
      </c>
      <c r="O231" s="7">
        <v>780</v>
      </c>
      <c r="P231" s="7">
        <v>62</v>
      </c>
      <c r="Q231" s="7">
        <v>68</v>
      </c>
      <c r="R231" s="6" t="s">
        <v>47</v>
      </c>
      <c r="S231" s="6">
        <f t="shared" si="299"/>
        <v>975</v>
      </c>
      <c r="T231" s="6">
        <f t="shared" si="300"/>
        <v>975</v>
      </c>
      <c r="U231" s="7"/>
      <c r="V231" s="7"/>
      <c r="W231" s="7">
        <f t="shared" si="301"/>
        <v>694</v>
      </c>
      <c r="X231" s="7">
        <f t="shared" si="302"/>
        <v>1054</v>
      </c>
      <c r="Y231" s="7"/>
      <c r="AA231" s="7"/>
      <c r="AB231" s="7"/>
      <c r="AC231" s="6">
        <f t="shared" si="294"/>
        <v>930</v>
      </c>
      <c r="AD231" s="6">
        <f t="shared" si="285"/>
        <v>1340</v>
      </c>
      <c r="AE231" s="6">
        <f t="shared" si="286"/>
        <v>842</v>
      </c>
      <c r="AF231" s="6">
        <f t="shared" si="287"/>
        <v>1111</v>
      </c>
      <c r="AG231" s="6" t="s">
        <v>47</v>
      </c>
      <c r="AH231" s="7">
        <f t="shared" si="288"/>
        <v>975</v>
      </c>
      <c r="AI231" s="7">
        <f t="shared" si="289"/>
        <v>1111</v>
      </c>
      <c r="AJ231" s="7">
        <f t="shared" si="290"/>
        <v>975</v>
      </c>
      <c r="AK231" s="7">
        <f t="shared" si="291"/>
        <v>1054</v>
      </c>
      <c r="AL231" s="7">
        <f t="shared" si="178"/>
        <v>1950</v>
      </c>
      <c r="AM231" s="7">
        <f t="shared" si="179"/>
        <v>2165</v>
      </c>
      <c r="AN231" s="7">
        <f t="shared" si="296"/>
        <v>2660</v>
      </c>
      <c r="AO231" s="7">
        <f t="shared" si="297"/>
        <v>2660</v>
      </c>
    </row>
    <row r="232" spans="1:41" s="2" customFormat="1" x14ac:dyDescent="0.2">
      <c r="A232">
        <f t="shared" si="298"/>
        <v>231</v>
      </c>
      <c r="B232" s="2" t="s">
        <v>15</v>
      </c>
      <c r="C232" s="2">
        <v>1</v>
      </c>
      <c r="D232" s="2" t="s">
        <v>49</v>
      </c>
      <c r="E232" s="14">
        <v>1</v>
      </c>
      <c r="F232" s="2" t="s">
        <v>10</v>
      </c>
      <c r="G232" s="2">
        <v>800</v>
      </c>
      <c r="H232" s="2">
        <f t="shared" si="292"/>
        <v>455</v>
      </c>
      <c r="I232" s="2">
        <f t="shared" si="293"/>
        <v>150</v>
      </c>
      <c r="J232" s="4" t="s">
        <v>19</v>
      </c>
      <c r="K232" s="4">
        <v>0</v>
      </c>
      <c r="L232" s="4">
        <v>1600</v>
      </c>
      <c r="M232" s="2">
        <v>1400</v>
      </c>
      <c r="N232" s="4">
        <v>880</v>
      </c>
      <c r="O232" s="4">
        <v>780</v>
      </c>
      <c r="P232" s="4">
        <v>62</v>
      </c>
      <c r="Q232" s="4">
        <v>62</v>
      </c>
      <c r="R232" s="2" t="s">
        <v>47</v>
      </c>
      <c r="S232" s="2">
        <f t="shared" si="299"/>
        <v>865</v>
      </c>
      <c r="T232" s="2">
        <f t="shared" si="300"/>
        <v>560</v>
      </c>
      <c r="U232" s="4">
        <f t="shared" ref="U232:U245" si="303">(L232/2+40+P232+42)</f>
        <v>944</v>
      </c>
      <c r="V232" s="4">
        <f t="shared" ref="V232:V245" si="304">(L232/2+40+P232+402)</f>
        <v>1304</v>
      </c>
      <c r="W232" s="4">
        <f t="shared" si="301"/>
        <v>944</v>
      </c>
      <c r="X232" s="4">
        <f t="shared" si="302"/>
        <v>1304</v>
      </c>
      <c r="Y232" s="4"/>
      <c r="Z232" s="4"/>
      <c r="AA232" s="4"/>
      <c r="AB232" s="4"/>
      <c r="AG232" s="2" t="s">
        <v>47</v>
      </c>
      <c r="AH232" s="4">
        <f t="shared" ref="AH232:AH245" si="305">MAX(S232,U232)</f>
        <v>944</v>
      </c>
      <c r="AI232" s="4">
        <f t="shared" ref="AI232:AI245" si="306">V232</f>
        <v>1304</v>
      </c>
      <c r="AJ232" s="4">
        <f t="shared" ref="AJ232:AJ245" si="307">MAX(T232,W232)</f>
        <v>944</v>
      </c>
      <c r="AK232" s="4">
        <f t="shared" ref="AK232:AK245" si="308">X232</f>
        <v>1304</v>
      </c>
      <c r="AL232" s="4">
        <f t="shared" si="178"/>
        <v>1888</v>
      </c>
      <c r="AM232" s="4">
        <f t="shared" si="179"/>
        <v>2608</v>
      </c>
      <c r="AN232" s="4">
        <f t="shared" ref="AN232:AN241" si="309">(N232+960+190)</f>
        <v>2030</v>
      </c>
      <c r="AO232" s="4">
        <f t="shared" ref="AO232:AO241" si="310">(N232+960+600)</f>
        <v>2440</v>
      </c>
    </row>
    <row r="233" spans="1:41" s="2" customFormat="1" x14ac:dyDescent="0.2">
      <c r="A233">
        <f t="shared" si="298"/>
        <v>232</v>
      </c>
      <c r="B233" s="2" t="s">
        <v>15</v>
      </c>
      <c r="C233" s="2">
        <v>1</v>
      </c>
      <c r="D233" s="2" t="s">
        <v>49</v>
      </c>
      <c r="E233" s="14">
        <v>1</v>
      </c>
      <c r="F233" s="2" t="s">
        <v>10</v>
      </c>
      <c r="G233" s="2">
        <v>900</v>
      </c>
      <c r="H233" s="2">
        <f>G233/2+IF(F233="CLD",65,55)</f>
        <v>505</v>
      </c>
      <c r="I233" s="2">
        <f>IF(F233="CLD",G233/2+65,150)</f>
        <v>150</v>
      </c>
      <c r="J233" s="4" t="s">
        <v>19</v>
      </c>
      <c r="K233" s="4">
        <v>0</v>
      </c>
      <c r="L233" s="4">
        <v>1600</v>
      </c>
      <c r="M233" s="2">
        <v>1400</v>
      </c>
      <c r="N233" s="4">
        <v>880</v>
      </c>
      <c r="O233" s="4">
        <v>780</v>
      </c>
      <c r="P233" s="4">
        <v>62</v>
      </c>
      <c r="Q233" s="4">
        <v>62</v>
      </c>
      <c r="R233" s="2" t="s">
        <v>47</v>
      </c>
      <c r="S233" s="2">
        <f>(-K233+G233/2+H233+10)</f>
        <v>965</v>
      </c>
      <c r="T233" s="2">
        <f>(K233+G233/2+I233+10)</f>
        <v>610</v>
      </c>
      <c r="U233" s="4">
        <f>(L233/2+40+P233+42)</f>
        <v>944</v>
      </c>
      <c r="V233" s="4">
        <f>(L233/2+40+P233+402)</f>
        <v>1304</v>
      </c>
      <c r="W233" s="4">
        <f>(L233/2+40+P233+42)</f>
        <v>944</v>
      </c>
      <c r="X233" s="4">
        <f>(L233/2+40+P233+402)</f>
        <v>1304</v>
      </c>
      <c r="Y233" s="4"/>
      <c r="Z233" s="4"/>
      <c r="AA233" s="4"/>
      <c r="AB233" s="4"/>
      <c r="AG233" s="2" t="s">
        <v>47</v>
      </c>
      <c r="AH233" s="4">
        <f>MAX(S233,U233)</f>
        <v>965</v>
      </c>
      <c r="AI233" s="4">
        <f>V233</f>
        <v>1304</v>
      </c>
      <c r="AJ233" s="4">
        <f>MAX(T233,W233)</f>
        <v>944</v>
      </c>
      <c r="AK233" s="4">
        <f>X233</f>
        <v>1304</v>
      </c>
      <c r="AL233" s="4">
        <f t="shared" ref="AL233:AM235" si="311">(AH233+AJ233)</f>
        <v>1909</v>
      </c>
      <c r="AM233" s="4">
        <f t="shared" si="311"/>
        <v>2608</v>
      </c>
      <c r="AN233" s="4">
        <f>(N233+960+190)</f>
        <v>2030</v>
      </c>
      <c r="AO233" s="4">
        <f>(N233+960+600)</f>
        <v>2440</v>
      </c>
    </row>
    <row r="234" spans="1:41" s="2" customFormat="1" x14ac:dyDescent="0.2">
      <c r="A234">
        <f t="shared" si="298"/>
        <v>233</v>
      </c>
      <c r="B234" s="2" t="s">
        <v>15</v>
      </c>
      <c r="C234" s="2">
        <v>1</v>
      </c>
      <c r="D234" s="2" t="s">
        <v>49</v>
      </c>
      <c r="E234" s="14">
        <v>1</v>
      </c>
      <c r="F234" s="2" t="s">
        <v>10</v>
      </c>
      <c r="G234" s="2">
        <v>1000</v>
      </c>
      <c r="H234" s="2">
        <f t="shared" si="292"/>
        <v>555</v>
      </c>
      <c r="I234" s="2">
        <f t="shared" si="293"/>
        <v>150</v>
      </c>
      <c r="J234" s="4" t="s">
        <v>19</v>
      </c>
      <c r="K234" s="4">
        <v>0</v>
      </c>
      <c r="L234" s="4">
        <v>1600</v>
      </c>
      <c r="M234" s="2">
        <v>1400</v>
      </c>
      <c r="N234" s="4">
        <v>880</v>
      </c>
      <c r="O234" s="4">
        <v>780</v>
      </c>
      <c r="P234" s="4">
        <v>62</v>
      </c>
      <c r="Q234" s="4">
        <v>62</v>
      </c>
      <c r="R234" s="2" t="s">
        <v>47</v>
      </c>
      <c r="S234" s="2">
        <f>(-K234+G234/2+H234+10)</f>
        <v>1065</v>
      </c>
      <c r="T234" s="2">
        <f>(K234+G234/2+I234+10)</f>
        <v>660</v>
      </c>
      <c r="U234" s="4">
        <f t="shared" si="303"/>
        <v>944</v>
      </c>
      <c r="V234" s="4">
        <f t="shared" si="304"/>
        <v>1304</v>
      </c>
      <c r="W234" s="4">
        <f>(L234/2+40+P234+42)</f>
        <v>944</v>
      </c>
      <c r="X234" s="4">
        <f>(L234/2+40+P234+402)</f>
        <v>1304</v>
      </c>
      <c r="Y234" s="4"/>
      <c r="Z234" s="4"/>
      <c r="AA234" s="4"/>
      <c r="AB234" s="4"/>
      <c r="AG234" s="2" t="s">
        <v>47</v>
      </c>
      <c r="AH234" s="4">
        <f t="shared" si="305"/>
        <v>1065</v>
      </c>
      <c r="AI234" s="4">
        <f t="shared" si="306"/>
        <v>1304</v>
      </c>
      <c r="AJ234" s="4">
        <f t="shared" si="307"/>
        <v>944</v>
      </c>
      <c r="AK234" s="4">
        <f t="shared" si="308"/>
        <v>1304</v>
      </c>
      <c r="AL234" s="4">
        <f t="shared" si="311"/>
        <v>2009</v>
      </c>
      <c r="AM234" s="4">
        <f t="shared" si="311"/>
        <v>2608</v>
      </c>
      <c r="AN234" s="4">
        <f t="shared" si="309"/>
        <v>2030</v>
      </c>
      <c r="AO234" s="4">
        <f t="shared" si="310"/>
        <v>2440</v>
      </c>
    </row>
    <row r="235" spans="1:41" s="2" customFormat="1" x14ac:dyDescent="0.2">
      <c r="A235">
        <f t="shared" si="298"/>
        <v>234</v>
      </c>
      <c r="B235" s="2" t="s">
        <v>15</v>
      </c>
      <c r="C235" s="2">
        <v>1</v>
      </c>
      <c r="D235" s="2" t="s">
        <v>49</v>
      </c>
      <c r="E235" s="14">
        <v>1</v>
      </c>
      <c r="F235" s="2" t="s">
        <v>11</v>
      </c>
      <c r="G235" s="2">
        <v>800</v>
      </c>
      <c r="H235" s="2">
        <f t="shared" si="292"/>
        <v>465</v>
      </c>
      <c r="I235" s="2">
        <f t="shared" si="293"/>
        <v>465</v>
      </c>
      <c r="J235" s="4" t="s">
        <v>19</v>
      </c>
      <c r="K235" s="4">
        <v>0</v>
      </c>
      <c r="L235" s="4">
        <v>1600</v>
      </c>
      <c r="M235" s="2">
        <v>1400</v>
      </c>
      <c r="N235" s="4">
        <v>880</v>
      </c>
      <c r="O235" s="4">
        <v>780</v>
      </c>
      <c r="P235" s="4">
        <v>62</v>
      </c>
      <c r="Q235" s="4">
        <v>62</v>
      </c>
      <c r="R235" s="2" t="s">
        <v>47</v>
      </c>
      <c r="S235" s="2">
        <f>(-K235+G235/2+H235+10)</f>
        <v>875</v>
      </c>
      <c r="T235" s="2">
        <f>(K235+G235/2+I235+10)</f>
        <v>875</v>
      </c>
      <c r="U235" s="4">
        <f t="shared" si="303"/>
        <v>944</v>
      </c>
      <c r="V235" s="4">
        <f t="shared" si="304"/>
        <v>1304</v>
      </c>
      <c r="W235" s="4">
        <f>(L235/2+40+P235+42)</f>
        <v>944</v>
      </c>
      <c r="X235" s="4">
        <f>(L235/2+40+P235+402)</f>
        <v>1304</v>
      </c>
      <c r="Y235" s="4"/>
      <c r="Z235" s="4"/>
      <c r="AA235" s="4"/>
      <c r="AB235" s="4"/>
      <c r="AG235" s="2" t="s">
        <v>47</v>
      </c>
      <c r="AH235" s="4">
        <f t="shared" si="305"/>
        <v>944</v>
      </c>
      <c r="AI235" s="4">
        <f t="shared" si="306"/>
        <v>1304</v>
      </c>
      <c r="AJ235" s="4">
        <f t="shared" si="307"/>
        <v>944</v>
      </c>
      <c r="AK235" s="4">
        <f t="shared" si="308"/>
        <v>1304</v>
      </c>
      <c r="AL235" s="4">
        <f t="shared" si="311"/>
        <v>1888</v>
      </c>
      <c r="AM235" s="4">
        <f t="shared" si="311"/>
        <v>2608</v>
      </c>
      <c r="AN235" s="4">
        <f t="shared" si="309"/>
        <v>2030</v>
      </c>
      <c r="AO235" s="4">
        <f t="shared" si="310"/>
        <v>2440</v>
      </c>
    </row>
    <row r="236" spans="1:41" s="1" customFormat="1" x14ac:dyDescent="0.2">
      <c r="A236">
        <f t="shared" si="298"/>
        <v>235</v>
      </c>
      <c r="B236" s="1" t="s">
        <v>15</v>
      </c>
      <c r="C236" s="1">
        <v>1</v>
      </c>
      <c r="D236" s="1" t="s">
        <v>49</v>
      </c>
      <c r="E236" s="11">
        <v>1</v>
      </c>
      <c r="F236" s="1" t="s">
        <v>11</v>
      </c>
      <c r="G236" s="1">
        <v>900</v>
      </c>
      <c r="H236" s="1">
        <f t="shared" si="292"/>
        <v>515</v>
      </c>
      <c r="I236" s="1">
        <f t="shared" si="293"/>
        <v>515</v>
      </c>
      <c r="J236" s="5" t="s">
        <v>19</v>
      </c>
      <c r="K236" s="5">
        <v>0</v>
      </c>
      <c r="L236" s="5">
        <v>1600</v>
      </c>
      <c r="M236" s="1">
        <v>1400</v>
      </c>
      <c r="N236" s="5">
        <v>880</v>
      </c>
      <c r="O236" s="5">
        <v>780</v>
      </c>
      <c r="P236" s="5">
        <v>62</v>
      </c>
      <c r="Q236" s="5">
        <v>62</v>
      </c>
      <c r="R236" s="1" t="s">
        <v>47</v>
      </c>
      <c r="S236" s="1">
        <f t="shared" si="299"/>
        <v>975</v>
      </c>
      <c r="T236" s="1">
        <f t="shared" si="300"/>
        <v>975</v>
      </c>
      <c r="U236" s="5">
        <f t="shared" si="303"/>
        <v>944</v>
      </c>
      <c r="V236" s="5">
        <f t="shared" si="304"/>
        <v>1304</v>
      </c>
      <c r="W236" s="5">
        <f t="shared" si="301"/>
        <v>944</v>
      </c>
      <c r="X236" s="5">
        <f t="shared" si="302"/>
        <v>1304</v>
      </c>
      <c r="Y236" s="5"/>
      <c r="Z236" s="5"/>
      <c r="AA236" s="5"/>
      <c r="AB236" s="5"/>
      <c r="AG236" s="1" t="s">
        <v>47</v>
      </c>
      <c r="AH236" s="5">
        <f t="shared" si="305"/>
        <v>975</v>
      </c>
      <c r="AI236" s="5">
        <f t="shared" si="306"/>
        <v>1304</v>
      </c>
      <c r="AJ236" s="5">
        <f t="shared" si="307"/>
        <v>975</v>
      </c>
      <c r="AK236" s="5">
        <f t="shared" si="308"/>
        <v>1304</v>
      </c>
      <c r="AL236" s="5">
        <f t="shared" si="178"/>
        <v>1950</v>
      </c>
      <c r="AM236" s="5">
        <f t="shared" si="179"/>
        <v>2608</v>
      </c>
      <c r="AN236" s="5">
        <f t="shared" si="309"/>
        <v>2030</v>
      </c>
      <c r="AO236" s="5">
        <f t="shared" si="310"/>
        <v>2440</v>
      </c>
    </row>
    <row r="237" spans="1:41" s="2" customFormat="1" x14ac:dyDescent="0.2">
      <c r="A237">
        <f t="shared" si="298"/>
        <v>236</v>
      </c>
      <c r="B237" s="2" t="s">
        <v>15</v>
      </c>
      <c r="C237" s="2">
        <v>1</v>
      </c>
      <c r="D237" s="2" t="s">
        <v>49</v>
      </c>
      <c r="E237" s="14">
        <v>1.6</v>
      </c>
      <c r="F237" s="2" t="s">
        <v>10</v>
      </c>
      <c r="G237" s="2">
        <v>800</v>
      </c>
      <c r="H237" s="2">
        <f t="shared" si="292"/>
        <v>455</v>
      </c>
      <c r="I237" s="2">
        <f t="shared" si="293"/>
        <v>150</v>
      </c>
      <c r="J237" s="2" t="s">
        <v>19</v>
      </c>
      <c r="K237" s="2">
        <v>0</v>
      </c>
      <c r="L237" s="2">
        <v>1600</v>
      </c>
      <c r="M237" s="2">
        <v>1400</v>
      </c>
      <c r="N237" s="2">
        <v>880</v>
      </c>
      <c r="O237" s="4">
        <v>780</v>
      </c>
      <c r="P237" s="4">
        <v>62</v>
      </c>
      <c r="Q237" s="4">
        <v>62</v>
      </c>
      <c r="R237" s="2" t="s">
        <v>47</v>
      </c>
      <c r="S237" s="2">
        <f t="shared" si="299"/>
        <v>865</v>
      </c>
      <c r="T237" s="2">
        <f t="shared" si="300"/>
        <v>560</v>
      </c>
      <c r="U237" s="4">
        <f t="shared" si="303"/>
        <v>944</v>
      </c>
      <c r="V237" s="4">
        <f t="shared" si="304"/>
        <v>1304</v>
      </c>
      <c r="W237" s="4">
        <f t="shared" si="301"/>
        <v>944</v>
      </c>
      <c r="X237" s="4">
        <f t="shared" si="302"/>
        <v>1304</v>
      </c>
      <c r="Y237" s="4"/>
      <c r="Z237" s="4"/>
      <c r="AA237" s="4"/>
      <c r="AB237" s="4"/>
      <c r="AG237" s="2" t="s">
        <v>47</v>
      </c>
      <c r="AH237" s="4">
        <f t="shared" si="305"/>
        <v>944</v>
      </c>
      <c r="AI237" s="4">
        <f t="shared" si="306"/>
        <v>1304</v>
      </c>
      <c r="AJ237" s="4">
        <f t="shared" si="307"/>
        <v>944</v>
      </c>
      <c r="AK237" s="4">
        <f t="shared" si="308"/>
        <v>1304</v>
      </c>
      <c r="AL237" s="4">
        <f t="shared" si="178"/>
        <v>1888</v>
      </c>
      <c r="AM237" s="4">
        <f t="shared" si="179"/>
        <v>2608</v>
      </c>
      <c r="AN237" s="4">
        <f t="shared" si="309"/>
        <v>2030</v>
      </c>
      <c r="AO237" s="4">
        <f t="shared" si="310"/>
        <v>2440</v>
      </c>
    </row>
    <row r="238" spans="1:41" s="2" customFormat="1" x14ac:dyDescent="0.2">
      <c r="A238">
        <f t="shared" si="298"/>
        <v>237</v>
      </c>
      <c r="B238" s="2" t="s">
        <v>15</v>
      </c>
      <c r="C238" s="2">
        <v>1</v>
      </c>
      <c r="D238" s="2" t="s">
        <v>49</v>
      </c>
      <c r="E238" s="14">
        <v>1.6</v>
      </c>
      <c r="F238" s="2" t="s">
        <v>10</v>
      </c>
      <c r="G238" s="2">
        <v>900</v>
      </c>
      <c r="H238" s="2">
        <f>G238/2+IF(F238="CLD",65,55)</f>
        <v>505</v>
      </c>
      <c r="I238" s="2">
        <f>IF(F238="CLD",G238/2+65,150)</f>
        <v>150</v>
      </c>
      <c r="J238" s="2" t="s">
        <v>19</v>
      </c>
      <c r="K238" s="2">
        <v>0</v>
      </c>
      <c r="L238" s="2">
        <v>1600</v>
      </c>
      <c r="M238" s="2">
        <v>1400</v>
      </c>
      <c r="N238" s="2">
        <v>880</v>
      </c>
      <c r="O238" s="4">
        <v>780</v>
      </c>
      <c r="P238" s="4">
        <v>62</v>
      </c>
      <c r="Q238" s="4">
        <v>62</v>
      </c>
      <c r="R238" s="2" t="s">
        <v>47</v>
      </c>
      <c r="S238" s="2">
        <f>(-K238+G238/2+H238+10)</f>
        <v>965</v>
      </c>
      <c r="T238" s="2">
        <f>(K238+G238/2+I238+10)</f>
        <v>610</v>
      </c>
      <c r="U238" s="4">
        <f>(L238/2+40+P238+42)</f>
        <v>944</v>
      </c>
      <c r="V238" s="4">
        <f>(L238/2+40+P238+402)</f>
        <v>1304</v>
      </c>
      <c r="W238" s="4">
        <f>(L238/2+40+P238+42)</f>
        <v>944</v>
      </c>
      <c r="X238" s="4">
        <f>(L238/2+40+P238+402)</f>
        <v>1304</v>
      </c>
      <c r="Y238" s="4"/>
      <c r="Z238" s="4"/>
      <c r="AA238" s="4"/>
      <c r="AB238" s="4"/>
      <c r="AG238" s="2" t="s">
        <v>47</v>
      </c>
      <c r="AH238" s="4">
        <f>MAX(S238,U238)</f>
        <v>965</v>
      </c>
      <c r="AI238" s="4">
        <f>V238</f>
        <v>1304</v>
      </c>
      <c r="AJ238" s="4">
        <f>MAX(T238,W238)</f>
        <v>944</v>
      </c>
      <c r="AK238" s="4">
        <f>X238</f>
        <v>1304</v>
      </c>
      <c r="AL238" s="4">
        <f t="shared" ref="AL238:AM240" si="312">(AH238+AJ238)</f>
        <v>1909</v>
      </c>
      <c r="AM238" s="4">
        <f t="shared" si="312"/>
        <v>2608</v>
      </c>
      <c r="AN238" s="4">
        <f>(N238+960+190)</f>
        <v>2030</v>
      </c>
      <c r="AO238" s="4">
        <f>(N238+960+600)</f>
        <v>2440</v>
      </c>
    </row>
    <row r="239" spans="1:41" s="2" customFormat="1" x14ac:dyDescent="0.2">
      <c r="A239">
        <f t="shared" si="298"/>
        <v>238</v>
      </c>
      <c r="B239" s="2" t="s">
        <v>15</v>
      </c>
      <c r="C239" s="2">
        <v>1</v>
      </c>
      <c r="D239" s="2" t="s">
        <v>49</v>
      </c>
      <c r="E239" s="14">
        <v>1.6</v>
      </c>
      <c r="F239" s="2" t="s">
        <v>10</v>
      </c>
      <c r="G239" s="2">
        <v>1000</v>
      </c>
      <c r="H239" s="2">
        <f t="shared" si="292"/>
        <v>555</v>
      </c>
      <c r="I239" s="2">
        <f t="shared" si="293"/>
        <v>150</v>
      </c>
      <c r="J239" s="2" t="s">
        <v>19</v>
      </c>
      <c r="K239" s="2">
        <v>0</v>
      </c>
      <c r="L239" s="2">
        <v>1600</v>
      </c>
      <c r="M239" s="2">
        <v>1400</v>
      </c>
      <c r="N239" s="2">
        <v>880</v>
      </c>
      <c r="O239" s="4">
        <v>780</v>
      </c>
      <c r="P239" s="4">
        <v>62</v>
      </c>
      <c r="Q239" s="4">
        <v>62</v>
      </c>
      <c r="R239" s="2" t="s">
        <v>47</v>
      </c>
      <c r="S239" s="2">
        <f>(-K239+G239/2+H239+10)</f>
        <v>1065</v>
      </c>
      <c r="T239" s="2">
        <f>(K239+G239/2+I239+10)</f>
        <v>660</v>
      </c>
      <c r="U239" s="4">
        <f t="shared" si="303"/>
        <v>944</v>
      </c>
      <c r="V239" s="4">
        <f t="shared" si="304"/>
        <v>1304</v>
      </c>
      <c r="W239" s="4">
        <f>(L239/2+40+P239+42)</f>
        <v>944</v>
      </c>
      <c r="X239" s="4">
        <f>(L239/2+40+P239+402)</f>
        <v>1304</v>
      </c>
      <c r="Y239" s="4"/>
      <c r="Z239" s="4"/>
      <c r="AA239" s="4"/>
      <c r="AB239" s="4"/>
      <c r="AG239" s="2" t="s">
        <v>47</v>
      </c>
      <c r="AH239" s="4">
        <f t="shared" si="305"/>
        <v>1065</v>
      </c>
      <c r="AI239" s="4">
        <f t="shared" si="306"/>
        <v>1304</v>
      </c>
      <c r="AJ239" s="4">
        <f t="shared" si="307"/>
        <v>944</v>
      </c>
      <c r="AK239" s="4">
        <f t="shared" si="308"/>
        <v>1304</v>
      </c>
      <c r="AL239" s="4">
        <f t="shared" si="312"/>
        <v>2009</v>
      </c>
      <c r="AM239" s="4">
        <f t="shared" si="312"/>
        <v>2608</v>
      </c>
      <c r="AN239" s="4">
        <f t="shared" si="309"/>
        <v>2030</v>
      </c>
      <c r="AO239" s="4">
        <f t="shared" si="310"/>
        <v>2440</v>
      </c>
    </row>
    <row r="240" spans="1:41" s="2" customFormat="1" x14ac:dyDescent="0.2">
      <c r="A240">
        <f t="shared" si="298"/>
        <v>239</v>
      </c>
      <c r="B240" s="2" t="s">
        <v>15</v>
      </c>
      <c r="C240" s="2">
        <v>1</v>
      </c>
      <c r="D240" s="2" t="s">
        <v>49</v>
      </c>
      <c r="E240" s="14">
        <v>1.6</v>
      </c>
      <c r="F240" s="2" t="s">
        <v>11</v>
      </c>
      <c r="G240" s="2">
        <v>800</v>
      </c>
      <c r="H240" s="2">
        <f t="shared" si="292"/>
        <v>465</v>
      </c>
      <c r="I240" s="2">
        <f t="shared" si="293"/>
        <v>465</v>
      </c>
      <c r="J240" s="2" t="s">
        <v>19</v>
      </c>
      <c r="K240" s="2">
        <v>0</v>
      </c>
      <c r="L240" s="2">
        <v>1600</v>
      </c>
      <c r="M240" s="2">
        <v>1400</v>
      </c>
      <c r="N240" s="2">
        <v>880</v>
      </c>
      <c r="O240" s="4">
        <v>780</v>
      </c>
      <c r="P240" s="4">
        <v>62</v>
      </c>
      <c r="Q240" s="4">
        <v>62</v>
      </c>
      <c r="R240" s="2" t="s">
        <v>47</v>
      </c>
      <c r="S240" s="2">
        <f>(-K240+G240/2+H240+10)</f>
        <v>875</v>
      </c>
      <c r="T240" s="2">
        <f>(K240+G240/2+I240+10)</f>
        <v>875</v>
      </c>
      <c r="U240" s="4">
        <f t="shared" si="303"/>
        <v>944</v>
      </c>
      <c r="V240" s="4">
        <f t="shared" si="304"/>
        <v>1304</v>
      </c>
      <c r="W240" s="4">
        <f>(L240/2+40+P240+42)</f>
        <v>944</v>
      </c>
      <c r="X240" s="4">
        <f>(L240/2+40+P240+402)</f>
        <v>1304</v>
      </c>
      <c r="Y240" s="4"/>
      <c r="Z240" s="4"/>
      <c r="AA240" s="4"/>
      <c r="AB240" s="4"/>
      <c r="AG240" s="2" t="s">
        <v>47</v>
      </c>
      <c r="AH240" s="4">
        <f t="shared" si="305"/>
        <v>944</v>
      </c>
      <c r="AI240" s="4">
        <f t="shared" si="306"/>
        <v>1304</v>
      </c>
      <c r="AJ240" s="4">
        <f t="shared" si="307"/>
        <v>944</v>
      </c>
      <c r="AK240" s="4">
        <f t="shared" si="308"/>
        <v>1304</v>
      </c>
      <c r="AL240" s="4">
        <f t="shared" si="312"/>
        <v>1888</v>
      </c>
      <c r="AM240" s="4">
        <f t="shared" si="312"/>
        <v>2608</v>
      </c>
      <c r="AN240" s="4">
        <f t="shared" si="309"/>
        <v>2030</v>
      </c>
      <c r="AO240" s="4">
        <f t="shared" si="310"/>
        <v>2440</v>
      </c>
    </row>
    <row r="241" spans="1:41" s="6" customFormat="1" ht="13.5" thickBot="1" x14ac:dyDescent="0.25">
      <c r="A241">
        <f t="shared" si="298"/>
        <v>240</v>
      </c>
      <c r="B241" s="6" t="s">
        <v>15</v>
      </c>
      <c r="C241" s="6">
        <v>1</v>
      </c>
      <c r="D241" s="6" t="s">
        <v>49</v>
      </c>
      <c r="E241" s="13">
        <v>1.6</v>
      </c>
      <c r="F241" s="6" t="s">
        <v>11</v>
      </c>
      <c r="G241" s="6">
        <v>900</v>
      </c>
      <c r="H241" s="6">
        <f t="shared" si="292"/>
        <v>515</v>
      </c>
      <c r="I241" s="6">
        <f t="shared" si="293"/>
        <v>515</v>
      </c>
      <c r="J241" s="6" t="s">
        <v>19</v>
      </c>
      <c r="K241" s="6">
        <v>0</v>
      </c>
      <c r="L241" s="6">
        <v>1600</v>
      </c>
      <c r="M241" s="6">
        <v>1400</v>
      </c>
      <c r="N241" s="6">
        <v>880</v>
      </c>
      <c r="O241" s="7">
        <v>780</v>
      </c>
      <c r="P241" s="7">
        <v>62</v>
      </c>
      <c r="Q241" s="7">
        <v>62</v>
      </c>
      <c r="R241" s="6" t="s">
        <v>47</v>
      </c>
      <c r="S241" s="6">
        <f t="shared" si="299"/>
        <v>975</v>
      </c>
      <c r="T241" s="6">
        <f t="shared" si="300"/>
        <v>975</v>
      </c>
      <c r="U241" s="7">
        <f t="shared" si="303"/>
        <v>944</v>
      </c>
      <c r="V241" s="7">
        <f t="shared" si="304"/>
        <v>1304</v>
      </c>
      <c r="W241" s="7">
        <f t="shared" si="301"/>
        <v>944</v>
      </c>
      <c r="X241" s="7">
        <f t="shared" si="302"/>
        <v>1304</v>
      </c>
      <c r="Y241" s="7"/>
      <c r="Z241" s="7"/>
      <c r="AA241" s="7"/>
      <c r="AB241" s="7"/>
      <c r="AG241" s="6" t="s">
        <v>47</v>
      </c>
      <c r="AH241" s="7">
        <f t="shared" si="305"/>
        <v>975</v>
      </c>
      <c r="AI241" s="7">
        <f t="shared" si="306"/>
        <v>1304</v>
      </c>
      <c r="AJ241" s="7">
        <f t="shared" si="307"/>
        <v>975</v>
      </c>
      <c r="AK241" s="7">
        <f t="shared" si="308"/>
        <v>1304</v>
      </c>
      <c r="AL241" s="7">
        <f t="shared" si="178"/>
        <v>1950</v>
      </c>
      <c r="AM241" s="7">
        <f t="shared" si="179"/>
        <v>2608</v>
      </c>
      <c r="AN241" s="7">
        <f t="shared" si="309"/>
        <v>2030</v>
      </c>
      <c r="AO241" s="7">
        <f t="shared" si="310"/>
        <v>2440</v>
      </c>
    </row>
    <row r="242" spans="1:41" s="2" customFormat="1" x14ac:dyDescent="0.2">
      <c r="A242">
        <f t="shared" si="298"/>
        <v>241</v>
      </c>
      <c r="B242" s="4" t="s">
        <v>20</v>
      </c>
      <c r="C242" s="2">
        <v>1</v>
      </c>
      <c r="D242" s="2" t="s">
        <v>49</v>
      </c>
      <c r="E242" s="14">
        <v>1</v>
      </c>
      <c r="F242" s="2" t="s">
        <v>10</v>
      </c>
      <c r="G242" s="2">
        <v>1100</v>
      </c>
      <c r="H242" s="2">
        <f>G242/2+IF(F242="CLD",65,55)</f>
        <v>605</v>
      </c>
      <c r="I242" s="2">
        <f>IF(F242="CLD",G242/2+65,150)</f>
        <v>150</v>
      </c>
      <c r="J242" s="4" t="s">
        <v>18</v>
      </c>
      <c r="K242" s="4">
        <v>350</v>
      </c>
      <c r="L242" s="4">
        <v>2100</v>
      </c>
      <c r="M242" s="2">
        <v>1100</v>
      </c>
      <c r="N242" s="4">
        <v>760</v>
      </c>
      <c r="O242" s="4">
        <v>780</v>
      </c>
      <c r="P242" s="4">
        <v>62</v>
      </c>
      <c r="Q242" s="4">
        <v>62</v>
      </c>
      <c r="R242" s="2" t="s">
        <v>47</v>
      </c>
      <c r="S242" s="2">
        <f>(-K242+G242/2+H242+10)</f>
        <v>815</v>
      </c>
      <c r="T242" s="2">
        <f>(K242+G242/2+I242+10)</f>
        <v>1060</v>
      </c>
      <c r="U242" s="4">
        <f>(L242/2+40+P242+42)</f>
        <v>1194</v>
      </c>
      <c r="V242" s="4">
        <f>(L242/2+40+P242+402)</f>
        <v>1554</v>
      </c>
      <c r="W242" s="4">
        <f>(L242/2+40+P242+42)</f>
        <v>1194</v>
      </c>
      <c r="X242" s="4">
        <f>(L242/2+40+P242+402)</f>
        <v>1554</v>
      </c>
      <c r="Y242" s="4"/>
      <c r="Z242" s="4"/>
      <c r="AA242" s="4"/>
      <c r="AB242" s="4"/>
      <c r="AG242" s="2" t="s">
        <v>47</v>
      </c>
      <c r="AH242" s="4">
        <f>MAX(S242,U242)</f>
        <v>1194</v>
      </c>
      <c r="AI242" s="4">
        <f>V242</f>
        <v>1554</v>
      </c>
      <c r="AJ242" s="4">
        <f>MAX(T242,W242)</f>
        <v>1194</v>
      </c>
      <c r="AK242" s="4">
        <f>X242</f>
        <v>1554</v>
      </c>
      <c r="AL242" s="4">
        <f>(AH242+AJ242)</f>
        <v>2388</v>
      </c>
      <c r="AM242" s="4">
        <f>(AI242+AK242)</f>
        <v>3108</v>
      </c>
      <c r="AN242" s="4">
        <f>(N242+775+190)</f>
        <v>1725</v>
      </c>
      <c r="AO242" s="4">
        <f>(N242+775+600)</f>
        <v>2135</v>
      </c>
    </row>
    <row r="243" spans="1:41" s="1" customFormat="1" x14ac:dyDescent="0.2">
      <c r="A243">
        <f t="shared" si="298"/>
        <v>242</v>
      </c>
      <c r="B243" s="5" t="s">
        <v>20</v>
      </c>
      <c r="C243" s="1">
        <v>1</v>
      </c>
      <c r="D243" s="1" t="s">
        <v>49</v>
      </c>
      <c r="E243" s="11">
        <v>1</v>
      </c>
      <c r="F243" s="1" t="s">
        <v>10</v>
      </c>
      <c r="G243" s="1">
        <v>1200</v>
      </c>
      <c r="H243" s="1">
        <f t="shared" si="292"/>
        <v>655</v>
      </c>
      <c r="I243" s="1">
        <f t="shared" si="293"/>
        <v>150</v>
      </c>
      <c r="J243" s="5" t="s">
        <v>18</v>
      </c>
      <c r="K243" s="5">
        <v>350</v>
      </c>
      <c r="L243" s="5">
        <v>2100</v>
      </c>
      <c r="M243" s="1">
        <v>1100</v>
      </c>
      <c r="N243" s="5">
        <v>760</v>
      </c>
      <c r="O243" s="5">
        <v>780</v>
      </c>
      <c r="P243" s="5">
        <v>62</v>
      </c>
      <c r="Q243" s="5">
        <v>62</v>
      </c>
      <c r="R243" s="1" t="s">
        <v>47</v>
      </c>
      <c r="S243" s="1">
        <f t="shared" si="299"/>
        <v>915</v>
      </c>
      <c r="T243" s="1">
        <f t="shared" si="300"/>
        <v>1110</v>
      </c>
      <c r="U243" s="5">
        <f t="shared" si="303"/>
        <v>1194</v>
      </c>
      <c r="V243" s="5">
        <f t="shared" si="304"/>
        <v>1554</v>
      </c>
      <c r="W243" s="5">
        <f t="shared" si="301"/>
        <v>1194</v>
      </c>
      <c r="X243" s="5">
        <f t="shared" si="302"/>
        <v>1554</v>
      </c>
      <c r="Y243" s="5"/>
      <c r="Z243" s="5"/>
      <c r="AA243" s="5"/>
      <c r="AB243" s="5"/>
      <c r="AG243" s="1" t="s">
        <v>47</v>
      </c>
      <c r="AH243" s="5">
        <f t="shared" si="305"/>
        <v>1194</v>
      </c>
      <c r="AI243" s="5">
        <f t="shared" si="306"/>
        <v>1554</v>
      </c>
      <c r="AJ243" s="5">
        <f t="shared" si="307"/>
        <v>1194</v>
      </c>
      <c r="AK243" s="5">
        <f t="shared" si="308"/>
        <v>1554</v>
      </c>
      <c r="AL243" s="5">
        <f t="shared" si="178"/>
        <v>2388</v>
      </c>
      <c r="AM243" s="5">
        <f t="shared" si="179"/>
        <v>3108</v>
      </c>
      <c r="AN243" s="5">
        <f>(N243+775+190)</f>
        <v>1725</v>
      </c>
      <c r="AO243" s="5">
        <f>(N243+775+600)</f>
        <v>2135</v>
      </c>
    </row>
    <row r="244" spans="1:41" s="2" customFormat="1" x14ac:dyDescent="0.2">
      <c r="A244">
        <f t="shared" si="298"/>
        <v>243</v>
      </c>
      <c r="B244" s="2" t="s">
        <v>20</v>
      </c>
      <c r="C244" s="2">
        <v>1</v>
      </c>
      <c r="D244" s="2" t="s">
        <v>49</v>
      </c>
      <c r="E244" s="14">
        <v>1.6</v>
      </c>
      <c r="F244" s="2" t="s">
        <v>10</v>
      </c>
      <c r="G244" s="2">
        <v>1100</v>
      </c>
      <c r="H244" s="2">
        <f>G244/2+IF(F244="CLD",65,55)</f>
        <v>605</v>
      </c>
      <c r="I244" s="2">
        <f>IF(F244="CLD",G244/2+65,150)</f>
        <v>150</v>
      </c>
      <c r="J244" s="2" t="s">
        <v>18</v>
      </c>
      <c r="K244" s="2">
        <v>350</v>
      </c>
      <c r="L244" s="2">
        <v>2100</v>
      </c>
      <c r="M244" s="2">
        <v>1100</v>
      </c>
      <c r="N244" s="2">
        <v>760</v>
      </c>
      <c r="O244" s="2">
        <v>780</v>
      </c>
      <c r="P244" s="4">
        <v>62</v>
      </c>
      <c r="Q244" s="4">
        <v>62</v>
      </c>
      <c r="R244" s="2" t="s">
        <v>47</v>
      </c>
      <c r="S244" s="2">
        <f>(-K244+G244/2+H244+10)</f>
        <v>815</v>
      </c>
      <c r="T244" s="2">
        <f>(K244+G244/2+I244+10)</f>
        <v>1060</v>
      </c>
      <c r="U244" s="4">
        <f>(L244/2+40+P244+42)</f>
        <v>1194</v>
      </c>
      <c r="V244" s="4">
        <f>(L244/2+40+P244+402)</f>
        <v>1554</v>
      </c>
      <c r="W244" s="4">
        <f>(L244/2+40+P244+42)</f>
        <v>1194</v>
      </c>
      <c r="X244" s="4">
        <f>(L244/2+40+P244+402)</f>
        <v>1554</v>
      </c>
      <c r="AG244" s="2" t="s">
        <v>47</v>
      </c>
      <c r="AH244" s="4">
        <f>MAX(S244,U244)</f>
        <v>1194</v>
      </c>
      <c r="AI244" s="4">
        <f>V244</f>
        <v>1554</v>
      </c>
      <c r="AJ244" s="4">
        <f>MAX(T244,W244)</f>
        <v>1194</v>
      </c>
      <c r="AK244" s="4">
        <f>X244</f>
        <v>1554</v>
      </c>
      <c r="AL244" s="4">
        <f>(AH244+AJ244)</f>
        <v>2388</v>
      </c>
      <c r="AM244" s="4">
        <f>(AI244+AK244)</f>
        <v>3108</v>
      </c>
      <c r="AN244" s="4">
        <f>(N244+775+190)</f>
        <v>1725</v>
      </c>
      <c r="AO244" s="4">
        <f>(N244+775+600)</f>
        <v>2135</v>
      </c>
    </row>
    <row r="245" spans="1:41" s="6" customFormat="1" ht="13.5" thickBot="1" x14ac:dyDescent="0.25">
      <c r="A245">
        <f t="shared" si="298"/>
        <v>244</v>
      </c>
      <c r="B245" s="6" t="s">
        <v>20</v>
      </c>
      <c r="C245" s="6">
        <v>1</v>
      </c>
      <c r="D245" s="6" t="s">
        <v>49</v>
      </c>
      <c r="E245" s="13">
        <v>1.6</v>
      </c>
      <c r="F245" s="6" t="s">
        <v>10</v>
      </c>
      <c r="G245" s="6">
        <v>1200</v>
      </c>
      <c r="H245" s="6">
        <f t="shared" si="292"/>
        <v>655</v>
      </c>
      <c r="I245" s="6">
        <f t="shared" si="293"/>
        <v>150</v>
      </c>
      <c r="J245" s="6" t="s">
        <v>18</v>
      </c>
      <c r="K245" s="6">
        <v>350</v>
      </c>
      <c r="L245" s="6">
        <v>2100</v>
      </c>
      <c r="M245" s="6">
        <v>1100</v>
      </c>
      <c r="N245" s="6">
        <v>760</v>
      </c>
      <c r="O245" s="6">
        <v>780</v>
      </c>
      <c r="P245" s="7">
        <v>62</v>
      </c>
      <c r="Q245" s="7">
        <v>62</v>
      </c>
      <c r="R245" s="6" t="s">
        <v>47</v>
      </c>
      <c r="S245" s="6">
        <f t="shared" si="299"/>
        <v>915</v>
      </c>
      <c r="T245" s="6">
        <f t="shared" si="300"/>
        <v>1110</v>
      </c>
      <c r="U245" s="7">
        <f t="shared" si="303"/>
        <v>1194</v>
      </c>
      <c r="V245" s="7">
        <f t="shared" si="304"/>
        <v>1554</v>
      </c>
      <c r="W245" s="7">
        <f t="shared" si="301"/>
        <v>1194</v>
      </c>
      <c r="X245" s="7">
        <f t="shared" si="302"/>
        <v>1554</v>
      </c>
      <c r="AG245" s="6" t="s">
        <v>47</v>
      </c>
      <c r="AH245" s="7">
        <f t="shared" si="305"/>
        <v>1194</v>
      </c>
      <c r="AI245" s="7">
        <f t="shared" si="306"/>
        <v>1554</v>
      </c>
      <c r="AJ245" s="7">
        <f t="shared" si="307"/>
        <v>1194</v>
      </c>
      <c r="AK245" s="7">
        <f t="shared" si="308"/>
        <v>1554</v>
      </c>
      <c r="AL245" s="7">
        <f t="shared" si="178"/>
        <v>2388</v>
      </c>
      <c r="AM245" s="7">
        <f t="shared" si="179"/>
        <v>3108</v>
      </c>
      <c r="AN245" s="7">
        <f>(N245+775+190)</f>
        <v>1725</v>
      </c>
      <c r="AO245" s="7">
        <f>(N245+775+600)</f>
        <v>2135</v>
      </c>
    </row>
    <row r="246" spans="1:41" s="2" customFormat="1" x14ac:dyDescent="0.2">
      <c r="U246" s="4"/>
      <c r="V246" s="4"/>
      <c r="W246" s="4"/>
      <c r="X246" s="4"/>
      <c r="Y246" s="4"/>
      <c r="AL246" s="4"/>
      <c r="AM246" s="4"/>
      <c r="AN246" s="4"/>
      <c r="AO246" s="4"/>
    </row>
    <row r="247" spans="1:41" s="2" customFormat="1" x14ac:dyDescent="0.2">
      <c r="U247" s="4"/>
      <c r="V247" s="4"/>
      <c r="W247" s="4"/>
      <c r="X247" s="4"/>
      <c r="Y247" s="4"/>
      <c r="AL247" s="4"/>
      <c r="AM247" s="4"/>
      <c r="AN247" s="4"/>
      <c r="AO247" s="4"/>
    </row>
    <row r="248" spans="1:41" s="2" customFormat="1" x14ac:dyDescent="0.2">
      <c r="U248" s="4"/>
      <c r="V248" s="4"/>
      <c r="W248" s="4"/>
      <c r="X248" s="4"/>
      <c r="Y248" s="4"/>
      <c r="Z248" s="4"/>
      <c r="AA248" s="4"/>
      <c r="AB248" s="4"/>
      <c r="AL248" s="4"/>
      <c r="AM248" s="4"/>
      <c r="AN248" s="4"/>
      <c r="AO248" s="4"/>
    </row>
    <row r="249" spans="1:41" s="2" customFormat="1" x14ac:dyDescent="0.2"/>
    <row r="250" spans="1:41" s="2" customFormat="1" x14ac:dyDescent="0.2"/>
    <row r="251" spans="1:41" s="2" customFormat="1" x14ac:dyDescent="0.2"/>
    <row r="252" spans="1:41" s="2" customFormat="1" x14ac:dyDescent="0.2"/>
    <row r="253" spans="1:41" s="2" customFormat="1" x14ac:dyDescent="0.2"/>
    <row r="254" spans="1:41" s="2" customFormat="1" x14ac:dyDescent="0.2"/>
    <row r="255" spans="1:41" s="2" customFormat="1" x14ac:dyDescent="0.2"/>
    <row r="256" spans="1:41" s="2" customFormat="1" x14ac:dyDescent="0.2"/>
    <row r="257" spans="21:41" s="2" customFormat="1" x14ac:dyDescent="0.2"/>
    <row r="258" spans="21:41" s="2" customFormat="1" x14ac:dyDescent="0.2">
      <c r="V258" s="4"/>
      <c r="W258" s="4"/>
      <c r="X258" s="4"/>
      <c r="Y258" s="4"/>
      <c r="Z258" s="4"/>
      <c r="AA258" s="4"/>
      <c r="AB258" s="4"/>
      <c r="AM258" s="4"/>
      <c r="AN258" s="4"/>
      <c r="AO258" s="4"/>
    </row>
    <row r="259" spans="21:41" s="2" customFormat="1" x14ac:dyDescent="0.2">
      <c r="V259" s="4"/>
      <c r="W259" s="4"/>
      <c r="X259" s="4"/>
      <c r="Y259" s="4"/>
      <c r="Z259" s="4"/>
      <c r="AA259" s="4"/>
      <c r="AB259" s="4"/>
      <c r="AM259" s="4"/>
      <c r="AN259" s="4"/>
      <c r="AO259" s="4"/>
    </row>
    <row r="260" spans="21:41" s="2" customFormat="1" x14ac:dyDescent="0.2">
      <c r="V260" s="4"/>
      <c r="W260" s="4"/>
      <c r="X260" s="4"/>
      <c r="Y260" s="4"/>
      <c r="Z260" s="4"/>
      <c r="AA260" s="4"/>
      <c r="AB260" s="4"/>
      <c r="AM260" s="4"/>
      <c r="AN260" s="4"/>
      <c r="AO260" s="4"/>
    </row>
    <row r="261" spans="21:41" s="2" customFormat="1" x14ac:dyDescent="0.2">
      <c r="V261" s="4"/>
      <c r="W261" s="4"/>
      <c r="X261" s="4"/>
      <c r="Y261" s="4"/>
      <c r="Z261" s="4"/>
      <c r="AA261" s="4"/>
      <c r="AB261" s="4"/>
      <c r="AM261" s="4"/>
      <c r="AN261" s="4"/>
      <c r="AO261" s="4"/>
    </row>
    <row r="262" spans="21:41" s="2" customFormat="1" x14ac:dyDescent="0.2">
      <c r="V262" s="4"/>
      <c r="W262" s="4"/>
      <c r="X262" s="4"/>
      <c r="Y262" s="4"/>
      <c r="Z262" s="4"/>
      <c r="AA262" s="4"/>
      <c r="AB262" s="4"/>
      <c r="AM262" s="4"/>
      <c r="AN262" s="4"/>
      <c r="AO262" s="4"/>
    </row>
    <row r="263" spans="21:41" s="2" customFormat="1" x14ac:dyDescent="0.2">
      <c r="W263" s="4"/>
      <c r="X263" s="4"/>
      <c r="Y263" s="4"/>
      <c r="Z263" s="4"/>
      <c r="AA263" s="4"/>
      <c r="AN263" s="4"/>
      <c r="AO263" s="4"/>
    </row>
    <row r="264" spans="21:41" s="2" customFormat="1" x14ac:dyDescent="0.2"/>
    <row r="265" spans="21:41" s="2" customFormat="1" x14ac:dyDescent="0.2"/>
    <row r="266" spans="21:41" s="2" customFormat="1" x14ac:dyDescent="0.2"/>
    <row r="267" spans="21:41" s="2" customFormat="1" x14ac:dyDescent="0.2"/>
    <row r="268" spans="21:41" s="2" customFormat="1" x14ac:dyDescent="0.2"/>
    <row r="269" spans="21:41" s="2" customFormat="1" x14ac:dyDescent="0.2"/>
    <row r="270" spans="21:41" s="2" customFormat="1" x14ac:dyDescent="0.2"/>
    <row r="271" spans="21:41" s="2" customFormat="1" x14ac:dyDescent="0.2"/>
    <row r="272" spans="21:41" s="2" customFormat="1" x14ac:dyDescent="0.2">
      <c r="U272" s="4"/>
      <c r="V272" s="4"/>
      <c r="W272" s="4"/>
      <c r="X272" s="4"/>
      <c r="Y272" s="4"/>
      <c r="Z272" s="4"/>
      <c r="AA272" s="4"/>
      <c r="AB272" s="4"/>
      <c r="AL272" s="4"/>
      <c r="AM272" s="4"/>
      <c r="AN272" s="4"/>
      <c r="AO272" s="4"/>
    </row>
    <row r="273" spans="21:41" s="2" customFormat="1" x14ac:dyDescent="0.2">
      <c r="U273" s="4"/>
      <c r="V273" s="4"/>
      <c r="W273" s="4"/>
      <c r="X273" s="4"/>
      <c r="Y273" s="4"/>
      <c r="Z273" s="4"/>
      <c r="AA273" s="4"/>
      <c r="AB273" s="4"/>
      <c r="AL273" s="4"/>
      <c r="AM273" s="4"/>
      <c r="AN273" s="4"/>
      <c r="AO273" s="4"/>
    </row>
    <row r="274" spans="21:41" s="2" customFormat="1" x14ac:dyDescent="0.2"/>
    <row r="275" spans="21:41" s="2" customFormat="1" x14ac:dyDescent="0.2"/>
    <row r="276" spans="21:41" s="2" customFormat="1" x14ac:dyDescent="0.2"/>
    <row r="277" spans="21:41" s="2" customFormat="1" x14ac:dyDescent="0.2"/>
    <row r="278" spans="21:41" s="2" customFormat="1" x14ac:dyDescent="0.2"/>
    <row r="279" spans="21:41" s="2" customFormat="1" x14ac:dyDescent="0.2"/>
    <row r="280" spans="21:41" s="2" customFormat="1" x14ac:dyDescent="0.2"/>
    <row r="281" spans="21:41" s="2" customFormat="1" x14ac:dyDescent="0.2"/>
    <row r="282" spans="21:41" s="2" customFormat="1" x14ac:dyDescent="0.2">
      <c r="V282" s="4"/>
      <c r="W282" s="4"/>
      <c r="X282" s="4"/>
      <c r="Y282" s="4"/>
      <c r="Z282" s="4"/>
      <c r="AA282" s="4"/>
      <c r="AB282" s="4"/>
      <c r="AM282" s="4"/>
      <c r="AN282" s="4"/>
      <c r="AO282" s="4"/>
    </row>
    <row r="283" spans="21:41" s="2" customFormat="1" x14ac:dyDescent="0.2">
      <c r="V283" s="4"/>
      <c r="W283" s="4"/>
      <c r="X283" s="4"/>
      <c r="Y283" s="4"/>
      <c r="Z283" s="4"/>
      <c r="AA283" s="4"/>
      <c r="AB283" s="4"/>
      <c r="AM283" s="4"/>
      <c r="AN283" s="4"/>
      <c r="AO283" s="4"/>
    </row>
    <row r="284" spans="21:41" s="2" customFormat="1" x14ac:dyDescent="0.2">
      <c r="V284" s="4"/>
      <c r="W284" s="4"/>
      <c r="X284" s="4"/>
      <c r="Y284" s="4"/>
      <c r="Z284" s="4"/>
      <c r="AA284" s="4"/>
      <c r="AB284" s="4"/>
      <c r="AM284" s="4"/>
      <c r="AN284" s="4"/>
      <c r="AO284" s="4"/>
    </row>
    <row r="285" spans="21:41" s="2" customFormat="1" x14ac:dyDescent="0.2">
      <c r="V285" s="4"/>
      <c r="W285" s="4"/>
      <c r="X285" s="4"/>
      <c r="Y285" s="4"/>
      <c r="Z285" s="4"/>
      <c r="AA285" s="4"/>
      <c r="AB285" s="4"/>
      <c r="AM285" s="4"/>
      <c r="AN285" s="4"/>
      <c r="AO285" s="4"/>
    </row>
    <row r="286" spans="21:41" s="2" customFormat="1" x14ac:dyDescent="0.2">
      <c r="V286" s="4"/>
      <c r="W286" s="4"/>
      <c r="X286" s="4"/>
      <c r="Y286" s="4"/>
      <c r="Z286" s="4"/>
      <c r="AA286" s="4"/>
      <c r="AB286" s="4"/>
      <c r="AM286" s="4"/>
      <c r="AN286" s="4"/>
      <c r="AO286" s="4"/>
    </row>
    <row r="287" spans="21:41" s="2" customFormat="1" x14ac:dyDescent="0.2">
      <c r="W287" s="4"/>
      <c r="X287" s="4"/>
      <c r="Y287" s="4"/>
      <c r="Z287" s="4"/>
      <c r="AA287" s="4"/>
      <c r="AN287" s="4"/>
      <c r="AO287" s="4"/>
    </row>
    <row r="288" spans="21:41" s="2" customFormat="1" x14ac:dyDescent="0.2"/>
    <row r="289" spans="21:41" s="2" customFormat="1" x14ac:dyDescent="0.2"/>
    <row r="290" spans="21:41" s="2" customFormat="1" x14ac:dyDescent="0.2">
      <c r="U290" s="12"/>
      <c r="V290" s="12"/>
      <c r="W290" s="12"/>
      <c r="X290" s="12"/>
      <c r="Y290" s="12"/>
      <c r="Z290" s="12"/>
      <c r="AL290" s="12"/>
      <c r="AM290" s="12"/>
      <c r="AN290" s="12"/>
      <c r="AO290" s="12"/>
    </row>
    <row r="291" spans="21:41" s="2" customFormat="1" x14ac:dyDescent="0.2"/>
    <row r="292" spans="21:41" s="2" customFormat="1" x14ac:dyDescent="0.2"/>
    <row r="293" spans="21:41" s="2" customFormat="1" x14ac:dyDescent="0.2"/>
    <row r="294" spans="21:41" s="2" customFormat="1" x14ac:dyDescent="0.2"/>
    <row r="295" spans="21:41" s="2" customFormat="1" x14ac:dyDescent="0.2">
      <c r="U295" s="12"/>
      <c r="V295" s="12"/>
      <c r="W295" s="12"/>
      <c r="X295" s="12"/>
      <c r="Y295" s="12"/>
      <c r="Z295" s="12"/>
      <c r="AL295" s="12"/>
      <c r="AM295" s="12"/>
      <c r="AN295" s="12"/>
      <c r="AO295" s="12"/>
    </row>
    <row r="296" spans="21:41" s="2" customFormat="1" x14ac:dyDescent="0.2"/>
    <row r="297" spans="21:41" s="2" customFormat="1" x14ac:dyDescent="0.2"/>
    <row r="298" spans="21:41" s="2" customFormat="1" x14ac:dyDescent="0.2">
      <c r="U298" s="4"/>
      <c r="V298" s="4"/>
      <c r="W298" s="4"/>
      <c r="X298" s="4"/>
      <c r="Y298" s="4"/>
      <c r="Z298" s="4"/>
      <c r="AA298" s="4"/>
      <c r="AB298" s="4"/>
      <c r="AL298" s="4"/>
      <c r="AM298" s="4"/>
      <c r="AN298" s="4"/>
      <c r="AO298" s="4"/>
    </row>
    <row r="299" spans="21:41" s="2" customFormat="1" x14ac:dyDescent="0.2">
      <c r="U299" s="9"/>
      <c r="V299" s="9"/>
      <c r="W299" s="9"/>
      <c r="X299" s="9"/>
      <c r="Y299" s="9"/>
      <c r="Z299" s="9"/>
      <c r="AA299" s="4"/>
      <c r="AB299" s="4"/>
      <c r="AL299" s="9"/>
      <c r="AM299" s="9"/>
      <c r="AN299" s="9"/>
      <c r="AO299" s="9"/>
    </row>
    <row r="300" spans="21:41" s="2" customFormat="1" x14ac:dyDescent="0.2">
      <c r="U300" s="4"/>
      <c r="V300" s="4"/>
      <c r="W300" s="4"/>
      <c r="X300" s="4"/>
      <c r="Y300" s="4"/>
      <c r="Z300" s="4"/>
      <c r="AA300" s="4"/>
      <c r="AB300" s="4"/>
      <c r="AL300" s="4"/>
      <c r="AM300" s="4"/>
      <c r="AN300" s="4"/>
      <c r="AO300" s="4"/>
    </row>
    <row r="301" spans="21:41" s="2" customFormat="1" x14ac:dyDescent="0.2">
      <c r="U301" s="4"/>
      <c r="V301" s="4"/>
      <c r="W301" s="4"/>
      <c r="X301" s="4"/>
      <c r="Y301" s="4"/>
      <c r="Z301" s="4"/>
      <c r="AA301" s="4"/>
      <c r="AB301" s="4"/>
      <c r="AL301" s="4"/>
      <c r="AM301" s="4"/>
      <c r="AN301" s="4"/>
      <c r="AO301" s="4"/>
    </row>
    <row r="302" spans="21:41" s="2" customFormat="1" x14ac:dyDescent="0.2">
      <c r="U302" s="9"/>
      <c r="V302" s="9"/>
      <c r="W302" s="9"/>
      <c r="X302" s="9"/>
      <c r="Y302" s="9"/>
      <c r="Z302" s="9"/>
      <c r="AA302" s="4"/>
      <c r="AB302" s="4"/>
      <c r="AL302" s="9"/>
      <c r="AM302" s="9"/>
      <c r="AN302" s="9"/>
      <c r="AO302" s="9"/>
    </row>
    <row r="303" spans="21:41" s="2" customFormat="1" x14ac:dyDescent="0.2"/>
    <row r="304" spans="21:41" s="2" customFormat="1" x14ac:dyDescent="0.2"/>
    <row r="305" spans="1:41" s="2" customFormat="1" x14ac:dyDescent="0.2"/>
    <row r="306" spans="1:41" s="2" customFormat="1" x14ac:dyDescent="0.2"/>
    <row r="307" spans="1:41" s="2" customFormat="1" x14ac:dyDescent="0.2"/>
    <row r="308" spans="1:41" s="2" customFormat="1" x14ac:dyDescent="0.2"/>
    <row r="309" spans="1:41" s="2" customFormat="1" x14ac:dyDescent="0.2"/>
    <row r="310" spans="1:41" s="2" customFormat="1" x14ac:dyDescent="0.2"/>
    <row r="311" spans="1:41" s="2" customFormat="1" x14ac:dyDescent="0.2"/>
    <row r="312" spans="1:41" s="2" customFormat="1" x14ac:dyDescent="0.2"/>
    <row r="313" spans="1:41" s="2" customFormat="1" x14ac:dyDescent="0.2"/>
    <row r="314" spans="1:41" s="2" customFormat="1" x14ac:dyDescent="0.2"/>
    <row r="315" spans="1:41" s="2" customFormat="1" x14ac:dyDescent="0.2"/>
    <row r="316" spans="1:41" s="2" customFormat="1" x14ac:dyDescent="0.2"/>
    <row r="317" spans="1:41" s="2" customFormat="1" x14ac:dyDescent="0.2"/>
    <row r="318" spans="1:41" s="2" customFormat="1" x14ac:dyDescent="0.2"/>
    <row r="319" spans="1:41" s="2" customFormat="1" x14ac:dyDescent="0.2">
      <c r="A319"/>
      <c r="B319"/>
      <c r="C319"/>
      <c r="D319"/>
      <c r="E319"/>
      <c r="F319"/>
      <c r="G319"/>
      <c r="U319"/>
      <c r="V319"/>
      <c r="W319"/>
      <c r="X319"/>
      <c r="Y319"/>
      <c r="Z319"/>
      <c r="AA319"/>
      <c r="AB319"/>
      <c r="AL319"/>
      <c r="AM319"/>
      <c r="AN319"/>
      <c r="AO319"/>
    </row>
    <row r="320" spans="1:41" s="2" customFormat="1" x14ac:dyDescent="0.2">
      <c r="A320"/>
      <c r="B320"/>
      <c r="C320"/>
      <c r="D320"/>
      <c r="E320"/>
      <c r="F320"/>
      <c r="G320"/>
      <c r="U320"/>
      <c r="V320"/>
      <c r="W320"/>
      <c r="X320"/>
      <c r="Y320"/>
      <c r="Z320"/>
      <c r="AA320"/>
      <c r="AB320"/>
      <c r="AL320"/>
      <c r="AM320"/>
      <c r="AN320"/>
      <c r="AO320"/>
    </row>
    <row r="321" spans="1:41" s="2" customFormat="1" x14ac:dyDescent="0.2">
      <c r="A321"/>
      <c r="B321"/>
      <c r="C321"/>
      <c r="D321"/>
      <c r="E321"/>
      <c r="F321"/>
      <c r="G321"/>
      <c r="U321"/>
      <c r="V321"/>
      <c r="W321"/>
      <c r="X321"/>
      <c r="Y321"/>
      <c r="Z321"/>
      <c r="AA321"/>
      <c r="AB321"/>
      <c r="AL321"/>
      <c r="AM321"/>
      <c r="AN321"/>
      <c r="AO321"/>
    </row>
    <row r="322" spans="1:41" s="2" customFormat="1" x14ac:dyDescent="0.2">
      <c r="A322"/>
      <c r="B322"/>
      <c r="C322"/>
      <c r="D322"/>
      <c r="E322"/>
      <c r="F322"/>
      <c r="G322"/>
      <c r="U322"/>
      <c r="V322"/>
      <c r="W322"/>
      <c r="X322"/>
      <c r="Y322"/>
      <c r="Z322"/>
      <c r="AA322"/>
      <c r="AB322"/>
      <c r="AL322"/>
      <c r="AM322"/>
      <c r="AN322"/>
      <c r="AO322"/>
    </row>
    <row r="323" spans="1:41" s="2" customFormat="1" x14ac:dyDescent="0.2">
      <c r="A323"/>
      <c r="B323"/>
      <c r="C323"/>
      <c r="D323"/>
      <c r="E323"/>
      <c r="F323"/>
      <c r="G323"/>
      <c r="U323"/>
      <c r="V323"/>
      <c r="W323"/>
      <c r="X323"/>
      <c r="Y323"/>
      <c r="Z323"/>
      <c r="AA323"/>
      <c r="AB323"/>
      <c r="AL323"/>
      <c r="AM323"/>
      <c r="AN323"/>
      <c r="AO323"/>
    </row>
    <row r="324" spans="1:41" s="2" customFormat="1" x14ac:dyDescent="0.2">
      <c r="A324"/>
      <c r="B324"/>
      <c r="C324"/>
      <c r="D324"/>
      <c r="E324"/>
      <c r="F324"/>
      <c r="G324"/>
      <c r="U324"/>
      <c r="V324"/>
      <c r="W324"/>
      <c r="X324"/>
      <c r="Y324"/>
      <c r="Z324"/>
      <c r="AA324"/>
      <c r="AB324"/>
      <c r="AL324"/>
      <c r="AM324"/>
      <c r="AN324"/>
      <c r="AO324"/>
    </row>
    <row r="325" spans="1:41" s="2" customFormat="1" x14ac:dyDescent="0.2">
      <c r="A325"/>
      <c r="B325"/>
      <c r="C325"/>
      <c r="D325"/>
      <c r="E325"/>
      <c r="F325"/>
      <c r="G325"/>
      <c r="U325"/>
      <c r="V325"/>
      <c r="W325"/>
      <c r="X325"/>
      <c r="Y325"/>
      <c r="Z325"/>
      <c r="AA325"/>
      <c r="AB325"/>
      <c r="AL325"/>
      <c r="AM325"/>
      <c r="AN325"/>
      <c r="AO325"/>
    </row>
    <row r="326" spans="1:41" s="2" customFormat="1" x14ac:dyDescent="0.2">
      <c r="A326"/>
      <c r="B326"/>
      <c r="C326"/>
      <c r="D326"/>
      <c r="E326"/>
      <c r="F326"/>
      <c r="G326"/>
      <c r="U326"/>
      <c r="V326"/>
      <c r="W326"/>
      <c r="X326"/>
      <c r="Y326"/>
      <c r="Z326"/>
      <c r="AA326"/>
      <c r="AB326"/>
      <c r="AL326"/>
      <c r="AM326"/>
      <c r="AN326"/>
      <c r="AO326"/>
    </row>
    <row r="327" spans="1:41" s="2" customFormat="1" x14ac:dyDescent="0.2">
      <c r="A327"/>
      <c r="B327"/>
      <c r="C327"/>
      <c r="D327"/>
      <c r="E327"/>
      <c r="F327"/>
      <c r="G327"/>
      <c r="U327"/>
      <c r="V327"/>
      <c r="W327"/>
      <c r="X327"/>
      <c r="Y327"/>
      <c r="Z327"/>
      <c r="AA327"/>
      <c r="AB327"/>
      <c r="AL327"/>
      <c r="AM327"/>
      <c r="AN327"/>
      <c r="AO327"/>
    </row>
    <row r="328" spans="1:41" s="2" customFormat="1" x14ac:dyDescent="0.2">
      <c r="A328"/>
      <c r="B328"/>
      <c r="C328"/>
      <c r="D328"/>
      <c r="E328"/>
      <c r="F328"/>
      <c r="G328"/>
      <c r="U328"/>
      <c r="V328"/>
      <c r="W328"/>
      <c r="X328"/>
      <c r="Y328"/>
      <c r="Z328"/>
      <c r="AA328"/>
      <c r="AB328"/>
      <c r="AL328"/>
      <c r="AM328"/>
      <c r="AN328"/>
      <c r="AO328"/>
    </row>
    <row r="329" spans="1:41" s="2" customFormat="1" x14ac:dyDescent="0.2">
      <c r="A329"/>
      <c r="B329"/>
      <c r="C329"/>
      <c r="D329"/>
      <c r="E329"/>
      <c r="F329"/>
      <c r="G329"/>
      <c r="U329"/>
      <c r="V329"/>
      <c r="W329"/>
      <c r="X329"/>
      <c r="Y329"/>
      <c r="Z329"/>
      <c r="AA329"/>
      <c r="AB329"/>
      <c r="AL329"/>
      <c r="AM329"/>
      <c r="AN329"/>
      <c r="AO329"/>
    </row>
    <row r="330" spans="1:41" s="2" customFormat="1" x14ac:dyDescent="0.2">
      <c r="A330"/>
      <c r="B330"/>
      <c r="C330"/>
      <c r="D330"/>
      <c r="E330"/>
      <c r="F330"/>
      <c r="G330"/>
      <c r="U330"/>
      <c r="V330"/>
      <c r="W330"/>
      <c r="X330"/>
      <c r="Y330"/>
      <c r="Z330"/>
      <c r="AA330"/>
      <c r="AB330"/>
      <c r="AL330"/>
      <c r="AM330"/>
      <c r="AN330"/>
      <c r="AO330"/>
    </row>
    <row r="331" spans="1:41" s="2" customFormat="1" x14ac:dyDescent="0.2">
      <c r="A331"/>
      <c r="B331"/>
      <c r="C331"/>
      <c r="D331"/>
      <c r="E331"/>
      <c r="F331"/>
      <c r="G331"/>
      <c r="U331"/>
      <c r="V331"/>
      <c r="W331"/>
      <c r="X331"/>
      <c r="Y331"/>
      <c r="Z331"/>
      <c r="AA331"/>
      <c r="AB331"/>
      <c r="AL331"/>
      <c r="AM331"/>
      <c r="AN331"/>
      <c r="AO331"/>
    </row>
    <row r="332" spans="1:41" s="2" customFormat="1" x14ac:dyDescent="0.2">
      <c r="A332"/>
      <c r="B332"/>
      <c r="C332"/>
      <c r="D332"/>
      <c r="E332"/>
      <c r="F332"/>
      <c r="G332"/>
      <c r="U332"/>
      <c r="V332"/>
      <c r="W332"/>
      <c r="X332"/>
      <c r="Y332"/>
      <c r="Z332"/>
      <c r="AA332"/>
      <c r="AB332"/>
      <c r="AL332"/>
      <c r="AM332"/>
      <c r="AN332"/>
      <c r="AO332"/>
    </row>
    <row r="333" spans="1:41" s="2" customFormat="1" x14ac:dyDescent="0.2">
      <c r="A333"/>
      <c r="B333"/>
      <c r="C333"/>
      <c r="D333"/>
      <c r="E333"/>
      <c r="F333"/>
      <c r="G333"/>
      <c r="U333"/>
      <c r="V333"/>
      <c r="W333"/>
      <c r="X333"/>
      <c r="Y333"/>
      <c r="Z333"/>
      <c r="AA333"/>
      <c r="AB333"/>
      <c r="AL333"/>
      <c r="AM333"/>
      <c r="AN333"/>
      <c r="AO333"/>
    </row>
    <row r="334" spans="1:41" s="2" customFormat="1" x14ac:dyDescent="0.2">
      <c r="A334"/>
      <c r="B334"/>
      <c r="C334"/>
      <c r="D334"/>
      <c r="E334"/>
      <c r="F334"/>
      <c r="G334"/>
      <c r="U334"/>
      <c r="V334"/>
      <c r="W334"/>
      <c r="X334"/>
      <c r="Y334"/>
      <c r="Z334"/>
      <c r="AA334"/>
      <c r="AB334"/>
      <c r="AL334"/>
      <c r="AM334"/>
      <c r="AN334"/>
      <c r="AO334"/>
    </row>
    <row r="335" spans="1:41" s="2" customFormat="1" x14ac:dyDescent="0.2">
      <c r="A335"/>
      <c r="B335"/>
      <c r="C335"/>
      <c r="D335"/>
      <c r="E335"/>
      <c r="F335"/>
      <c r="G335"/>
      <c r="U335"/>
      <c r="V335"/>
      <c r="W335"/>
      <c r="X335"/>
      <c r="Y335"/>
      <c r="Z335"/>
      <c r="AA335"/>
      <c r="AB335"/>
      <c r="AL335"/>
      <c r="AM335"/>
      <c r="AN335"/>
      <c r="AO335"/>
    </row>
    <row r="336" spans="1:41" s="2" customFormat="1" x14ac:dyDescent="0.2">
      <c r="A336"/>
      <c r="B336"/>
      <c r="C336"/>
      <c r="D336"/>
      <c r="E336"/>
      <c r="F336"/>
      <c r="G336"/>
      <c r="U336"/>
      <c r="V336"/>
      <c r="W336"/>
      <c r="X336"/>
      <c r="Y336"/>
      <c r="Z336"/>
      <c r="AA336"/>
      <c r="AB336"/>
      <c r="AL336"/>
      <c r="AM336"/>
      <c r="AN336"/>
      <c r="AO336"/>
    </row>
    <row r="337" spans="1:41" s="2" customFormat="1" x14ac:dyDescent="0.2">
      <c r="A337"/>
      <c r="B337"/>
      <c r="C337"/>
      <c r="D337"/>
      <c r="E337"/>
      <c r="F337"/>
      <c r="G337"/>
      <c r="U337"/>
      <c r="V337"/>
      <c r="W337"/>
      <c r="X337"/>
      <c r="Y337"/>
      <c r="Z337"/>
      <c r="AA337"/>
      <c r="AB337"/>
      <c r="AL337"/>
      <c r="AM337"/>
      <c r="AN337"/>
      <c r="AO337"/>
    </row>
    <row r="338" spans="1:41" s="2" customFormat="1" x14ac:dyDescent="0.2">
      <c r="A338"/>
      <c r="B338"/>
      <c r="C338"/>
      <c r="D338"/>
      <c r="E338"/>
      <c r="F338"/>
      <c r="G338"/>
      <c r="U338"/>
      <c r="V338"/>
      <c r="W338"/>
      <c r="X338"/>
      <c r="Y338"/>
      <c r="Z338"/>
      <c r="AA338"/>
      <c r="AB338"/>
      <c r="AL338"/>
      <c r="AM338"/>
      <c r="AN338"/>
      <c r="AO338"/>
    </row>
    <row r="339" spans="1:41" s="2" customFormat="1" x14ac:dyDescent="0.2">
      <c r="A339"/>
      <c r="B339"/>
      <c r="C339"/>
      <c r="D339"/>
      <c r="E339"/>
      <c r="F339"/>
      <c r="G339"/>
      <c r="U339"/>
      <c r="V339"/>
      <c r="W339"/>
      <c r="X339"/>
      <c r="Y339"/>
      <c r="Z339"/>
      <c r="AA339"/>
      <c r="AB339"/>
      <c r="AL339"/>
      <c r="AM339"/>
      <c r="AN339"/>
      <c r="AO339"/>
    </row>
    <row r="340" spans="1:41" s="2" customFormat="1" x14ac:dyDescent="0.2">
      <c r="A340"/>
      <c r="B340"/>
      <c r="C340"/>
      <c r="D340"/>
      <c r="E340"/>
      <c r="F340"/>
      <c r="G340"/>
      <c r="U340"/>
      <c r="V340"/>
      <c r="W340"/>
      <c r="X340"/>
      <c r="Y340"/>
      <c r="Z340"/>
      <c r="AA340"/>
      <c r="AB340"/>
      <c r="AL340"/>
      <c r="AM340"/>
      <c r="AN340"/>
      <c r="AO340"/>
    </row>
    <row r="341" spans="1:41" s="2" customFormat="1" x14ac:dyDescent="0.2">
      <c r="A341"/>
      <c r="B341"/>
      <c r="C341"/>
      <c r="D341"/>
      <c r="E341"/>
      <c r="F341"/>
      <c r="G341"/>
      <c r="U341"/>
      <c r="V341"/>
      <c r="W341"/>
      <c r="X341"/>
      <c r="Y341"/>
      <c r="Z341"/>
      <c r="AA341"/>
      <c r="AB341"/>
      <c r="AL341"/>
      <c r="AM341"/>
      <c r="AN341"/>
      <c r="AO341"/>
    </row>
    <row r="342" spans="1:41" s="2" customFormat="1" x14ac:dyDescent="0.2">
      <c r="A342"/>
      <c r="B342"/>
      <c r="C342"/>
      <c r="D342"/>
      <c r="E342"/>
      <c r="F342"/>
      <c r="G342"/>
      <c r="U342"/>
      <c r="V342"/>
      <c r="W342"/>
      <c r="X342"/>
      <c r="Y342"/>
      <c r="Z342"/>
      <c r="AA342"/>
      <c r="AB342"/>
      <c r="AL342"/>
      <c r="AM342"/>
      <c r="AN342"/>
      <c r="AO342"/>
    </row>
    <row r="343" spans="1:41" s="2" customFormat="1" x14ac:dyDescent="0.2">
      <c r="A343"/>
      <c r="B343"/>
      <c r="C343"/>
      <c r="D343"/>
      <c r="E343"/>
      <c r="F343"/>
      <c r="G343"/>
      <c r="U343"/>
      <c r="V343"/>
      <c r="W343"/>
      <c r="X343"/>
      <c r="Y343"/>
      <c r="Z343"/>
      <c r="AA343"/>
      <c r="AB343"/>
      <c r="AL343"/>
      <c r="AM343"/>
      <c r="AN343"/>
      <c r="AO343"/>
    </row>
    <row r="344" spans="1:41" s="2" customFormat="1" x14ac:dyDescent="0.2">
      <c r="A344"/>
      <c r="B344"/>
      <c r="C344"/>
      <c r="D344"/>
      <c r="E344"/>
      <c r="F344"/>
      <c r="G344"/>
      <c r="U344"/>
      <c r="V344"/>
      <c r="W344"/>
      <c r="X344"/>
      <c r="Y344"/>
      <c r="Z344"/>
      <c r="AA344"/>
      <c r="AB344"/>
      <c r="AL344"/>
      <c r="AM344"/>
      <c r="AN344"/>
      <c r="AO344"/>
    </row>
    <row r="345" spans="1:41" s="2" customFormat="1" x14ac:dyDescent="0.2">
      <c r="A345"/>
      <c r="B345"/>
      <c r="C345"/>
      <c r="D345"/>
      <c r="E345"/>
      <c r="F345"/>
      <c r="G345"/>
      <c r="U345"/>
      <c r="V345"/>
      <c r="W345"/>
      <c r="X345"/>
      <c r="Y345"/>
      <c r="Z345"/>
      <c r="AA345"/>
      <c r="AB345"/>
      <c r="AL345"/>
      <c r="AM345"/>
      <c r="AN345"/>
      <c r="AO345"/>
    </row>
    <row r="346" spans="1:41" s="2" customFormat="1" x14ac:dyDescent="0.2">
      <c r="A346"/>
      <c r="B346"/>
      <c r="C346"/>
      <c r="D346"/>
      <c r="E346"/>
      <c r="F346"/>
      <c r="G346"/>
      <c r="U346"/>
      <c r="V346"/>
      <c r="W346"/>
      <c r="X346"/>
      <c r="Y346"/>
      <c r="Z346"/>
      <c r="AA346"/>
      <c r="AB346"/>
      <c r="AL346"/>
      <c r="AM346"/>
      <c r="AN346"/>
      <c r="AO346"/>
    </row>
    <row r="347" spans="1:41" s="2" customFormat="1" x14ac:dyDescent="0.2">
      <c r="A347"/>
      <c r="B347"/>
      <c r="C347"/>
      <c r="D347"/>
      <c r="E347"/>
      <c r="F347"/>
      <c r="G347"/>
      <c r="U347"/>
      <c r="V347"/>
      <c r="W347"/>
      <c r="X347"/>
      <c r="Y347"/>
      <c r="Z347"/>
      <c r="AA347"/>
      <c r="AB347"/>
      <c r="AL347"/>
      <c r="AM347"/>
      <c r="AN347"/>
      <c r="AO347"/>
    </row>
    <row r="348" spans="1:41" s="2" customFormat="1" x14ac:dyDescent="0.2">
      <c r="A348"/>
      <c r="B348"/>
      <c r="C348"/>
      <c r="D348"/>
      <c r="E348"/>
      <c r="F348"/>
      <c r="G348"/>
      <c r="U348"/>
      <c r="V348"/>
      <c r="W348"/>
      <c r="X348"/>
      <c r="Y348"/>
      <c r="Z348"/>
      <c r="AA348"/>
      <c r="AB348"/>
      <c r="AL348"/>
      <c r="AM348"/>
      <c r="AN348"/>
      <c r="AO348"/>
    </row>
    <row r="349" spans="1:41" s="2" customFormat="1" x14ac:dyDescent="0.2">
      <c r="A349"/>
      <c r="B349"/>
      <c r="C349"/>
      <c r="D349"/>
      <c r="E349"/>
      <c r="F349"/>
      <c r="G349"/>
      <c r="U349"/>
      <c r="V349"/>
      <c r="W349"/>
      <c r="X349"/>
      <c r="Y349"/>
      <c r="Z349"/>
      <c r="AA349"/>
      <c r="AB349"/>
      <c r="AL349"/>
      <c r="AM349"/>
      <c r="AN349"/>
      <c r="AO349"/>
    </row>
    <row r="350" spans="1:41" s="2" customFormat="1" x14ac:dyDescent="0.2">
      <c r="A350"/>
      <c r="B350"/>
      <c r="C350"/>
      <c r="D350"/>
      <c r="E350"/>
      <c r="F350"/>
      <c r="G350"/>
      <c r="U350"/>
      <c r="V350"/>
      <c r="W350"/>
      <c r="X350"/>
      <c r="Y350"/>
      <c r="Z350"/>
      <c r="AA350"/>
      <c r="AB350"/>
      <c r="AL350"/>
      <c r="AM350"/>
      <c r="AN350"/>
      <c r="AO350"/>
    </row>
    <row r="351" spans="1:41" s="2" customFormat="1" x14ac:dyDescent="0.2">
      <c r="A351"/>
      <c r="B351"/>
      <c r="C351"/>
      <c r="D351"/>
      <c r="E351"/>
      <c r="F351"/>
      <c r="G351"/>
      <c r="U351"/>
      <c r="V351"/>
      <c r="W351"/>
      <c r="X351"/>
      <c r="Y351"/>
      <c r="Z351"/>
      <c r="AA351"/>
      <c r="AB351"/>
      <c r="AL351"/>
      <c r="AM351"/>
      <c r="AN351"/>
      <c r="AO351"/>
    </row>
    <row r="352" spans="1:41" s="2" customFormat="1" x14ac:dyDescent="0.2">
      <c r="A352"/>
      <c r="B352"/>
      <c r="C352"/>
      <c r="D352"/>
      <c r="E352"/>
      <c r="F352"/>
      <c r="G352"/>
      <c r="U352"/>
      <c r="V352"/>
      <c r="W352"/>
      <c r="X352"/>
      <c r="Y352"/>
      <c r="Z352"/>
      <c r="AA352"/>
      <c r="AB352"/>
      <c r="AL352"/>
      <c r="AM352"/>
      <c r="AN352"/>
      <c r="AO352"/>
    </row>
    <row r="353" spans="1:41" s="2" customFormat="1" x14ac:dyDescent="0.2">
      <c r="A353"/>
      <c r="B353"/>
      <c r="C353"/>
      <c r="D353"/>
      <c r="E353"/>
      <c r="F353"/>
      <c r="G353"/>
      <c r="U353"/>
      <c r="V353"/>
      <c r="W353"/>
      <c r="X353"/>
      <c r="Y353"/>
      <c r="Z353"/>
      <c r="AA353"/>
      <c r="AB353"/>
      <c r="AL353"/>
      <c r="AM353"/>
      <c r="AN353"/>
      <c r="AO353"/>
    </row>
    <row r="354" spans="1:41" s="2" customFormat="1" x14ac:dyDescent="0.2">
      <c r="A354"/>
      <c r="B354"/>
      <c r="C354"/>
      <c r="D354"/>
      <c r="E354"/>
      <c r="F354"/>
      <c r="G354"/>
      <c r="U354"/>
      <c r="V354"/>
      <c r="W354"/>
      <c r="X354"/>
      <c r="Y354"/>
      <c r="Z354"/>
      <c r="AA354"/>
      <c r="AB354"/>
      <c r="AL354"/>
      <c r="AM354"/>
      <c r="AN354"/>
      <c r="AO354"/>
    </row>
    <row r="355" spans="1:41" s="2" customFormat="1" x14ac:dyDescent="0.2">
      <c r="A355"/>
      <c r="B355"/>
      <c r="C355"/>
      <c r="D355"/>
      <c r="E355"/>
      <c r="F355"/>
      <c r="G355"/>
      <c r="U355"/>
      <c r="V355"/>
      <c r="W355"/>
      <c r="X355"/>
      <c r="Y355"/>
      <c r="Z355"/>
      <c r="AA355"/>
      <c r="AB355"/>
      <c r="AL355"/>
      <c r="AM355"/>
      <c r="AN355"/>
      <c r="AO355"/>
    </row>
    <row r="356" spans="1:41" s="2" customFormat="1" x14ac:dyDescent="0.2">
      <c r="A356"/>
      <c r="B356"/>
      <c r="C356"/>
      <c r="D356"/>
      <c r="E356"/>
      <c r="F356"/>
      <c r="G356"/>
      <c r="U356"/>
      <c r="V356"/>
      <c r="W356"/>
      <c r="X356"/>
      <c r="Y356"/>
      <c r="Z356"/>
      <c r="AA356"/>
      <c r="AB356"/>
      <c r="AL356"/>
      <c r="AM356"/>
      <c r="AN356"/>
      <c r="AO356"/>
    </row>
    <row r="357" spans="1:41" s="2" customFormat="1" x14ac:dyDescent="0.2">
      <c r="A357"/>
      <c r="B357"/>
      <c r="C357"/>
      <c r="D357"/>
      <c r="E357"/>
      <c r="F357"/>
      <c r="G357"/>
      <c r="U357"/>
      <c r="V357"/>
      <c r="W357"/>
      <c r="X357"/>
      <c r="Y357"/>
      <c r="Z357"/>
      <c r="AA357"/>
      <c r="AB357"/>
      <c r="AL357"/>
      <c r="AM357"/>
      <c r="AN357"/>
      <c r="AO357"/>
    </row>
    <row r="358" spans="1:41" s="2" customFormat="1" x14ac:dyDescent="0.2">
      <c r="A358"/>
      <c r="B358"/>
      <c r="C358"/>
      <c r="D358"/>
      <c r="E358"/>
      <c r="F358"/>
      <c r="G358"/>
      <c r="U358"/>
      <c r="V358"/>
      <c r="W358"/>
      <c r="X358"/>
      <c r="Y358"/>
      <c r="Z358"/>
      <c r="AA358"/>
      <c r="AB358"/>
      <c r="AL358"/>
      <c r="AM358"/>
      <c r="AN358"/>
      <c r="AO358"/>
    </row>
    <row r="359" spans="1:41" s="2" customFormat="1" x14ac:dyDescent="0.2">
      <c r="A359"/>
      <c r="B359"/>
      <c r="C359"/>
      <c r="D359"/>
      <c r="E359"/>
      <c r="F359"/>
      <c r="G359"/>
      <c r="U359"/>
      <c r="V359"/>
      <c r="W359"/>
      <c r="X359"/>
      <c r="Y359"/>
      <c r="Z359"/>
      <c r="AA359"/>
      <c r="AB359"/>
      <c r="AL359"/>
      <c r="AM359"/>
      <c r="AN359"/>
      <c r="AO359"/>
    </row>
    <row r="360" spans="1:41" s="2" customFormat="1" x14ac:dyDescent="0.2">
      <c r="A360"/>
      <c r="B360"/>
      <c r="C360"/>
      <c r="D360"/>
      <c r="E360"/>
      <c r="F360"/>
      <c r="G360"/>
      <c r="U360"/>
      <c r="V360"/>
      <c r="W360"/>
      <c r="X360"/>
      <c r="Y360"/>
      <c r="Z360"/>
      <c r="AA360"/>
      <c r="AB360"/>
      <c r="AL360"/>
      <c r="AM360"/>
      <c r="AN360"/>
      <c r="AO360"/>
    </row>
    <row r="361" spans="1:41" s="2" customFormat="1" x14ac:dyDescent="0.2">
      <c r="A361"/>
      <c r="B361"/>
      <c r="C361"/>
      <c r="D361"/>
      <c r="E361"/>
      <c r="F361"/>
      <c r="G361"/>
      <c r="U361"/>
      <c r="V361"/>
      <c r="W361"/>
      <c r="X361"/>
      <c r="Y361"/>
      <c r="Z361"/>
      <c r="AA361"/>
      <c r="AB361"/>
      <c r="AL361"/>
      <c r="AM361"/>
      <c r="AN361"/>
      <c r="AO361"/>
    </row>
    <row r="362" spans="1:41" s="2" customFormat="1" x14ac:dyDescent="0.2">
      <c r="A362"/>
      <c r="B362"/>
      <c r="C362"/>
      <c r="D362"/>
      <c r="E362"/>
      <c r="F362"/>
      <c r="G362"/>
      <c r="U362"/>
      <c r="V362"/>
      <c r="W362"/>
      <c r="X362"/>
      <c r="Y362"/>
      <c r="Z362"/>
      <c r="AA362"/>
      <c r="AB362"/>
      <c r="AL362"/>
      <c r="AM362"/>
      <c r="AN362"/>
      <c r="AO362"/>
    </row>
    <row r="363" spans="1:41" s="2" customFormat="1" x14ac:dyDescent="0.2">
      <c r="A363"/>
      <c r="B363"/>
      <c r="C363"/>
      <c r="D363"/>
      <c r="E363"/>
      <c r="F363"/>
      <c r="G363"/>
      <c r="U363"/>
      <c r="V363"/>
      <c r="W363"/>
      <c r="X363"/>
      <c r="Y363"/>
      <c r="Z363"/>
      <c r="AA363"/>
      <c r="AB363"/>
      <c r="AL363"/>
      <c r="AM363"/>
      <c r="AN363"/>
      <c r="AO363"/>
    </row>
    <row r="364" spans="1:41" s="2" customFormat="1" x14ac:dyDescent="0.2">
      <c r="A364"/>
      <c r="B364"/>
      <c r="C364"/>
      <c r="D364"/>
      <c r="E364"/>
      <c r="F364"/>
      <c r="G364"/>
      <c r="U364"/>
      <c r="V364"/>
      <c r="W364"/>
      <c r="X364"/>
      <c r="Y364"/>
      <c r="Z364"/>
      <c r="AA364"/>
      <c r="AB364"/>
      <c r="AL364"/>
      <c r="AM364"/>
      <c r="AN364"/>
      <c r="AO364"/>
    </row>
    <row r="365" spans="1:41" s="2" customFormat="1" x14ac:dyDescent="0.2">
      <c r="A365"/>
      <c r="B365"/>
      <c r="C365"/>
      <c r="D365"/>
      <c r="E365"/>
      <c r="F365"/>
      <c r="G365"/>
      <c r="U365"/>
      <c r="V365"/>
      <c r="W365"/>
      <c r="X365"/>
      <c r="Y365"/>
      <c r="Z365"/>
      <c r="AA365"/>
      <c r="AB365"/>
      <c r="AL365"/>
      <c r="AM365"/>
      <c r="AN365"/>
      <c r="AO365"/>
    </row>
    <row r="366" spans="1:41" s="2" customFormat="1" x14ac:dyDescent="0.2">
      <c r="A366"/>
      <c r="B366"/>
      <c r="C366"/>
      <c r="D366"/>
      <c r="E366"/>
      <c r="F366"/>
      <c r="G366"/>
      <c r="U366"/>
      <c r="V366"/>
      <c r="W366"/>
      <c r="X366"/>
      <c r="Y366"/>
      <c r="Z366"/>
      <c r="AA366"/>
      <c r="AB366"/>
      <c r="AL366"/>
      <c r="AM366"/>
      <c r="AN366"/>
      <c r="AO366"/>
    </row>
    <row r="367" spans="1:41" s="2" customFormat="1" x14ac:dyDescent="0.2">
      <c r="A367"/>
      <c r="B367"/>
      <c r="C367"/>
      <c r="D367"/>
      <c r="E367"/>
      <c r="F367"/>
      <c r="G367"/>
      <c r="U367"/>
      <c r="V367"/>
      <c r="W367"/>
      <c r="X367"/>
      <c r="Y367"/>
      <c r="Z367"/>
      <c r="AA367"/>
      <c r="AB367"/>
      <c r="AL367"/>
      <c r="AM367"/>
      <c r="AN367"/>
      <c r="AO367"/>
    </row>
    <row r="368" spans="1:41" s="2" customFormat="1" x14ac:dyDescent="0.2">
      <c r="A368"/>
      <c r="B368"/>
      <c r="C368"/>
      <c r="D368"/>
      <c r="E368"/>
      <c r="F368"/>
      <c r="G368"/>
      <c r="U368"/>
      <c r="V368"/>
      <c r="W368"/>
      <c r="X368"/>
      <c r="Y368"/>
      <c r="Z368"/>
      <c r="AA368"/>
      <c r="AB368"/>
      <c r="AL368"/>
      <c r="AM368"/>
      <c r="AN368"/>
      <c r="AO368"/>
    </row>
    <row r="369" spans="1:41" s="2" customFormat="1" x14ac:dyDescent="0.2">
      <c r="A369"/>
      <c r="B369"/>
      <c r="C369"/>
      <c r="D369"/>
      <c r="E369"/>
      <c r="F369"/>
      <c r="G369"/>
      <c r="U369"/>
      <c r="V369"/>
      <c r="W369"/>
      <c r="X369"/>
      <c r="Y369"/>
      <c r="Z369"/>
      <c r="AA369"/>
      <c r="AB369"/>
      <c r="AL369"/>
      <c r="AM369"/>
      <c r="AN369"/>
      <c r="AO369"/>
    </row>
    <row r="370" spans="1:41" s="2" customFormat="1" x14ac:dyDescent="0.2">
      <c r="A370"/>
      <c r="B370"/>
      <c r="C370"/>
      <c r="D370"/>
      <c r="E370"/>
      <c r="F370"/>
      <c r="G370"/>
      <c r="U370"/>
      <c r="V370"/>
      <c r="W370"/>
      <c r="X370"/>
      <c r="Y370"/>
      <c r="Z370"/>
      <c r="AA370"/>
      <c r="AB370"/>
      <c r="AL370"/>
      <c r="AM370"/>
      <c r="AN370"/>
      <c r="AO370"/>
    </row>
    <row r="371" spans="1:41" s="2" customFormat="1" x14ac:dyDescent="0.2">
      <c r="A371"/>
      <c r="B371"/>
      <c r="C371"/>
      <c r="D371"/>
      <c r="E371"/>
      <c r="F371"/>
      <c r="G371"/>
      <c r="U371"/>
      <c r="V371"/>
      <c r="W371"/>
      <c r="X371"/>
      <c r="Y371"/>
      <c r="Z371"/>
      <c r="AA371"/>
      <c r="AB371"/>
      <c r="AL371"/>
      <c r="AM371"/>
      <c r="AN371"/>
      <c r="AO371"/>
    </row>
    <row r="372" spans="1:41" s="2" customFormat="1" x14ac:dyDescent="0.2">
      <c r="A372"/>
      <c r="B372"/>
      <c r="C372"/>
      <c r="D372"/>
      <c r="E372"/>
      <c r="F372"/>
      <c r="G372"/>
      <c r="U372"/>
      <c r="V372"/>
      <c r="W372"/>
      <c r="X372"/>
      <c r="Y372"/>
      <c r="Z372"/>
      <c r="AA372"/>
      <c r="AB372"/>
      <c r="AL372"/>
      <c r="AM372"/>
      <c r="AN372"/>
      <c r="AO372"/>
    </row>
    <row r="373" spans="1:41" s="2" customFormat="1" x14ac:dyDescent="0.2">
      <c r="A373"/>
      <c r="B373"/>
      <c r="C373"/>
      <c r="D373"/>
      <c r="E373"/>
      <c r="F373"/>
      <c r="G373"/>
      <c r="U373"/>
      <c r="V373"/>
      <c r="W373"/>
      <c r="X373"/>
      <c r="Y373"/>
      <c r="Z373"/>
      <c r="AA373"/>
      <c r="AB373"/>
      <c r="AL373"/>
      <c r="AM373"/>
      <c r="AN373"/>
      <c r="AO373"/>
    </row>
    <row r="374" spans="1:41" s="2" customFormat="1" x14ac:dyDescent="0.2">
      <c r="A374"/>
      <c r="B374"/>
      <c r="C374"/>
      <c r="D374"/>
      <c r="E374"/>
      <c r="F374"/>
      <c r="G374"/>
      <c r="U374"/>
      <c r="V374"/>
      <c r="W374"/>
      <c r="X374"/>
      <c r="Y374"/>
      <c r="Z374"/>
      <c r="AA374"/>
      <c r="AB374"/>
      <c r="AL374"/>
      <c r="AM374"/>
      <c r="AN374"/>
      <c r="AO374"/>
    </row>
    <row r="375" spans="1:41" s="2" customFormat="1" x14ac:dyDescent="0.2">
      <c r="A375"/>
      <c r="B375"/>
      <c r="C375"/>
      <c r="D375"/>
      <c r="E375"/>
      <c r="F375"/>
      <c r="G375"/>
      <c r="U375"/>
      <c r="V375"/>
      <c r="W375"/>
      <c r="X375"/>
      <c r="Y375"/>
      <c r="Z375"/>
      <c r="AA375"/>
      <c r="AB375"/>
      <c r="AL375"/>
      <c r="AM375"/>
      <c r="AN375"/>
      <c r="AO375"/>
    </row>
    <row r="376" spans="1:41" s="2" customFormat="1" x14ac:dyDescent="0.2">
      <c r="A376"/>
      <c r="B376"/>
      <c r="C376"/>
      <c r="D376"/>
      <c r="E376"/>
      <c r="F376"/>
      <c r="G376"/>
      <c r="U376"/>
      <c r="V376"/>
      <c r="W376"/>
      <c r="X376"/>
      <c r="Y376"/>
      <c r="Z376"/>
      <c r="AA376"/>
      <c r="AB376"/>
      <c r="AL376"/>
      <c r="AM376"/>
      <c r="AN376"/>
      <c r="AO376"/>
    </row>
    <row r="377" spans="1:41" s="2" customFormat="1" x14ac:dyDescent="0.2">
      <c r="A377"/>
      <c r="B377"/>
      <c r="C377"/>
      <c r="D377"/>
      <c r="E377"/>
      <c r="F377"/>
      <c r="G377"/>
      <c r="U377"/>
      <c r="V377"/>
      <c r="W377"/>
      <c r="X377"/>
      <c r="Y377"/>
      <c r="Z377"/>
      <c r="AA377"/>
      <c r="AB377"/>
      <c r="AL377"/>
      <c r="AM377"/>
      <c r="AN377"/>
      <c r="AO377"/>
    </row>
    <row r="378" spans="1:41" s="2" customFormat="1" x14ac:dyDescent="0.2">
      <c r="A378"/>
      <c r="B378"/>
      <c r="C378"/>
      <c r="D378"/>
      <c r="E378"/>
      <c r="F378"/>
      <c r="G378"/>
      <c r="U378"/>
      <c r="V378"/>
      <c r="W378"/>
      <c r="X378"/>
      <c r="Y378"/>
      <c r="Z378"/>
      <c r="AA378"/>
      <c r="AB378"/>
      <c r="AL378"/>
      <c r="AM378"/>
      <c r="AN378"/>
      <c r="AO378"/>
    </row>
    <row r="379" spans="1:41" s="2" customFormat="1" x14ac:dyDescent="0.2">
      <c r="A379"/>
      <c r="B379"/>
      <c r="C379"/>
      <c r="D379"/>
      <c r="E379"/>
      <c r="F379"/>
      <c r="G379"/>
      <c r="U379"/>
      <c r="V379"/>
      <c r="W379"/>
      <c r="X379"/>
      <c r="Y379"/>
      <c r="Z379"/>
      <c r="AA379"/>
      <c r="AB379"/>
      <c r="AL379"/>
      <c r="AM379"/>
      <c r="AN379"/>
      <c r="AO379"/>
    </row>
    <row r="380" spans="1:41" s="2" customFormat="1" x14ac:dyDescent="0.2">
      <c r="A380"/>
      <c r="B380"/>
      <c r="C380"/>
      <c r="D380"/>
      <c r="E380"/>
      <c r="F380"/>
      <c r="G380"/>
      <c r="U380"/>
      <c r="V380"/>
      <c r="W380"/>
      <c r="X380"/>
      <c r="Y380"/>
      <c r="Z380"/>
      <c r="AA380"/>
      <c r="AB380"/>
      <c r="AL380"/>
      <c r="AM380"/>
      <c r="AN380"/>
      <c r="AO380"/>
    </row>
    <row r="381" spans="1:41" s="2" customFormat="1" x14ac:dyDescent="0.2">
      <c r="A381"/>
      <c r="B381"/>
      <c r="C381"/>
      <c r="D381"/>
      <c r="E381"/>
      <c r="F381"/>
      <c r="G381"/>
      <c r="U381"/>
      <c r="V381"/>
      <c r="W381"/>
      <c r="X381"/>
      <c r="Y381"/>
      <c r="Z381"/>
      <c r="AA381"/>
      <c r="AB381"/>
      <c r="AL381"/>
      <c r="AM381"/>
      <c r="AN381"/>
      <c r="AO381"/>
    </row>
    <row r="382" spans="1:41" s="2" customFormat="1" x14ac:dyDescent="0.2">
      <c r="A382"/>
      <c r="B382"/>
      <c r="C382"/>
      <c r="D382"/>
      <c r="E382"/>
      <c r="F382"/>
      <c r="G382"/>
      <c r="U382"/>
      <c r="V382"/>
      <c r="W382"/>
      <c r="X382"/>
      <c r="Y382"/>
      <c r="Z382"/>
      <c r="AA382"/>
      <c r="AB382"/>
      <c r="AL382"/>
      <c r="AM382"/>
      <c r="AN382"/>
      <c r="AO382"/>
    </row>
    <row r="383" spans="1:41" s="2" customFormat="1" x14ac:dyDescent="0.2">
      <c r="A383"/>
      <c r="B383"/>
      <c r="C383"/>
      <c r="D383"/>
      <c r="E383"/>
      <c r="F383"/>
      <c r="G383"/>
      <c r="U383"/>
      <c r="V383"/>
      <c r="W383"/>
      <c r="X383"/>
      <c r="Y383"/>
      <c r="Z383"/>
      <c r="AA383"/>
      <c r="AB383"/>
      <c r="AL383"/>
      <c r="AM383"/>
      <c r="AN383"/>
      <c r="AO383"/>
    </row>
    <row r="384" spans="1:41" s="2" customFormat="1" x14ac:dyDescent="0.2">
      <c r="A384"/>
      <c r="B384"/>
      <c r="C384"/>
      <c r="D384"/>
      <c r="E384"/>
      <c r="F384"/>
      <c r="G384"/>
      <c r="U384"/>
      <c r="V384"/>
      <c r="W384"/>
      <c r="X384"/>
      <c r="Y384"/>
      <c r="Z384"/>
      <c r="AA384"/>
      <c r="AB384"/>
      <c r="AL384"/>
      <c r="AM384"/>
      <c r="AN384"/>
      <c r="AO384"/>
    </row>
    <row r="385" spans="1:41" s="2" customFormat="1" x14ac:dyDescent="0.2">
      <c r="A385"/>
      <c r="B385"/>
      <c r="C385"/>
      <c r="D385"/>
      <c r="E385"/>
      <c r="F385"/>
      <c r="G385"/>
      <c r="U385"/>
      <c r="V385"/>
      <c r="W385"/>
      <c r="X385"/>
      <c r="Y385"/>
      <c r="Z385"/>
      <c r="AA385"/>
      <c r="AB385"/>
      <c r="AL385"/>
      <c r="AM385"/>
      <c r="AN385"/>
      <c r="AO385"/>
    </row>
    <row r="386" spans="1:41" s="2" customFormat="1" x14ac:dyDescent="0.2">
      <c r="A386"/>
      <c r="B386"/>
      <c r="C386"/>
      <c r="D386"/>
      <c r="E386"/>
      <c r="F386"/>
      <c r="G386"/>
      <c r="U386"/>
      <c r="V386"/>
      <c r="W386"/>
      <c r="X386"/>
      <c r="Y386"/>
      <c r="Z386"/>
      <c r="AA386"/>
      <c r="AB386"/>
      <c r="AL386"/>
      <c r="AM386"/>
      <c r="AN386"/>
      <c r="AO386"/>
    </row>
    <row r="387" spans="1:41" s="2" customFormat="1" x14ac:dyDescent="0.2">
      <c r="A387"/>
      <c r="B387"/>
      <c r="C387"/>
      <c r="D387"/>
      <c r="E387"/>
      <c r="F387"/>
      <c r="G387"/>
      <c r="U387"/>
      <c r="V387"/>
      <c r="W387"/>
      <c r="X387"/>
      <c r="Y387"/>
      <c r="Z387"/>
      <c r="AA387"/>
      <c r="AB387"/>
      <c r="AL387"/>
      <c r="AM387"/>
      <c r="AN387"/>
      <c r="AO387"/>
    </row>
    <row r="388" spans="1:41" s="2" customFormat="1" x14ac:dyDescent="0.2">
      <c r="A388"/>
      <c r="B388"/>
      <c r="C388"/>
      <c r="D388"/>
      <c r="E388"/>
      <c r="F388"/>
      <c r="G388"/>
      <c r="U388"/>
      <c r="V388"/>
      <c r="W388"/>
      <c r="X388"/>
      <c r="Y388"/>
      <c r="Z388"/>
      <c r="AA388"/>
      <c r="AB388"/>
      <c r="AL388"/>
      <c r="AM388"/>
      <c r="AN388"/>
      <c r="AO388"/>
    </row>
    <row r="389" spans="1:41" s="2" customFormat="1" x14ac:dyDescent="0.2">
      <c r="A389"/>
      <c r="B389"/>
      <c r="C389"/>
      <c r="D389"/>
      <c r="E389"/>
      <c r="F389"/>
      <c r="G389"/>
      <c r="U389"/>
      <c r="V389"/>
      <c r="W389"/>
      <c r="X389"/>
      <c r="Y389"/>
      <c r="Z389"/>
      <c r="AA389"/>
      <c r="AB389"/>
      <c r="AL389"/>
      <c r="AM389"/>
      <c r="AN389"/>
      <c r="AO389"/>
    </row>
    <row r="390" spans="1:41" s="2" customFormat="1" x14ac:dyDescent="0.2">
      <c r="A390"/>
      <c r="B390"/>
      <c r="C390"/>
      <c r="D390"/>
      <c r="E390"/>
      <c r="F390"/>
      <c r="G390"/>
      <c r="U390"/>
      <c r="V390"/>
      <c r="W390"/>
      <c r="X390"/>
      <c r="Y390"/>
      <c r="Z390"/>
      <c r="AA390"/>
      <c r="AB390"/>
      <c r="AL390"/>
      <c r="AM390"/>
      <c r="AN390"/>
      <c r="AO390"/>
    </row>
    <row r="391" spans="1:41" s="2" customFormat="1" x14ac:dyDescent="0.2">
      <c r="A391"/>
      <c r="B391"/>
      <c r="C391"/>
      <c r="D391"/>
      <c r="E391"/>
      <c r="F391"/>
      <c r="G391"/>
      <c r="U391"/>
      <c r="V391"/>
      <c r="W391"/>
      <c r="X391"/>
      <c r="Y391"/>
      <c r="Z391"/>
      <c r="AA391"/>
      <c r="AB391"/>
      <c r="AL391"/>
      <c r="AM391"/>
      <c r="AN391"/>
      <c r="AO391"/>
    </row>
    <row r="392" spans="1:41" s="2" customFormat="1" x14ac:dyDescent="0.2">
      <c r="A392"/>
      <c r="B392"/>
      <c r="C392"/>
      <c r="D392"/>
      <c r="E392"/>
      <c r="F392"/>
      <c r="G392"/>
      <c r="U392"/>
      <c r="V392"/>
      <c r="W392"/>
      <c r="X392"/>
      <c r="Y392"/>
      <c r="Z392"/>
      <c r="AA392"/>
      <c r="AB392"/>
      <c r="AL392"/>
      <c r="AM392"/>
      <c r="AN392"/>
      <c r="AO392"/>
    </row>
    <row r="393" spans="1:41" s="2" customFormat="1" x14ac:dyDescent="0.2">
      <c r="A393"/>
      <c r="B393"/>
      <c r="C393"/>
      <c r="D393"/>
      <c r="E393"/>
      <c r="F393"/>
      <c r="G393"/>
      <c r="U393"/>
      <c r="V393"/>
      <c r="W393"/>
      <c r="X393"/>
      <c r="Y393"/>
      <c r="Z393"/>
      <c r="AA393"/>
      <c r="AB393"/>
      <c r="AL393"/>
      <c r="AM393"/>
      <c r="AN393"/>
      <c r="AO393"/>
    </row>
    <row r="394" spans="1:41" s="2" customFormat="1" x14ac:dyDescent="0.2">
      <c r="A394"/>
      <c r="B394"/>
      <c r="C394"/>
      <c r="D394"/>
      <c r="E394"/>
      <c r="F394"/>
      <c r="G394"/>
      <c r="U394"/>
      <c r="V394"/>
      <c r="W394"/>
      <c r="X394"/>
      <c r="Y394"/>
      <c r="Z394"/>
      <c r="AA394"/>
      <c r="AB394"/>
      <c r="AL394"/>
      <c r="AM394"/>
      <c r="AN394"/>
      <c r="AO394"/>
    </row>
    <row r="395" spans="1:41" s="2" customFormat="1" x14ac:dyDescent="0.2">
      <c r="A395"/>
      <c r="B395"/>
      <c r="C395"/>
      <c r="D395"/>
      <c r="E395"/>
      <c r="F395"/>
      <c r="G395"/>
      <c r="U395"/>
      <c r="V395"/>
      <c r="W395"/>
      <c r="X395"/>
      <c r="Y395"/>
      <c r="Z395"/>
      <c r="AA395"/>
      <c r="AB395"/>
      <c r="AL395"/>
      <c r="AM395"/>
      <c r="AN395"/>
      <c r="AO395"/>
    </row>
    <row r="396" spans="1:41" s="2" customFormat="1" x14ac:dyDescent="0.2">
      <c r="A396"/>
      <c r="B396"/>
      <c r="C396"/>
      <c r="D396"/>
      <c r="E396"/>
      <c r="F396"/>
      <c r="G396"/>
      <c r="U396"/>
      <c r="V396"/>
      <c r="W396"/>
      <c r="X396"/>
      <c r="Y396"/>
      <c r="Z396"/>
      <c r="AA396"/>
      <c r="AB396"/>
      <c r="AL396"/>
      <c r="AM396"/>
      <c r="AN396"/>
      <c r="AO396"/>
    </row>
    <row r="397" spans="1:41" s="2" customFormat="1" x14ac:dyDescent="0.2">
      <c r="A397"/>
      <c r="B397"/>
      <c r="C397"/>
      <c r="D397"/>
      <c r="E397"/>
      <c r="F397"/>
      <c r="G397"/>
      <c r="U397"/>
      <c r="V397"/>
      <c r="W397"/>
      <c r="X397"/>
      <c r="Y397"/>
      <c r="Z397"/>
      <c r="AA397"/>
      <c r="AB397"/>
      <c r="AL397"/>
      <c r="AM397"/>
      <c r="AN397"/>
      <c r="AO397"/>
    </row>
    <row r="398" spans="1:41" s="2" customFormat="1" x14ac:dyDescent="0.2">
      <c r="A398"/>
      <c r="B398"/>
      <c r="C398"/>
      <c r="D398"/>
      <c r="E398"/>
      <c r="F398"/>
      <c r="G398"/>
      <c r="U398"/>
      <c r="V398"/>
      <c r="W398"/>
      <c r="X398"/>
      <c r="Y398"/>
      <c r="Z398"/>
      <c r="AA398"/>
      <c r="AB398"/>
      <c r="AL398"/>
      <c r="AM398"/>
      <c r="AN398"/>
      <c r="AO398"/>
    </row>
    <row r="399" spans="1:41" s="2" customFormat="1" x14ac:dyDescent="0.2">
      <c r="A399"/>
      <c r="B399"/>
      <c r="C399"/>
      <c r="D399"/>
      <c r="E399"/>
      <c r="F399"/>
      <c r="G399"/>
      <c r="U399"/>
      <c r="V399"/>
      <c r="W399"/>
      <c r="X399"/>
      <c r="Y399"/>
      <c r="Z399"/>
      <c r="AA399"/>
      <c r="AB399"/>
      <c r="AL399"/>
      <c r="AM399"/>
      <c r="AN399"/>
      <c r="AO399"/>
    </row>
    <row r="400" spans="1:41" s="2" customFormat="1" x14ac:dyDescent="0.2">
      <c r="A400"/>
      <c r="B400"/>
      <c r="C400"/>
      <c r="D400"/>
      <c r="E400"/>
      <c r="F400"/>
      <c r="G400"/>
      <c r="U400"/>
      <c r="V400"/>
      <c r="W400"/>
      <c r="X400"/>
      <c r="Y400"/>
      <c r="Z400"/>
      <c r="AA400"/>
      <c r="AB400"/>
      <c r="AL400"/>
      <c r="AM400"/>
      <c r="AN400"/>
      <c r="AO400"/>
    </row>
    <row r="401" spans="1:41" s="2" customFormat="1" x14ac:dyDescent="0.2">
      <c r="A401"/>
      <c r="B401"/>
      <c r="C401"/>
      <c r="D401"/>
      <c r="E401"/>
      <c r="F401"/>
      <c r="G401"/>
      <c r="U401"/>
      <c r="V401"/>
      <c r="W401"/>
      <c r="X401"/>
      <c r="Y401"/>
      <c r="Z401"/>
      <c r="AA401"/>
      <c r="AB401"/>
      <c r="AL401"/>
      <c r="AM401"/>
      <c r="AN401"/>
      <c r="AO401"/>
    </row>
    <row r="402" spans="1:41" s="2" customFormat="1" x14ac:dyDescent="0.2">
      <c r="A402"/>
      <c r="B402"/>
      <c r="C402"/>
      <c r="D402"/>
      <c r="E402"/>
      <c r="F402"/>
      <c r="G402"/>
      <c r="U402"/>
      <c r="V402"/>
      <c r="W402"/>
      <c r="X402"/>
      <c r="Y402"/>
      <c r="Z402"/>
      <c r="AA402"/>
      <c r="AB402"/>
      <c r="AL402"/>
      <c r="AM402"/>
      <c r="AN402"/>
      <c r="AO402"/>
    </row>
    <row r="403" spans="1:41" s="2" customFormat="1" x14ac:dyDescent="0.2">
      <c r="A403"/>
      <c r="B403"/>
      <c r="C403"/>
      <c r="D403"/>
      <c r="E403"/>
      <c r="F403"/>
      <c r="G403"/>
      <c r="U403"/>
      <c r="V403"/>
      <c r="W403"/>
      <c r="X403"/>
      <c r="Y403"/>
      <c r="Z403"/>
      <c r="AA403"/>
      <c r="AB403"/>
      <c r="AL403"/>
      <c r="AM403"/>
      <c r="AN403"/>
      <c r="AO403"/>
    </row>
    <row r="404" spans="1:41" s="2" customFormat="1" x14ac:dyDescent="0.2">
      <c r="A404"/>
      <c r="B404"/>
      <c r="C404"/>
      <c r="D404"/>
      <c r="E404"/>
      <c r="F404"/>
      <c r="G404"/>
      <c r="U404"/>
      <c r="V404"/>
      <c r="W404"/>
      <c r="X404"/>
      <c r="Y404"/>
      <c r="Z404"/>
      <c r="AA404"/>
      <c r="AB404"/>
      <c r="AL404"/>
      <c r="AM404"/>
      <c r="AN404"/>
      <c r="AO404"/>
    </row>
    <row r="405" spans="1:41" s="2" customFormat="1" x14ac:dyDescent="0.2">
      <c r="A405"/>
      <c r="B405"/>
      <c r="C405"/>
      <c r="D405"/>
      <c r="E405"/>
      <c r="F405"/>
      <c r="G405"/>
      <c r="U405"/>
      <c r="V405"/>
      <c r="W405"/>
      <c r="X405"/>
      <c r="Y405"/>
      <c r="Z405"/>
      <c r="AA405"/>
      <c r="AB405"/>
      <c r="AL405"/>
      <c r="AM405"/>
      <c r="AN405"/>
      <c r="AO405"/>
    </row>
    <row r="406" spans="1:41" s="2" customFormat="1" x14ac:dyDescent="0.2">
      <c r="A406"/>
      <c r="B406"/>
      <c r="C406"/>
      <c r="D406"/>
      <c r="E406"/>
      <c r="F406"/>
      <c r="G406"/>
      <c r="U406"/>
      <c r="V406"/>
      <c r="W406"/>
      <c r="X406"/>
      <c r="Y406"/>
      <c r="Z406"/>
      <c r="AA406"/>
      <c r="AB406"/>
      <c r="AL406"/>
      <c r="AM406"/>
      <c r="AN406"/>
      <c r="AO406"/>
    </row>
    <row r="407" spans="1:41" s="2" customFormat="1" x14ac:dyDescent="0.2">
      <c r="A407"/>
      <c r="B407"/>
      <c r="C407"/>
      <c r="D407"/>
      <c r="E407"/>
      <c r="F407"/>
      <c r="G407"/>
      <c r="U407"/>
      <c r="V407"/>
      <c r="W407"/>
      <c r="X407"/>
      <c r="Y407"/>
      <c r="Z407"/>
      <c r="AA407"/>
      <c r="AB407"/>
      <c r="AL407"/>
      <c r="AM407"/>
      <c r="AN407"/>
      <c r="AO407"/>
    </row>
    <row r="408" spans="1:41" s="2" customFormat="1" x14ac:dyDescent="0.2">
      <c r="A408"/>
      <c r="B408"/>
      <c r="C408"/>
      <c r="D408"/>
      <c r="E408"/>
      <c r="F408"/>
      <c r="G408"/>
      <c r="U408"/>
      <c r="V408"/>
      <c r="W408"/>
      <c r="X408"/>
      <c r="Y408"/>
      <c r="Z408"/>
      <c r="AA408"/>
      <c r="AB408"/>
      <c r="AL408"/>
      <c r="AM408"/>
      <c r="AN408"/>
      <c r="AO408"/>
    </row>
    <row r="409" spans="1:41" s="2" customFormat="1" x14ac:dyDescent="0.2">
      <c r="A409"/>
      <c r="B409"/>
      <c r="C409"/>
      <c r="D409"/>
      <c r="E409"/>
      <c r="F409"/>
      <c r="G409"/>
      <c r="U409"/>
      <c r="V409"/>
      <c r="W409"/>
      <c r="X409"/>
      <c r="Y409"/>
      <c r="Z409"/>
      <c r="AA409"/>
      <c r="AB409"/>
      <c r="AL409"/>
      <c r="AM409"/>
      <c r="AN409"/>
      <c r="AO409"/>
    </row>
    <row r="410" spans="1:41" s="2" customFormat="1" x14ac:dyDescent="0.2">
      <c r="A410"/>
      <c r="B410"/>
      <c r="C410"/>
      <c r="D410"/>
      <c r="E410"/>
      <c r="F410"/>
      <c r="G410"/>
      <c r="U410"/>
      <c r="V410"/>
      <c r="W410"/>
      <c r="X410"/>
      <c r="Y410"/>
      <c r="Z410"/>
      <c r="AA410"/>
      <c r="AB410"/>
      <c r="AL410"/>
      <c r="AM410"/>
      <c r="AN410"/>
      <c r="AO410"/>
    </row>
    <row r="411" spans="1:41" s="2" customFormat="1" x14ac:dyDescent="0.2">
      <c r="A411"/>
      <c r="B411"/>
      <c r="C411"/>
      <c r="D411"/>
      <c r="E411"/>
      <c r="F411"/>
      <c r="G411"/>
      <c r="U411"/>
      <c r="V411"/>
      <c r="W411"/>
      <c r="X411"/>
      <c r="Y411"/>
      <c r="Z411"/>
      <c r="AA411"/>
      <c r="AB411"/>
      <c r="AL411"/>
      <c r="AM411"/>
      <c r="AN411"/>
      <c r="AO411"/>
    </row>
    <row r="412" spans="1:41" s="2" customFormat="1" x14ac:dyDescent="0.2">
      <c r="A412"/>
      <c r="B412"/>
      <c r="C412"/>
      <c r="D412"/>
      <c r="E412"/>
      <c r="F412"/>
      <c r="G412"/>
      <c r="U412"/>
      <c r="V412"/>
      <c r="W412"/>
      <c r="X412"/>
      <c r="Y412"/>
      <c r="Z412"/>
      <c r="AA412"/>
      <c r="AB412"/>
      <c r="AL412"/>
      <c r="AM412"/>
      <c r="AN412"/>
      <c r="AO412"/>
    </row>
    <row r="413" spans="1:41" s="2" customFormat="1" x14ac:dyDescent="0.2">
      <c r="A413"/>
      <c r="B413"/>
      <c r="C413"/>
      <c r="D413"/>
      <c r="E413"/>
      <c r="F413"/>
      <c r="G413"/>
      <c r="U413"/>
      <c r="V413"/>
      <c r="W413"/>
      <c r="X413"/>
      <c r="Y413"/>
      <c r="Z413"/>
      <c r="AA413"/>
      <c r="AB413"/>
      <c r="AL413"/>
      <c r="AM413"/>
      <c r="AN413"/>
      <c r="AO413"/>
    </row>
    <row r="414" spans="1:41" s="2" customFormat="1" x14ac:dyDescent="0.2">
      <c r="A414"/>
      <c r="B414"/>
      <c r="C414"/>
      <c r="D414"/>
      <c r="E414"/>
      <c r="F414"/>
      <c r="G414"/>
      <c r="U414"/>
      <c r="V414"/>
      <c r="W414"/>
      <c r="X414"/>
      <c r="Y414"/>
      <c r="Z414"/>
      <c r="AA414"/>
      <c r="AB414"/>
      <c r="AL414"/>
      <c r="AM414"/>
      <c r="AN414"/>
      <c r="AO414"/>
    </row>
    <row r="415" spans="1:41" s="2" customFormat="1" x14ac:dyDescent="0.2">
      <c r="A415"/>
      <c r="B415"/>
      <c r="C415"/>
      <c r="D415"/>
      <c r="E415"/>
      <c r="F415"/>
      <c r="G415"/>
      <c r="U415"/>
      <c r="V415"/>
      <c r="W415"/>
      <c r="X415"/>
      <c r="Y415"/>
      <c r="Z415"/>
      <c r="AA415"/>
      <c r="AB415"/>
      <c r="AL415"/>
      <c r="AM415"/>
      <c r="AN415"/>
      <c r="AO415"/>
    </row>
    <row r="416" spans="1:41" s="2" customFormat="1" x14ac:dyDescent="0.2">
      <c r="A416"/>
      <c r="B416"/>
      <c r="C416"/>
      <c r="D416"/>
      <c r="E416"/>
      <c r="F416"/>
      <c r="G416"/>
      <c r="U416"/>
      <c r="V416"/>
      <c r="W416"/>
      <c r="X416"/>
      <c r="Y416"/>
      <c r="Z416"/>
      <c r="AA416"/>
      <c r="AB416"/>
      <c r="AL416"/>
      <c r="AM416"/>
      <c r="AN416"/>
      <c r="AO416"/>
    </row>
    <row r="417" spans="1:41" s="2" customFormat="1" x14ac:dyDescent="0.2">
      <c r="A417"/>
      <c r="B417"/>
      <c r="C417"/>
      <c r="D417"/>
      <c r="E417"/>
      <c r="F417"/>
      <c r="G417"/>
      <c r="U417"/>
      <c r="V417"/>
      <c r="W417"/>
      <c r="X417"/>
      <c r="Y417"/>
      <c r="Z417"/>
      <c r="AA417"/>
      <c r="AB417"/>
      <c r="AL417"/>
      <c r="AM417"/>
      <c r="AN417"/>
      <c r="AO417"/>
    </row>
    <row r="418" spans="1:41" s="2" customFormat="1" x14ac:dyDescent="0.2">
      <c r="A418"/>
      <c r="B418"/>
      <c r="C418"/>
      <c r="D418"/>
      <c r="E418"/>
      <c r="F418"/>
      <c r="G418"/>
      <c r="U418"/>
      <c r="V418"/>
      <c r="W418"/>
      <c r="X418"/>
      <c r="Y418"/>
      <c r="Z418"/>
      <c r="AA418"/>
      <c r="AB418"/>
      <c r="AL418"/>
      <c r="AM418"/>
      <c r="AN418"/>
      <c r="AO418"/>
    </row>
    <row r="419" spans="1:41" s="2" customFormat="1" x14ac:dyDescent="0.2">
      <c r="A419"/>
      <c r="B419"/>
      <c r="C419"/>
      <c r="D419"/>
      <c r="E419"/>
      <c r="F419"/>
      <c r="G419"/>
      <c r="U419"/>
      <c r="V419"/>
      <c r="W419"/>
      <c r="X419"/>
      <c r="Y419"/>
      <c r="Z419"/>
      <c r="AA419"/>
      <c r="AB419"/>
      <c r="AL419"/>
      <c r="AM419"/>
      <c r="AN419"/>
      <c r="AO419"/>
    </row>
    <row r="420" spans="1:41" s="2" customFormat="1" x14ac:dyDescent="0.2">
      <c r="A420"/>
      <c r="B420"/>
      <c r="C420"/>
      <c r="D420"/>
      <c r="E420"/>
      <c r="F420"/>
      <c r="G420"/>
      <c r="U420"/>
      <c r="V420"/>
      <c r="W420"/>
      <c r="X420"/>
      <c r="Y420"/>
      <c r="Z420"/>
      <c r="AA420"/>
      <c r="AB420"/>
      <c r="AL420"/>
      <c r="AM420"/>
      <c r="AN420"/>
      <c r="AO420"/>
    </row>
    <row r="421" spans="1:41" s="2" customFormat="1" x14ac:dyDescent="0.2">
      <c r="A421"/>
      <c r="B421"/>
      <c r="C421"/>
      <c r="D421"/>
      <c r="E421"/>
      <c r="F421"/>
      <c r="G421"/>
      <c r="U421"/>
      <c r="V421"/>
      <c r="W421"/>
      <c r="X421"/>
      <c r="Y421"/>
      <c r="Z421"/>
      <c r="AA421"/>
      <c r="AB421"/>
      <c r="AL421"/>
      <c r="AM421"/>
      <c r="AN421"/>
      <c r="AO421"/>
    </row>
    <row r="422" spans="1:41" s="2" customFormat="1" x14ac:dyDescent="0.2">
      <c r="A422"/>
      <c r="B422"/>
      <c r="C422"/>
      <c r="D422"/>
      <c r="E422"/>
      <c r="F422"/>
      <c r="G422"/>
      <c r="U422"/>
      <c r="V422"/>
      <c r="W422"/>
      <c r="X422"/>
      <c r="Y422"/>
      <c r="Z422"/>
      <c r="AA422"/>
      <c r="AB422"/>
      <c r="AL422"/>
      <c r="AM422"/>
      <c r="AN422"/>
      <c r="AO422"/>
    </row>
    <row r="423" spans="1:41" s="2" customFormat="1" x14ac:dyDescent="0.2">
      <c r="A423"/>
      <c r="B423"/>
      <c r="C423"/>
      <c r="D423"/>
      <c r="E423"/>
      <c r="F423"/>
      <c r="G423"/>
      <c r="U423"/>
      <c r="V423"/>
      <c r="W423"/>
      <c r="X423"/>
      <c r="Y423"/>
      <c r="Z423"/>
      <c r="AA423"/>
      <c r="AB423"/>
      <c r="AL423"/>
      <c r="AM423"/>
      <c r="AN423"/>
      <c r="AO423"/>
    </row>
    <row r="424" spans="1:41" s="2" customFormat="1" x14ac:dyDescent="0.2">
      <c r="A424"/>
      <c r="B424"/>
      <c r="C424"/>
      <c r="D424"/>
      <c r="E424"/>
      <c r="F424"/>
      <c r="G424"/>
      <c r="U424"/>
      <c r="V424"/>
      <c r="W424"/>
      <c r="X424"/>
      <c r="Y424"/>
      <c r="Z424"/>
      <c r="AA424"/>
      <c r="AB424"/>
      <c r="AL424"/>
      <c r="AM424"/>
      <c r="AN424"/>
      <c r="AO424"/>
    </row>
    <row r="425" spans="1:41" s="2" customFormat="1" x14ac:dyDescent="0.2">
      <c r="A425"/>
      <c r="B425"/>
      <c r="C425"/>
      <c r="D425"/>
      <c r="E425"/>
      <c r="F425"/>
      <c r="G425"/>
      <c r="U425"/>
      <c r="V425"/>
      <c r="W425"/>
      <c r="X425"/>
      <c r="Y425"/>
      <c r="Z425"/>
      <c r="AA425"/>
      <c r="AB425"/>
      <c r="AL425"/>
      <c r="AM425"/>
      <c r="AN425"/>
      <c r="AO425"/>
    </row>
    <row r="426" spans="1:41" s="2" customFormat="1" x14ac:dyDescent="0.2">
      <c r="A426"/>
      <c r="B426"/>
      <c r="C426"/>
      <c r="D426"/>
      <c r="E426"/>
      <c r="F426"/>
      <c r="G426"/>
      <c r="U426"/>
      <c r="V426"/>
      <c r="W426"/>
      <c r="X426"/>
      <c r="Y426"/>
      <c r="Z426"/>
      <c r="AA426"/>
      <c r="AB426"/>
      <c r="AL426"/>
      <c r="AM426"/>
      <c r="AN426"/>
      <c r="AO426"/>
    </row>
    <row r="427" spans="1:41" s="2" customFormat="1" x14ac:dyDescent="0.2">
      <c r="A427"/>
      <c r="B427"/>
      <c r="C427"/>
      <c r="D427"/>
      <c r="E427"/>
      <c r="F427"/>
      <c r="G427"/>
      <c r="U427"/>
      <c r="V427"/>
      <c r="W427"/>
      <c r="X427"/>
      <c r="Y427"/>
      <c r="Z427"/>
      <c r="AA427"/>
      <c r="AB427"/>
      <c r="AL427"/>
      <c r="AM427"/>
      <c r="AN427"/>
      <c r="AO427"/>
    </row>
    <row r="428" spans="1:41" s="2" customFormat="1" x14ac:dyDescent="0.2">
      <c r="A428"/>
      <c r="B428"/>
      <c r="C428"/>
      <c r="D428"/>
      <c r="E428"/>
      <c r="F428"/>
      <c r="G428"/>
      <c r="U428"/>
      <c r="V428"/>
      <c r="W428"/>
      <c r="X428"/>
      <c r="Y428"/>
      <c r="Z428"/>
      <c r="AA428"/>
      <c r="AB428"/>
      <c r="AL428"/>
      <c r="AM428"/>
      <c r="AN428"/>
      <c r="AO428"/>
    </row>
    <row r="429" spans="1:41" s="2" customFormat="1" x14ac:dyDescent="0.2">
      <c r="A429"/>
      <c r="B429"/>
      <c r="C429"/>
      <c r="D429"/>
      <c r="E429"/>
      <c r="F429"/>
      <c r="G429"/>
      <c r="U429"/>
      <c r="V429"/>
      <c r="W429"/>
      <c r="X429"/>
      <c r="Y429"/>
      <c r="Z429"/>
      <c r="AA429"/>
      <c r="AB429"/>
      <c r="AL429"/>
      <c r="AM429"/>
      <c r="AN429"/>
      <c r="AO429"/>
    </row>
    <row r="430" spans="1:41" s="2" customFormat="1" x14ac:dyDescent="0.2">
      <c r="A430"/>
      <c r="B430"/>
      <c r="C430"/>
      <c r="D430"/>
      <c r="E430"/>
      <c r="F430"/>
      <c r="G430"/>
      <c r="U430"/>
      <c r="V430"/>
      <c r="W430"/>
      <c r="X430"/>
      <c r="Y430"/>
      <c r="Z430"/>
      <c r="AA430"/>
      <c r="AB430"/>
      <c r="AL430"/>
      <c r="AM430"/>
      <c r="AN430"/>
      <c r="AO430"/>
    </row>
    <row r="431" spans="1:41" s="2" customFormat="1" x14ac:dyDescent="0.2">
      <c r="A431"/>
      <c r="B431"/>
      <c r="C431"/>
      <c r="D431"/>
      <c r="E431"/>
      <c r="F431"/>
      <c r="G431"/>
      <c r="U431"/>
      <c r="V431"/>
      <c r="W431"/>
      <c r="X431"/>
      <c r="Y431"/>
      <c r="Z431"/>
      <c r="AA431"/>
      <c r="AB431"/>
      <c r="AL431"/>
      <c r="AM431"/>
      <c r="AN431"/>
      <c r="AO431"/>
    </row>
    <row r="432" spans="1:41" s="2" customFormat="1" x14ac:dyDescent="0.2">
      <c r="A432"/>
      <c r="B432"/>
      <c r="C432"/>
      <c r="D432"/>
      <c r="E432"/>
      <c r="F432"/>
      <c r="G432"/>
      <c r="U432"/>
      <c r="V432"/>
      <c r="W432"/>
      <c r="X432"/>
      <c r="Y432"/>
      <c r="Z432"/>
      <c r="AA432"/>
      <c r="AB432"/>
      <c r="AL432"/>
      <c r="AM432"/>
      <c r="AN432"/>
      <c r="AO432"/>
    </row>
    <row r="433" spans="1:41" s="2" customFormat="1" x14ac:dyDescent="0.2">
      <c r="A433"/>
      <c r="B433"/>
      <c r="C433"/>
      <c r="D433"/>
      <c r="E433"/>
      <c r="F433"/>
      <c r="G433"/>
      <c r="U433"/>
      <c r="V433"/>
      <c r="W433"/>
      <c r="X433"/>
      <c r="Y433"/>
      <c r="Z433"/>
      <c r="AA433"/>
      <c r="AB433"/>
      <c r="AL433"/>
      <c r="AM433"/>
      <c r="AN433"/>
      <c r="AO433"/>
    </row>
    <row r="434" spans="1:41" s="2" customFormat="1" x14ac:dyDescent="0.2">
      <c r="A434"/>
      <c r="B434"/>
      <c r="C434"/>
      <c r="D434"/>
      <c r="E434"/>
      <c r="F434"/>
      <c r="G434"/>
      <c r="U434"/>
      <c r="V434"/>
      <c r="W434"/>
      <c r="X434"/>
      <c r="Y434"/>
      <c r="Z434"/>
      <c r="AA434"/>
      <c r="AB434"/>
      <c r="AL434"/>
      <c r="AM434"/>
      <c r="AN434"/>
      <c r="AO434"/>
    </row>
    <row r="435" spans="1:41" s="2" customFormat="1" x14ac:dyDescent="0.2">
      <c r="A435"/>
      <c r="B435"/>
      <c r="C435"/>
      <c r="D435"/>
      <c r="E435"/>
      <c r="F435"/>
      <c r="G435"/>
      <c r="U435"/>
      <c r="V435"/>
      <c r="W435"/>
      <c r="X435"/>
      <c r="Y435"/>
      <c r="Z435"/>
      <c r="AA435"/>
      <c r="AB435"/>
      <c r="AL435"/>
      <c r="AM435"/>
      <c r="AN435"/>
      <c r="AO435"/>
    </row>
    <row r="436" spans="1:41" s="2" customFormat="1" x14ac:dyDescent="0.2">
      <c r="A436"/>
      <c r="B436"/>
      <c r="C436"/>
      <c r="D436"/>
      <c r="E436"/>
      <c r="F436"/>
      <c r="G436"/>
      <c r="U436"/>
      <c r="V436"/>
      <c r="W436"/>
      <c r="X436"/>
      <c r="Y436"/>
      <c r="Z436"/>
      <c r="AA436"/>
      <c r="AB436"/>
      <c r="AL436"/>
      <c r="AM436"/>
      <c r="AN436"/>
      <c r="AO436"/>
    </row>
    <row r="437" spans="1:41" s="2" customFormat="1" x14ac:dyDescent="0.2">
      <c r="A437"/>
      <c r="B437"/>
      <c r="C437"/>
      <c r="D437"/>
      <c r="E437"/>
      <c r="F437"/>
      <c r="G437"/>
      <c r="U437"/>
      <c r="V437"/>
      <c r="W437"/>
      <c r="X437"/>
      <c r="Y437"/>
      <c r="Z437"/>
      <c r="AA437"/>
      <c r="AB437"/>
      <c r="AL437"/>
      <c r="AM437"/>
      <c r="AN437"/>
      <c r="AO437"/>
    </row>
    <row r="438" spans="1:41" s="2" customFormat="1" x14ac:dyDescent="0.2">
      <c r="A438"/>
      <c r="B438"/>
      <c r="C438"/>
      <c r="D438"/>
      <c r="E438"/>
      <c r="F438"/>
      <c r="G438"/>
      <c r="U438"/>
      <c r="V438"/>
      <c r="W438"/>
      <c r="X438"/>
      <c r="Y438"/>
      <c r="Z438"/>
      <c r="AA438"/>
      <c r="AB438"/>
      <c r="AL438"/>
      <c r="AM438"/>
      <c r="AN438"/>
      <c r="AO438"/>
    </row>
    <row r="439" spans="1:41" s="2" customFormat="1" x14ac:dyDescent="0.2">
      <c r="A439"/>
      <c r="B439"/>
      <c r="C439"/>
      <c r="D439"/>
      <c r="E439"/>
      <c r="F439"/>
      <c r="G439"/>
      <c r="U439"/>
      <c r="V439"/>
      <c r="W439"/>
      <c r="X439"/>
      <c r="Y439"/>
      <c r="Z439"/>
      <c r="AA439"/>
      <c r="AB439"/>
      <c r="AL439"/>
      <c r="AM439"/>
      <c r="AN439"/>
      <c r="AO439"/>
    </row>
    <row r="440" spans="1:41" s="2" customFormat="1" x14ac:dyDescent="0.2">
      <c r="A440"/>
      <c r="B440"/>
      <c r="C440"/>
      <c r="D440"/>
      <c r="E440"/>
      <c r="F440"/>
      <c r="G440"/>
      <c r="U440"/>
      <c r="V440"/>
      <c r="W440"/>
      <c r="X440"/>
      <c r="Y440"/>
      <c r="Z440"/>
      <c r="AA440"/>
      <c r="AB440"/>
      <c r="AL440"/>
      <c r="AM440"/>
      <c r="AN440"/>
      <c r="AO440"/>
    </row>
    <row r="441" spans="1:41" s="2" customFormat="1" x14ac:dyDescent="0.2">
      <c r="A441"/>
      <c r="B441"/>
      <c r="C441"/>
      <c r="D441"/>
      <c r="E441"/>
      <c r="F441"/>
      <c r="G441"/>
      <c r="U441"/>
      <c r="V441"/>
      <c r="W441"/>
      <c r="X441"/>
      <c r="Y441"/>
      <c r="Z441"/>
      <c r="AA441"/>
      <c r="AB441"/>
      <c r="AL441"/>
      <c r="AM441"/>
      <c r="AN441"/>
      <c r="AO441"/>
    </row>
    <row r="442" spans="1:41" s="2" customFormat="1" x14ac:dyDescent="0.2">
      <c r="A442"/>
      <c r="B442"/>
      <c r="C442"/>
      <c r="D442"/>
      <c r="E442"/>
      <c r="F442"/>
      <c r="G442"/>
      <c r="U442"/>
      <c r="V442"/>
      <c r="W442"/>
      <c r="X442"/>
      <c r="Y442"/>
      <c r="Z442"/>
      <c r="AA442"/>
      <c r="AB442"/>
      <c r="AL442"/>
      <c r="AM442"/>
      <c r="AN442"/>
      <c r="AO442"/>
    </row>
    <row r="443" spans="1:41" s="2" customFormat="1" x14ac:dyDescent="0.2">
      <c r="A443"/>
      <c r="B443"/>
      <c r="C443"/>
      <c r="D443"/>
      <c r="E443"/>
      <c r="F443"/>
      <c r="G443"/>
      <c r="U443"/>
      <c r="V443"/>
      <c r="W443"/>
      <c r="X443"/>
      <c r="Y443"/>
      <c r="Z443"/>
      <c r="AA443"/>
      <c r="AB443"/>
      <c r="AL443"/>
      <c r="AM443"/>
      <c r="AN443"/>
      <c r="AO443"/>
    </row>
    <row r="444" spans="1:41" s="2" customFormat="1" x14ac:dyDescent="0.2">
      <c r="A444"/>
      <c r="B444"/>
      <c r="C444"/>
      <c r="D444"/>
      <c r="E444"/>
      <c r="F444"/>
      <c r="G444"/>
      <c r="U444"/>
      <c r="V444"/>
      <c r="W444"/>
      <c r="X444"/>
      <c r="Y444"/>
      <c r="Z444"/>
      <c r="AA444"/>
      <c r="AB444"/>
      <c r="AL444"/>
      <c r="AM444"/>
      <c r="AN444"/>
      <c r="AO444"/>
    </row>
    <row r="445" spans="1:41" s="2" customFormat="1" x14ac:dyDescent="0.2">
      <c r="A445"/>
      <c r="B445"/>
      <c r="C445"/>
      <c r="D445"/>
      <c r="E445"/>
      <c r="F445"/>
      <c r="G445"/>
      <c r="U445"/>
      <c r="V445"/>
      <c r="W445"/>
      <c r="X445"/>
      <c r="Y445"/>
      <c r="Z445"/>
      <c r="AA445"/>
      <c r="AB445"/>
      <c r="AL445"/>
      <c r="AM445"/>
      <c r="AN445"/>
      <c r="AO445"/>
    </row>
    <row r="446" spans="1:41" s="2" customFormat="1" x14ac:dyDescent="0.2">
      <c r="A446"/>
      <c r="B446"/>
      <c r="C446"/>
      <c r="D446"/>
      <c r="E446"/>
      <c r="F446"/>
      <c r="G446"/>
      <c r="U446"/>
      <c r="V446"/>
      <c r="W446"/>
      <c r="X446"/>
      <c r="Y446"/>
      <c r="Z446"/>
      <c r="AA446"/>
      <c r="AB446"/>
      <c r="AL446"/>
      <c r="AM446"/>
      <c r="AN446"/>
      <c r="AO446"/>
    </row>
    <row r="447" spans="1:41" s="2" customFormat="1" x14ac:dyDescent="0.2">
      <c r="A447"/>
      <c r="B447"/>
      <c r="C447"/>
      <c r="D447"/>
      <c r="E447"/>
      <c r="F447"/>
      <c r="G447"/>
      <c r="U447"/>
      <c r="V447"/>
      <c r="W447"/>
      <c r="X447"/>
      <c r="Y447"/>
      <c r="Z447"/>
      <c r="AA447"/>
      <c r="AB447"/>
      <c r="AL447"/>
      <c r="AM447"/>
      <c r="AN447"/>
      <c r="AO447"/>
    </row>
    <row r="448" spans="1:41" s="2" customFormat="1" x14ac:dyDescent="0.2">
      <c r="A448"/>
      <c r="B448"/>
      <c r="C448"/>
      <c r="D448"/>
      <c r="E448"/>
      <c r="F448"/>
      <c r="G448"/>
      <c r="U448"/>
      <c r="V448"/>
      <c r="W448"/>
      <c r="X448"/>
      <c r="Y448"/>
      <c r="Z448"/>
      <c r="AA448"/>
      <c r="AB448"/>
      <c r="AL448"/>
      <c r="AM448"/>
      <c r="AN448"/>
      <c r="AO448"/>
    </row>
    <row r="449" spans="1:41" s="2" customFormat="1" x14ac:dyDescent="0.2">
      <c r="A449"/>
      <c r="B449"/>
      <c r="C449"/>
      <c r="D449"/>
      <c r="E449"/>
      <c r="F449"/>
      <c r="G449"/>
      <c r="U449"/>
      <c r="V449"/>
      <c r="W449"/>
      <c r="X449"/>
      <c r="Y449"/>
      <c r="Z449"/>
      <c r="AA449"/>
      <c r="AB449"/>
      <c r="AL449"/>
      <c r="AM449"/>
      <c r="AN449"/>
      <c r="AO449"/>
    </row>
    <row r="450" spans="1:41" s="2" customFormat="1" x14ac:dyDescent="0.2">
      <c r="A450"/>
      <c r="B450"/>
      <c r="C450"/>
      <c r="D450"/>
      <c r="E450"/>
      <c r="F450"/>
      <c r="G450"/>
      <c r="U450"/>
      <c r="V450"/>
      <c r="W450"/>
      <c r="X450"/>
      <c r="Y450"/>
      <c r="Z450"/>
      <c r="AA450"/>
      <c r="AB450"/>
      <c r="AL450"/>
      <c r="AM450"/>
      <c r="AN450"/>
      <c r="AO450"/>
    </row>
    <row r="451" spans="1:41" s="2" customFormat="1" x14ac:dyDescent="0.2">
      <c r="A451"/>
      <c r="B451"/>
      <c r="C451"/>
      <c r="D451"/>
      <c r="E451"/>
      <c r="F451"/>
      <c r="G451"/>
      <c r="U451"/>
      <c r="V451"/>
      <c r="W451"/>
      <c r="X451"/>
      <c r="Y451"/>
      <c r="Z451"/>
      <c r="AA451"/>
      <c r="AB451"/>
      <c r="AL451"/>
      <c r="AM451"/>
      <c r="AN451"/>
      <c r="AO451"/>
    </row>
    <row r="452" spans="1:41" s="2" customFormat="1" x14ac:dyDescent="0.2">
      <c r="A452"/>
      <c r="B452"/>
      <c r="C452"/>
      <c r="D452"/>
      <c r="E452"/>
      <c r="F452"/>
      <c r="G452"/>
      <c r="U452"/>
      <c r="V452"/>
      <c r="W452"/>
      <c r="X452"/>
      <c r="Y452"/>
      <c r="Z452"/>
      <c r="AA452"/>
      <c r="AB452"/>
      <c r="AL452"/>
      <c r="AM452"/>
      <c r="AN452"/>
      <c r="AO452"/>
    </row>
    <row r="453" spans="1:41" s="2" customFormat="1" x14ac:dyDescent="0.2">
      <c r="A453"/>
      <c r="B453"/>
      <c r="C453"/>
      <c r="D453"/>
      <c r="E453"/>
      <c r="F453"/>
      <c r="G453"/>
      <c r="U453"/>
      <c r="V453"/>
      <c r="W453"/>
      <c r="X453"/>
      <c r="Y453"/>
      <c r="Z453"/>
      <c r="AA453"/>
      <c r="AB453"/>
      <c r="AL453"/>
      <c r="AM453"/>
      <c r="AN453"/>
      <c r="AO453"/>
    </row>
    <row r="454" spans="1:41" s="2" customFormat="1" x14ac:dyDescent="0.2">
      <c r="A454"/>
      <c r="B454"/>
      <c r="C454"/>
      <c r="D454"/>
      <c r="E454"/>
      <c r="F454"/>
      <c r="G454"/>
      <c r="U454"/>
      <c r="V454"/>
      <c r="W454"/>
      <c r="X454"/>
      <c r="Y454"/>
      <c r="Z454"/>
      <c r="AA454"/>
      <c r="AB454"/>
      <c r="AL454"/>
      <c r="AM454"/>
      <c r="AN454"/>
      <c r="AO454"/>
    </row>
    <row r="455" spans="1:41" s="2" customFormat="1" x14ac:dyDescent="0.2">
      <c r="A455"/>
      <c r="B455"/>
      <c r="C455"/>
      <c r="D455"/>
      <c r="E455"/>
      <c r="F455"/>
      <c r="G455"/>
      <c r="U455"/>
      <c r="V455"/>
      <c r="W455"/>
      <c r="X455"/>
      <c r="Y455"/>
      <c r="Z455"/>
      <c r="AA455"/>
      <c r="AB455"/>
      <c r="AL455"/>
      <c r="AM455"/>
      <c r="AN455"/>
      <c r="AO455"/>
    </row>
    <row r="456" spans="1:41" s="2" customFormat="1" x14ac:dyDescent="0.2">
      <c r="A456"/>
      <c r="B456"/>
      <c r="C456"/>
      <c r="D456"/>
      <c r="E456"/>
      <c r="F456"/>
      <c r="G456"/>
      <c r="U456"/>
      <c r="V456"/>
      <c r="W456"/>
      <c r="X456"/>
      <c r="Y456"/>
      <c r="Z456"/>
      <c r="AA456"/>
      <c r="AB456"/>
      <c r="AL456"/>
      <c r="AM456"/>
      <c r="AN456"/>
      <c r="AO456"/>
    </row>
    <row r="457" spans="1:41" s="2" customFormat="1" x14ac:dyDescent="0.2">
      <c r="A457"/>
      <c r="B457"/>
      <c r="C457"/>
      <c r="D457"/>
      <c r="E457"/>
      <c r="F457"/>
      <c r="G457"/>
      <c r="U457"/>
      <c r="V457"/>
      <c r="W457"/>
      <c r="X457"/>
      <c r="Y457"/>
      <c r="Z457"/>
      <c r="AA457"/>
      <c r="AB457"/>
      <c r="AL457"/>
      <c r="AM457"/>
      <c r="AN457"/>
      <c r="AO457"/>
    </row>
    <row r="458" spans="1:41" s="2" customFormat="1" x14ac:dyDescent="0.2">
      <c r="A458"/>
      <c r="B458"/>
      <c r="C458"/>
      <c r="D458"/>
      <c r="E458"/>
      <c r="F458"/>
      <c r="G458"/>
      <c r="U458"/>
      <c r="V458"/>
      <c r="W458"/>
      <c r="X458"/>
      <c r="Y458"/>
      <c r="Z458"/>
      <c r="AA458"/>
      <c r="AB458"/>
      <c r="AL458"/>
      <c r="AM458"/>
      <c r="AN458"/>
      <c r="AO458"/>
    </row>
    <row r="459" spans="1:41" s="2" customFormat="1" x14ac:dyDescent="0.2">
      <c r="A459"/>
      <c r="B459"/>
      <c r="C459"/>
      <c r="D459"/>
      <c r="E459"/>
      <c r="F459"/>
      <c r="G459"/>
      <c r="U459"/>
      <c r="V459"/>
      <c r="W459"/>
      <c r="X459"/>
      <c r="Y459"/>
      <c r="Z459"/>
      <c r="AA459"/>
      <c r="AB459"/>
      <c r="AL459"/>
      <c r="AM459"/>
      <c r="AN459"/>
      <c r="AO459"/>
    </row>
    <row r="460" spans="1:41" s="2" customFormat="1" x14ac:dyDescent="0.2">
      <c r="A460"/>
      <c r="B460"/>
      <c r="C460"/>
      <c r="D460"/>
      <c r="E460"/>
      <c r="F460"/>
      <c r="G460"/>
      <c r="U460"/>
      <c r="V460"/>
      <c r="W460"/>
      <c r="X460"/>
      <c r="Y460"/>
      <c r="Z460"/>
      <c r="AA460"/>
      <c r="AB460"/>
      <c r="AL460"/>
      <c r="AM460"/>
      <c r="AN460"/>
      <c r="AO460"/>
    </row>
    <row r="461" spans="1:41" s="2" customFormat="1" x14ac:dyDescent="0.2">
      <c r="A461"/>
      <c r="B461"/>
      <c r="C461"/>
      <c r="D461"/>
      <c r="E461"/>
      <c r="F461"/>
      <c r="G461"/>
      <c r="U461"/>
      <c r="V461"/>
      <c r="W461"/>
      <c r="X461"/>
      <c r="Y461"/>
      <c r="Z461"/>
      <c r="AA461"/>
      <c r="AB461"/>
      <c r="AL461"/>
      <c r="AM461"/>
      <c r="AN461"/>
      <c r="AO461"/>
    </row>
    <row r="462" spans="1:41" s="2" customFormat="1" x14ac:dyDescent="0.2">
      <c r="A462"/>
      <c r="B462"/>
      <c r="C462"/>
      <c r="D462"/>
      <c r="E462"/>
      <c r="F462"/>
      <c r="G462"/>
      <c r="U462"/>
      <c r="V462"/>
      <c r="W462"/>
      <c r="X462"/>
      <c r="Y462"/>
      <c r="Z462"/>
      <c r="AA462"/>
      <c r="AB462"/>
      <c r="AL462"/>
      <c r="AM462"/>
      <c r="AN462"/>
      <c r="AO462"/>
    </row>
    <row r="463" spans="1:41" s="2" customFormat="1" x14ac:dyDescent="0.2">
      <c r="A463"/>
      <c r="B463"/>
      <c r="C463"/>
      <c r="D463"/>
      <c r="E463"/>
      <c r="F463"/>
      <c r="G463"/>
      <c r="U463"/>
      <c r="V463"/>
      <c r="W463"/>
      <c r="X463"/>
      <c r="Y463"/>
      <c r="Z463"/>
      <c r="AA463"/>
      <c r="AB463"/>
      <c r="AL463"/>
      <c r="AM463"/>
      <c r="AN463"/>
      <c r="AO463"/>
    </row>
    <row r="464" spans="1:41" s="2" customFormat="1" x14ac:dyDescent="0.2">
      <c r="A464"/>
      <c r="B464"/>
      <c r="C464"/>
      <c r="D464"/>
      <c r="E464"/>
      <c r="F464"/>
      <c r="G464"/>
      <c r="U464"/>
      <c r="V464"/>
      <c r="W464"/>
      <c r="X464"/>
      <c r="Y464"/>
      <c r="Z464"/>
      <c r="AA464"/>
      <c r="AB464"/>
      <c r="AL464"/>
      <c r="AM464"/>
      <c r="AN464"/>
      <c r="AO464"/>
    </row>
    <row r="465" spans="1:41" s="2" customFormat="1" x14ac:dyDescent="0.2">
      <c r="A465"/>
      <c r="B465"/>
      <c r="C465"/>
      <c r="D465"/>
      <c r="E465"/>
      <c r="F465"/>
      <c r="G465"/>
      <c r="U465"/>
      <c r="V465"/>
      <c r="W465"/>
      <c r="X465"/>
      <c r="Y465"/>
      <c r="Z465"/>
      <c r="AA465"/>
      <c r="AB465"/>
      <c r="AL465"/>
      <c r="AM465"/>
      <c r="AN465"/>
      <c r="AO465"/>
    </row>
    <row r="466" spans="1:41" s="2" customFormat="1" x14ac:dyDescent="0.2">
      <c r="A466"/>
      <c r="B466"/>
      <c r="C466"/>
      <c r="D466"/>
      <c r="E466"/>
      <c r="F466"/>
      <c r="G466"/>
      <c r="U466"/>
      <c r="V466"/>
      <c r="W466"/>
      <c r="X466"/>
      <c r="Y466"/>
      <c r="Z466"/>
      <c r="AA466"/>
      <c r="AB466"/>
      <c r="AL466"/>
      <c r="AM466"/>
      <c r="AN466"/>
      <c r="AO466"/>
    </row>
    <row r="467" spans="1:41" s="2" customFormat="1" x14ac:dyDescent="0.2">
      <c r="A467"/>
      <c r="B467"/>
      <c r="C467"/>
      <c r="D467"/>
      <c r="E467"/>
      <c r="F467"/>
      <c r="G467"/>
      <c r="U467"/>
      <c r="V467"/>
      <c r="W467"/>
      <c r="X467"/>
      <c r="Y467"/>
      <c r="Z467"/>
      <c r="AA467"/>
      <c r="AB467"/>
      <c r="AL467"/>
      <c r="AM467"/>
      <c r="AN467"/>
      <c r="AO467"/>
    </row>
    <row r="468" spans="1:41" s="2" customFormat="1" x14ac:dyDescent="0.2">
      <c r="A468"/>
      <c r="B468"/>
      <c r="C468"/>
      <c r="D468"/>
      <c r="E468"/>
      <c r="F468"/>
      <c r="G468"/>
      <c r="U468"/>
      <c r="V468"/>
      <c r="W468"/>
      <c r="X468"/>
      <c r="Y468"/>
      <c r="Z468"/>
      <c r="AA468"/>
      <c r="AB468"/>
      <c r="AL468"/>
      <c r="AM468"/>
      <c r="AN468"/>
      <c r="AO468"/>
    </row>
    <row r="469" spans="1:41" s="2" customFormat="1" x14ac:dyDescent="0.2">
      <c r="A469"/>
      <c r="B469"/>
      <c r="C469"/>
      <c r="D469"/>
      <c r="E469"/>
      <c r="F469"/>
      <c r="G469"/>
      <c r="U469"/>
      <c r="V469"/>
      <c r="W469"/>
      <c r="X469"/>
      <c r="Y469"/>
      <c r="Z469"/>
      <c r="AA469"/>
      <c r="AB469"/>
      <c r="AL469"/>
      <c r="AM469"/>
      <c r="AN469"/>
      <c r="AO469"/>
    </row>
    <row r="470" spans="1:41" s="2" customFormat="1" x14ac:dyDescent="0.2">
      <c r="A470"/>
      <c r="B470"/>
      <c r="C470"/>
      <c r="D470"/>
      <c r="E470"/>
      <c r="F470"/>
      <c r="G470"/>
      <c r="U470"/>
      <c r="V470"/>
      <c r="W470"/>
      <c r="X470"/>
      <c r="Y470"/>
      <c r="Z470"/>
      <c r="AA470"/>
      <c r="AB470"/>
      <c r="AL470"/>
      <c r="AM470"/>
      <c r="AN470"/>
      <c r="AO470"/>
    </row>
    <row r="471" spans="1:41" s="2" customFormat="1" x14ac:dyDescent="0.2">
      <c r="A471"/>
      <c r="B471"/>
      <c r="C471"/>
      <c r="D471"/>
      <c r="E471"/>
      <c r="F471"/>
      <c r="G471"/>
      <c r="U471"/>
      <c r="V471"/>
      <c r="W471"/>
      <c r="X471"/>
      <c r="Y471"/>
      <c r="Z471"/>
      <c r="AA471"/>
      <c r="AB471"/>
      <c r="AL471"/>
      <c r="AM471"/>
      <c r="AN471"/>
      <c r="AO471"/>
    </row>
    <row r="472" spans="1:41" s="2" customFormat="1" x14ac:dyDescent="0.2">
      <c r="A472"/>
      <c r="B472"/>
      <c r="C472"/>
      <c r="D472"/>
      <c r="E472"/>
      <c r="F472"/>
      <c r="G472"/>
      <c r="U472"/>
      <c r="V472"/>
      <c r="W472"/>
      <c r="X472"/>
      <c r="Y472"/>
      <c r="Z472"/>
      <c r="AA472"/>
      <c r="AB472"/>
      <c r="AL472"/>
      <c r="AM472"/>
      <c r="AN472"/>
      <c r="AO472"/>
    </row>
    <row r="473" spans="1:41" s="2" customFormat="1" x14ac:dyDescent="0.2">
      <c r="A473"/>
      <c r="B473"/>
      <c r="C473"/>
      <c r="D473"/>
      <c r="E473"/>
      <c r="F473"/>
      <c r="G473"/>
      <c r="U473"/>
      <c r="V473"/>
      <c r="W473"/>
      <c r="X473"/>
      <c r="Y473"/>
      <c r="Z473"/>
      <c r="AA473"/>
      <c r="AB473"/>
      <c r="AL473"/>
      <c r="AM473"/>
      <c r="AN473"/>
      <c r="AO473"/>
    </row>
    <row r="474" spans="1:41" s="2" customFormat="1" x14ac:dyDescent="0.2">
      <c r="A474"/>
      <c r="B474"/>
      <c r="C474"/>
      <c r="D474"/>
      <c r="E474"/>
      <c r="F474"/>
      <c r="G474"/>
      <c r="U474"/>
      <c r="V474"/>
      <c r="W474"/>
      <c r="X474"/>
      <c r="Y474"/>
      <c r="Z474"/>
      <c r="AA474"/>
      <c r="AB474"/>
      <c r="AL474"/>
      <c r="AM474"/>
      <c r="AN474"/>
      <c r="AO474"/>
    </row>
    <row r="475" spans="1:41" s="2" customFormat="1" x14ac:dyDescent="0.2">
      <c r="A475"/>
      <c r="B475"/>
      <c r="C475"/>
      <c r="D475"/>
      <c r="E475"/>
      <c r="F475"/>
      <c r="G475"/>
      <c r="U475"/>
      <c r="V475"/>
      <c r="W475"/>
      <c r="X475"/>
      <c r="Y475"/>
      <c r="Z475"/>
      <c r="AA475"/>
      <c r="AB475"/>
      <c r="AL475"/>
      <c r="AM475"/>
      <c r="AN475"/>
      <c r="AO475"/>
    </row>
    <row r="476" spans="1:41" s="2" customFormat="1" x14ac:dyDescent="0.2">
      <c r="A476"/>
      <c r="B476"/>
      <c r="C476"/>
      <c r="D476"/>
      <c r="E476"/>
      <c r="F476"/>
      <c r="G476"/>
      <c r="U476"/>
      <c r="V476"/>
      <c r="W476"/>
      <c r="X476"/>
      <c r="Y476"/>
      <c r="Z476"/>
      <c r="AA476"/>
      <c r="AB476"/>
      <c r="AL476"/>
      <c r="AM476"/>
      <c r="AN476"/>
      <c r="AO476"/>
    </row>
    <row r="477" spans="1:41" s="2" customFormat="1" x14ac:dyDescent="0.2">
      <c r="A477"/>
      <c r="B477"/>
      <c r="C477"/>
      <c r="D477"/>
      <c r="E477"/>
      <c r="F477"/>
      <c r="G477"/>
      <c r="U477"/>
      <c r="V477"/>
      <c r="W477"/>
      <c r="X477"/>
      <c r="Y477"/>
      <c r="Z477"/>
      <c r="AA477"/>
      <c r="AB477"/>
      <c r="AL477"/>
      <c r="AM477"/>
      <c r="AN477"/>
      <c r="AO477"/>
    </row>
    <row r="478" spans="1:41" s="2" customFormat="1" x14ac:dyDescent="0.2">
      <c r="A478"/>
      <c r="B478"/>
      <c r="C478"/>
      <c r="D478"/>
      <c r="E478"/>
      <c r="F478"/>
      <c r="G478"/>
      <c r="U478"/>
      <c r="V478"/>
      <c r="W478"/>
      <c r="X478"/>
      <c r="Y478"/>
      <c r="Z478"/>
      <c r="AA478"/>
      <c r="AB478"/>
      <c r="AL478"/>
      <c r="AM478"/>
      <c r="AN478"/>
      <c r="AO478"/>
    </row>
    <row r="479" spans="1:41" s="2" customFormat="1" x14ac:dyDescent="0.2">
      <c r="A479"/>
      <c r="B479"/>
      <c r="C479"/>
      <c r="D479"/>
      <c r="E479"/>
      <c r="F479"/>
      <c r="G479"/>
      <c r="U479"/>
      <c r="V479"/>
      <c r="W479"/>
      <c r="X479"/>
      <c r="Y479"/>
      <c r="Z479"/>
      <c r="AA479"/>
      <c r="AB479"/>
      <c r="AL479"/>
      <c r="AM479"/>
      <c r="AN479"/>
      <c r="AO479"/>
    </row>
    <row r="480" spans="1:41" s="2" customFormat="1" x14ac:dyDescent="0.2">
      <c r="A480"/>
      <c r="B480"/>
      <c r="C480"/>
      <c r="D480"/>
      <c r="E480"/>
      <c r="F480"/>
      <c r="G480"/>
      <c r="U480"/>
      <c r="V480"/>
      <c r="W480"/>
      <c r="X480"/>
      <c r="Y480"/>
      <c r="Z480"/>
      <c r="AA480"/>
      <c r="AB480"/>
      <c r="AL480"/>
      <c r="AM480"/>
      <c r="AN480"/>
      <c r="AO480"/>
    </row>
    <row r="481" spans="1:41" s="2" customFormat="1" x14ac:dyDescent="0.2">
      <c r="A481"/>
      <c r="B481"/>
      <c r="C481"/>
      <c r="D481"/>
      <c r="E481"/>
      <c r="F481"/>
      <c r="G481"/>
      <c r="U481"/>
      <c r="V481"/>
      <c r="W481"/>
      <c r="X481"/>
      <c r="Y481"/>
      <c r="Z481"/>
      <c r="AA481"/>
      <c r="AB481"/>
      <c r="AL481"/>
      <c r="AM481"/>
      <c r="AN481"/>
      <c r="AO481"/>
    </row>
    <row r="482" spans="1:41" s="2" customFormat="1" x14ac:dyDescent="0.2">
      <c r="A482"/>
      <c r="B482"/>
      <c r="C482"/>
      <c r="D482"/>
      <c r="E482"/>
      <c r="F482"/>
      <c r="G482"/>
      <c r="U482"/>
      <c r="V482"/>
      <c r="W482"/>
      <c r="X482"/>
      <c r="Y482"/>
      <c r="Z482"/>
      <c r="AA482"/>
      <c r="AB482"/>
      <c r="AL482"/>
      <c r="AM482"/>
      <c r="AN482"/>
      <c r="AO482"/>
    </row>
    <row r="483" spans="1:41" s="2" customFormat="1" x14ac:dyDescent="0.2">
      <c r="A483"/>
      <c r="B483"/>
      <c r="C483"/>
      <c r="D483"/>
      <c r="E483"/>
      <c r="F483"/>
      <c r="G483"/>
      <c r="U483"/>
      <c r="V483"/>
      <c r="W483"/>
      <c r="X483"/>
      <c r="Y483"/>
      <c r="Z483"/>
      <c r="AA483"/>
      <c r="AB483"/>
      <c r="AL483"/>
      <c r="AM483"/>
      <c r="AN483"/>
      <c r="AO483"/>
    </row>
    <row r="484" spans="1:41" s="2" customFormat="1" x14ac:dyDescent="0.2">
      <c r="A484"/>
      <c r="B484"/>
      <c r="C484"/>
      <c r="D484"/>
      <c r="E484"/>
      <c r="F484"/>
      <c r="G484"/>
      <c r="U484"/>
      <c r="V484"/>
      <c r="W484"/>
      <c r="X484"/>
      <c r="Y484"/>
      <c r="Z484"/>
      <c r="AA484"/>
      <c r="AB484"/>
      <c r="AL484"/>
      <c r="AM484"/>
      <c r="AN484"/>
      <c r="AO484"/>
    </row>
    <row r="485" spans="1:41" s="2" customFormat="1" x14ac:dyDescent="0.2">
      <c r="A485"/>
      <c r="B485"/>
      <c r="C485"/>
      <c r="D485"/>
      <c r="E485"/>
      <c r="F485"/>
      <c r="G485"/>
      <c r="U485"/>
      <c r="V485"/>
      <c r="W485"/>
      <c r="X485"/>
      <c r="Y485"/>
      <c r="Z485"/>
      <c r="AA485"/>
      <c r="AB485"/>
      <c r="AL485"/>
      <c r="AM485"/>
      <c r="AN485"/>
      <c r="AO485"/>
    </row>
    <row r="486" spans="1:41" s="2" customFormat="1" x14ac:dyDescent="0.2">
      <c r="A486"/>
      <c r="B486"/>
      <c r="C486"/>
      <c r="D486"/>
      <c r="E486"/>
      <c r="F486"/>
      <c r="G486"/>
      <c r="U486"/>
      <c r="V486"/>
      <c r="W486"/>
      <c r="X486"/>
      <c r="Y486"/>
      <c r="Z486"/>
      <c r="AA486"/>
      <c r="AB486"/>
      <c r="AL486"/>
      <c r="AM486"/>
      <c r="AN486"/>
      <c r="AO486"/>
    </row>
    <row r="487" spans="1:41" s="2" customFormat="1" x14ac:dyDescent="0.2">
      <c r="A487"/>
      <c r="B487"/>
      <c r="C487"/>
      <c r="D487"/>
      <c r="E487"/>
      <c r="F487"/>
      <c r="G487"/>
      <c r="U487"/>
      <c r="V487"/>
      <c r="W487"/>
      <c r="X487"/>
      <c r="Y487"/>
      <c r="Z487"/>
      <c r="AA487"/>
      <c r="AB487"/>
      <c r="AL487"/>
      <c r="AM487"/>
      <c r="AN487"/>
      <c r="AO487"/>
    </row>
    <row r="488" spans="1:41" s="2" customFormat="1" x14ac:dyDescent="0.2">
      <c r="A488"/>
      <c r="B488"/>
      <c r="C488"/>
      <c r="D488"/>
      <c r="E488"/>
      <c r="F488"/>
      <c r="G488"/>
      <c r="U488"/>
      <c r="V488"/>
      <c r="W488"/>
      <c r="X488"/>
      <c r="Y488"/>
      <c r="Z488"/>
      <c r="AA488"/>
      <c r="AB488"/>
      <c r="AL488"/>
      <c r="AM488"/>
      <c r="AN488"/>
      <c r="AO488"/>
    </row>
    <row r="489" spans="1:41" s="2" customFormat="1" x14ac:dyDescent="0.2">
      <c r="A489"/>
      <c r="B489"/>
      <c r="C489"/>
      <c r="D489"/>
      <c r="E489"/>
      <c r="F489"/>
      <c r="G489"/>
      <c r="U489"/>
      <c r="V489"/>
      <c r="W489"/>
      <c r="X489"/>
      <c r="Y489"/>
      <c r="Z489"/>
      <c r="AA489"/>
      <c r="AB489"/>
      <c r="AL489"/>
      <c r="AM489"/>
      <c r="AN489"/>
      <c r="AO489"/>
    </row>
    <row r="490" spans="1:41" s="2" customFormat="1" x14ac:dyDescent="0.2">
      <c r="A490"/>
      <c r="B490"/>
      <c r="C490"/>
      <c r="D490"/>
      <c r="E490"/>
      <c r="F490"/>
      <c r="G490"/>
      <c r="U490"/>
      <c r="V490"/>
      <c r="W490"/>
      <c r="X490"/>
      <c r="Y490"/>
      <c r="Z490"/>
      <c r="AA490"/>
      <c r="AB490"/>
      <c r="AL490"/>
      <c r="AM490"/>
      <c r="AN490"/>
      <c r="AO490"/>
    </row>
    <row r="491" spans="1:41" s="2" customFormat="1" x14ac:dyDescent="0.2">
      <c r="A491"/>
      <c r="B491"/>
      <c r="C491"/>
      <c r="D491"/>
      <c r="E491"/>
      <c r="F491"/>
      <c r="G491"/>
      <c r="U491"/>
      <c r="V491"/>
      <c r="W491"/>
      <c r="X491"/>
      <c r="Y491"/>
      <c r="Z491"/>
      <c r="AA491"/>
      <c r="AB491"/>
      <c r="AL491"/>
      <c r="AM491"/>
      <c r="AN491"/>
      <c r="AO491"/>
    </row>
    <row r="492" spans="1:41" s="2" customFormat="1" x14ac:dyDescent="0.2">
      <c r="A492"/>
      <c r="B492"/>
      <c r="C492"/>
      <c r="D492"/>
      <c r="E492"/>
      <c r="F492"/>
      <c r="G492"/>
      <c r="U492"/>
      <c r="V492"/>
      <c r="W492"/>
      <c r="X492"/>
      <c r="Y492"/>
      <c r="Z492"/>
      <c r="AA492"/>
      <c r="AB492"/>
      <c r="AL492"/>
      <c r="AM492"/>
      <c r="AN492"/>
      <c r="AO492"/>
    </row>
    <row r="493" spans="1:41" s="2" customFormat="1" x14ac:dyDescent="0.2">
      <c r="A493"/>
      <c r="B493"/>
      <c r="C493"/>
      <c r="D493"/>
      <c r="E493"/>
      <c r="F493"/>
      <c r="G493"/>
      <c r="U493"/>
      <c r="V493"/>
      <c r="W493"/>
      <c r="X493"/>
      <c r="Y493"/>
      <c r="Z493"/>
      <c r="AA493"/>
      <c r="AB493"/>
      <c r="AL493"/>
      <c r="AM493"/>
      <c r="AN493"/>
      <c r="AO493"/>
    </row>
    <row r="494" spans="1:41" s="2" customFormat="1" x14ac:dyDescent="0.2">
      <c r="A494"/>
      <c r="B494"/>
      <c r="C494"/>
      <c r="D494"/>
      <c r="E494"/>
      <c r="F494"/>
      <c r="G494"/>
      <c r="U494"/>
      <c r="V494"/>
      <c r="W494"/>
      <c r="X494"/>
      <c r="Y494"/>
      <c r="Z494"/>
      <c r="AA494"/>
      <c r="AB494"/>
      <c r="AL494"/>
      <c r="AM494"/>
      <c r="AN494"/>
      <c r="AO494"/>
    </row>
    <row r="495" spans="1:41" s="2" customFormat="1" x14ac:dyDescent="0.2">
      <c r="A495"/>
      <c r="B495"/>
      <c r="C495"/>
      <c r="D495"/>
      <c r="E495"/>
      <c r="F495"/>
      <c r="G495"/>
      <c r="U495"/>
      <c r="V495"/>
      <c r="W495"/>
      <c r="X495"/>
      <c r="Y495"/>
      <c r="Z495"/>
      <c r="AA495"/>
      <c r="AB495"/>
      <c r="AL495"/>
      <c r="AM495"/>
      <c r="AN495"/>
      <c r="AO495"/>
    </row>
    <row r="496" spans="1:41" s="2" customFormat="1" x14ac:dyDescent="0.2">
      <c r="A496"/>
      <c r="B496"/>
      <c r="C496"/>
      <c r="D496"/>
      <c r="E496"/>
      <c r="F496"/>
      <c r="G496"/>
      <c r="U496"/>
      <c r="V496"/>
      <c r="W496"/>
      <c r="X496"/>
      <c r="Y496"/>
      <c r="Z496"/>
      <c r="AA496"/>
      <c r="AB496"/>
      <c r="AL496"/>
      <c r="AM496"/>
      <c r="AN496"/>
      <c r="AO496"/>
    </row>
    <row r="497" spans="1:41" s="2" customFormat="1" x14ac:dyDescent="0.2">
      <c r="A497"/>
      <c r="B497"/>
      <c r="C497"/>
      <c r="D497"/>
      <c r="E497"/>
      <c r="F497"/>
      <c r="G497"/>
      <c r="U497"/>
      <c r="V497"/>
      <c r="W497"/>
      <c r="X497"/>
      <c r="Y497"/>
      <c r="Z497"/>
      <c r="AA497"/>
      <c r="AB497"/>
      <c r="AL497"/>
      <c r="AM497"/>
      <c r="AN497"/>
      <c r="AO497"/>
    </row>
    <row r="498" spans="1:41" s="2" customFormat="1" x14ac:dyDescent="0.2">
      <c r="A498"/>
      <c r="B498"/>
      <c r="C498"/>
      <c r="D498"/>
      <c r="E498"/>
      <c r="F498"/>
      <c r="G498"/>
      <c r="U498"/>
      <c r="V498"/>
      <c r="W498"/>
      <c r="X498"/>
      <c r="Y498"/>
      <c r="Z498"/>
      <c r="AA498"/>
      <c r="AB498"/>
      <c r="AL498"/>
      <c r="AM498"/>
      <c r="AN498"/>
      <c r="AO498"/>
    </row>
    <row r="499" spans="1:41" s="2" customFormat="1" x14ac:dyDescent="0.2">
      <c r="A499"/>
      <c r="B499"/>
      <c r="C499"/>
      <c r="D499"/>
      <c r="E499"/>
      <c r="F499"/>
      <c r="G499"/>
      <c r="U499"/>
      <c r="V499"/>
      <c r="W499"/>
      <c r="X499"/>
      <c r="Y499"/>
      <c r="Z499"/>
      <c r="AA499"/>
      <c r="AB499"/>
      <c r="AL499"/>
      <c r="AM499"/>
      <c r="AN499"/>
      <c r="AO499"/>
    </row>
    <row r="500" spans="1:41" s="2" customFormat="1" x14ac:dyDescent="0.2">
      <c r="A500"/>
      <c r="B500"/>
      <c r="C500"/>
      <c r="D500"/>
      <c r="E500"/>
      <c r="F500"/>
      <c r="G500"/>
      <c r="U500"/>
      <c r="V500"/>
      <c r="W500"/>
      <c r="X500"/>
      <c r="Y500"/>
      <c r="Z500"/>
      <c r="AA500"/>
      <c r="AB500"/>
      <c r="AL500"/>
      <c r="AM500"/>
      <c r="AN500"/>
      <c r="AO500"/>
    </row>
    <row r="501" spans="1:41" s="2" customFormat="1" x14ac:dyDescent="0.2">
      <c r="A501"/>
      <c r="B501"/>
      <c r="C501"/>
      <c r="D501"/>
      <c r="E501"/>
      <c r="F501"/>
      <c r="G501"/>
      <c r="U501"/>
      <c r="V501"/>
      <c r="W501"/>
      <c r="X501"/>
      <c r="Y501"/>
      <c r="Z501"/>
      <c r="AA501"/>
      <c r="AB501"/>
      <c r="AL501"/>
      <c r="AM501"/>
      <c r="AN501"/>
      <c r="AO501"/>
    </row>
    <row r="502" spans="1:41" s="2" customFormat="1" x14ac:dyDescent="0.2">
      <c r="A502"/>
      <c r="B502"/>
      <c r="C502"/>
      <c r="D502"/>
      <c r="E502"/>
      <c r="F502"/>
      <c r="G502"/>
      <c r="U502"/>
      <c r="V502"/>
      <c r="W502"/>
      <c r="X502"/>
      <c r="Y502"/>
      <c r="Z502"/>
      <c r="AA502"/>
      <c r="AB502"/>
      <c r="AL502"/>
      <c r="AM502"/>
      <c r="AN502"/>
      <c r="AO502"/>
    </row>
    <row r="503" spans="1:41" s="2" customFormat="1" x14ac:dyDescent="0.2">
      <c r="A503"/>
      <c r="B503"/>
      <c r="C503"/>
      <c r="D503"/>
      <c r="E503"/>
      <c r="F503"/>
      <c r="G503"/>
      <c r="U503"/>
      <c r="V503"/>
      <c r="W503"/>
      <c r="X503"/>
      <c r="Y503"/>
      <c r="Z503"/>
      <c r="AA503"/>
      <c r="AB503"/>
      <c r="AL503"/>
      <c r="AM503"/>
      <c r="AN503"/>
      <c r="AO503"/>
    </row>
    <row r="504" spans="1:41" s="2" customFormat="1" x14ac:dyDescent="0.2">
      <c r="A504"/>
      <c r="B504"/>
      <c r="C504"/>
      <c r="D504"/>
      <c r="E504"/>
      <c r="F504"/>
      <c r="G504"/>
      <c r="U504"/>
      <c r="V504"/>
      <c r="W504"/>
      <c r="X504"/>
      <c r="Y504"/>
      <c r="Z504"/>
      <c r="AA504"/>
      <c r="AB504"/>
      <c r="AL504"/>
      <c r="AM504"/>
      <c r="AN504"/>
      <c r="AO504"/>
    </row>
    <row r="505" spans="1:41" s="2" customFormat="1" x14ac:dyDescent="0.2">
      <c r="A505"/>
      <c r="B505"/>
      <c r="C505"/>
      <c r="D505"/>
      <c r="E505"/>
      <c r="F505"/>
      <c r="G505"/>
      <c r="U505"/>
      <c r="V505"/>
      <c r="W505"/>
      <c r="X505"/>
      <c r="Y505"/>
      <c r="Z505"/>
      <c r="AA505"/>
      <c r="AB505"/>
      <c r="AL505"/>
      <c r="AM505"/>
      <c r="AN505"/>
      <c r="AO505"/>
    </row>
    <row r="506" spans="1:41" s="2" customFormat="1" x14ac:dyDescent="0.2">
      <c r="A506"/>
      <c r="B506"/>
      <c r="C506"/>
      <c r="D506"/>
      <c r="E506"/>
      <c r="F506"/>
      <c r="G506"/>
      <c r="U506"/>
      <c r="V506"/>
      <c r="W506"/>
      <c r="X506"/>
      <c r="Y506"/>
      <c r="Z506"/>
      <c r="AA506"/>
      <c r="AB506"/>
      <c r="AL506"/>
      <c r="AM506"/>
      <c r="AN506"/>
      <c r="AO506"/>
    </row>
    <row r="507" spans="1:41" s="2" customFormat="1" x14ac:dyDescent="0.2">
      <c r="A507"/>
      <c r="B507"/>
      <c r="C507"/>
      <c r="D507"/>
      <c r="E507"/>
      <c r="F507"/>
      <c r="G507"/>
      <c r="U507"/>
      <c r="V507"/>
      <c r="W507"/>
      <c r="X507"/>
      <c r="Y507"/>
      <c r="Z507"/>
      <c r="AA507"/>
      <c r="AB507"/>
      <c r="AL507"/>
      <c r="AM507"/>
      <c r="AN507"/>
      <c r="AO507"/>
    </row>
    <row r="508" spans="1:41" s="2" customFormat="1" x14ac:dyDescent="0.2">
      <c r="A508"/>
      <c r="B508"/>
      <c r="C508"/>
      <c r="D508"/>
      <c r="E508"/>
      <c r="F508"/>
      <c r="G508"/>
      <c r="U508"/>
      <c r="V508"/>
      <c r="W508"/>
      <c r="X508"/>
      <c r="Y508"/>
      <c r="Z508"/>
      <c r="AA508"/>
      <c r="AB508"/>
      <c r="AL508"/>
      <c r="AM508"/>
      <c r="AN508"/>
      <c r="AO508"/>
    </row>
    <row r="509" spans="1:41" s="2" customFormat="1" x14ac:dyDescent="0.2">
      <c r="A509"/>
      <c r="B509"/>
      <c r="C509"/>
      <c r="D509"/>
      <c r="E509"/>
      <c r="F509"/>
      <c r="G509"/>
      <c r="U509"/>
      <c r="V509"/>
      <c r="W509"/>
      <c r="X509"/>
      <c r="Y509"/>
      <c r="Z509"/>
      <c r="AA509"/>
      <c r="AB509"/>
      <c r="AL509"/>
      <c r="AM509"/>
      <c r="AN509"/>
      <c r="AO509"/>
    </row>
    <row r="510" spans="1:41" s="2" customFormat="1" x14ac:dyDescent="0.2">
      <c r="A510"/>
      <c r="B510"/>
      <c r="C510"/>
      <c r="D510"/>
      <c r="E510"/>
      <c r="F510"/>
      <c r="G510"/>
      <c r="U510"/>
      <c r="V510"/>
      <c r="W510"/>
      <c r="X510"/>
      <c r="Y510"/>
      <c r="Z510"/>
      <c r="AA510"/>
      <c r="AB510"/>
      <c r="AL510"/>
      <c r="AM510"/>
      <c r="AN510"/>
      <c r="AO510"/>
    </row>
    <row r="511" spans="1:41" s="2" customFormat="1" x14ac:dyDescent="0.2">
      <c r="A511"/>
      <c r="B511"/>
      <c r="C511"/>
      <c r="D511"/>
      <c r="E511"/>
      <c r="F511"/>
      <c r="G511"/>
      <c r="U511"/>
      <c r="V511"/>
      <c r="W511"/>
      <c r="X511"/>
      <c r="Y511"/>
      <c r="Z511"/>
      <c r="AA511"/>
      <c r="AB511"/>
      <c r="AL511"/>
      <c r="AM511"/>
      <c r="AN511"/>
      <c r="AO511"/>
    </row>
    <row r="512" spans="1:41" s="2" customFormat="1" x14ac:dyDescent="0.2">
      <c r="A512"/>
      <c r="B512"/>
      <c r="C512"/>
      <c r="D512"/>
      <c r="E512"/>
      <c r="F512"/>
      <c r="G512"/>
      <c r="U512"/>
      <c r="V512"/>
      <c r="W512"/>
      <c r="X512"/>
      <c r="Y512"/>
      <c r="Z512"/>
      <c r="AA512"/>
      <c r="AB512"/>
      <c r="AL512"/>
      <c r="AM512"/>
      <c r="AN512"/>
      <c r="AO512"/>
    </row>
    <row r="513" spans="1:41" s="2" customFormat="1" x14ac:dyDescent="0.2">
      <c r="A513"/>
      <c r="B513"/>
      <c r="C513"/>
      <c r="D513"/>
      <c r="E513"/>
      <c r="F513"/>
      <c r="G513"/>
      <c r="U513"/>
      <c r="V513"/>
      <c r="W513"/>
      <c r="X513"/>
      <c r="Y513"/>
      <c r="Z513"/>
      <c r="AA513"/>
      <c r="AB513"/>
      <c r="AL513"/>
      <c r="AM513"/>
      <c r="AN513"/>
      <c r="AO513"/>
    </row>
    <row r="514" spans="1:41" s="2" customFormat="1" x14ac:dyDescent="0.2">
      <c r="A514"/>
      <c r="B514"/>
      <c r="C514"/>
      <c r="D514"/>
      <c r="E514"/>
      <c r="F514"/>
      <c r="G514"/>
      <c r="U514"/>
      <c r="V514"/>
      <c r="W514"/>
      <c r="X514"/>
      <c r="Y514"/>
      <c r="Z514"/>
      <c r="AA514"/>
      <c r="AB514"/>
      <c r="AL514"/>
      <c r="AM514"/>
      <c r="AN514"/>
      <c r="AO514"/>
    </row>
    <row r="515" spans="1:41" s="2" customFormat="1" x14ac:dyDescent="0.2">
      <c r="A515"/>
      <c r="B515"/>
      <c r="C515"/>
      <c r="D515"/>
      <c r="E515"/>
      <c r="F515"/>
      <c r="G515"/>
      <c r="U515"/>
      <c r="V515"/>
      <c r="W515"/>
      <c r="X515"/>
      <c r="Y515"/>
      <c r="Z515"/>
      <c r="AA515"/>
      <c r="AB515"/>
      <c r="AL515"/>
      <c r="AM515"/>
      <c r="AN515"/>
      <c r="AO515"/>
    </row>
    <row r="516" spans="1:41" s="2" customFormat="1" x14ac:dyDescent="0.2">
      <c r="A516"/>
      <c r="B516"/>
      <c r="C516"/>
      <c r="D516"/>
      <c r="E516"/>
      <c r="F516"/>
      <c r="G516"/>
      <c r="U516"/>
      <c r="V516"/>
      <c r="W516"/>
      <c r="X516"/>
      <c r="Y516"/>
      <c r="Z516"/>
      <c r="AA516"/>
      <c r="AB516"/>
      <c r="AL516"/>
      <c r="AM516"/>
      <c r="AN516"/>
      <c r="AO516"/>
    </row>
    <row r="517" spans="1:41" s="2" customFormat="1" x14ac:dyDescent="0.2">
      <c r="A517"/>
      <c r="B517"/>
      <c r="C517"/>
      <c r="D517"/>
      <c r="E517"/>
      <c r="F517"/>
      <c r="G517"/>
      <c r="U517"/>
      <c r="V517"/>
      <c r="W517"/>
      <c r="X517"/>
      <c r="Y517"/>
      <c r="Z517"/>
      <c r="AA517"/>
      <c r="AB517"/>
      <c r="AL517"/>
      <c r="AM517"/>
      <c r="AN517"/>
      <c r="AO517"/>
    </row>
    <row r="518" spans="1:41" s="2" customFormat="1" x14ac:dyDescent="0.2">
      <c r="A518"/>
      <c r="B518"/>
      <c r="C518"/>
      <c r="D518"/>
      <c r="E518"/>
      <c r="F518"/>
      <c r="G518"/>
      <c r="U518"/>
      <c r="V518"/>
      <c r="W518"/>
      <c r="X518"/>
      <c r="Y518"/>
      <c r="Z518"/>
      <c r="AA518"/>
      <c r="AB518"/>
      <c r="AL518"/>
      <c r="AM518"/>
      <c r="AN518"/>
      <c r="AO518"/>
    </row>
    <row r="519" spans="1:41" s="2" customFormat="1" x14ac:dyDescent="0.2">
      <c r="A519"/>
      <c r="B519"/>
      <c r="C519"/>
      <c r="D519"/>
      <c r="E519"/>
      <c r="F519"/>
      <c r="G519"/>
      <c r="U519"/>
      <c r="V519"/>
      <c r="W519"/>
      <c r="X519"/>
      <c r="Y519"/>
      <c r="Z519"/>
      <c r="AA519"/>
      <c r="AB519"/>
      <c r="AL519"/>
      <c r="AM519"/>
      <c r="AN519"/>
      <c r="AO519"/>
    </row>
    <row r="520" spans="1:41" s="2" customFormat="1" x14ac:dyDescent="0.2">
      <c r="A520"/>
      <c r="B520"/>
      <c r="C520"/>
      <c r="D520"/>
      <c r="E520"/>
      <c r="F520"/>
      <c r="G520"/>
      <c r="U520"/>
      <c r="V520"/>
      <c r="W520"/>
      <c r="X520"/>
      <c r="Y520"/>
      <c r="Z520"/>
      <c r="AA520"/>
      <c r="AB520"/>
      <c r="AL520"/>
      <c r="AM520"/>
      <c r="AN520"/>
      <c r="AO520"/>
    </row>
    <row r="521" spans="1:41" s="2" customFormat="1" x14ac:dyDescent="0.2">
      <c r="A521"/>
      <c r="B521"/>
      <c r="C521"/>
      <c r="D521"/>
      <c r="E521"/>
      <c r="F521"/>
      <c r="G521"/>
      <c r="U521"/>
      <c r="V521"/>
      <c r="W521"/>
      <c r="X521"/>
      <c r="Y521"/>
      <c r="Z521"/>
      <c r="AA521"/>
      <c r="AB521"/>
      <c r="AL521"/>
      <c r="AM521"/>
      <c r="AN521"/>
      <c r="AO521"/>
    </row>
    <row r="522" spans="1:41" s="2" customFormat="1" x14ac:dyDescent="0.2">
      <c r="A522"/>
      <c r="B522"/>
      <c r="C522"/>
      <c r="D522"/>
      <c r="E522"/>
      <c r="F522"/>
      <c r="G522"/>
      <c r="U522"/>
      <c r="V522"/>
      <c r="W522"/>
      <c r="X522"/>
      <c r="Y522"/>
      <c r="Z522"/>
      <c r="AA522"/>
      <c r="AB522"/>
      <c r="AL522"/>
      <c r="AM522"/>
      <c r="AN522"/>
      <c r="AO522"/>
    </row>
    <row r="523" spans="1:41" s="2" customFormat="1" x14ac:dyDescent="0.2">
      <c r="A523"/>
      <c r="B523"/>
      <c r="C523"/>
      <c r="D523"/>
      <c r="E523"/>
      <c r="F523"/>
      <c r="G523"/>
      <c r="U523"/>
      <c r="V523"/>
      <c r="W523"/>
      <c r="X523"/>
      <c r="Y523"/>
      <c r="Z523"/>
      <c r="AA523"/>
      <c r="AB523"/>
      <c r="AL523"/>
      <c r="AM523"/>
      <c r="AN523"/>
      <c r="AO523"/>
    </row>
    <row r="524" spans="1:41" s="2" customFormat="1" x14ac:dyDescent="0.2">
      <c r="A524"/>
      <c r="B524"/>
      <c r="C524"/>
      <c r="D524"/>
      <c r="E524"/>
      <c r="F524"/>
      <c r="G524"/>
      <c r="U524"/>
      <c r="V524"/>
      <c r="W524"/>
      <c r="X524"/>
      <c r="Y524"/>
      <c r="Z524"/>
      <c r="AA524"/>
      <c r="AB524"/>
      <c r="AL524"/>
      <c r="AM524"/>
      <c r="AN524"/>
      <c r="AO524"/>
    </row>
    <row r="525" spans="1:41" s="2" customFormat="1" x14ac:dyDescent="0.2">
      <c r="A525"/>
      <c r="B525"/>
      <c r="C525"/>
      <c r="D525"/>
      <c r="E525"/>
      <c r="F525"/>
      <c r="G525"/>
      <c r="U525"/>
      <c r="V525"/>
      <c r="W525"/>
      <c r="X525"/>
      <c r="Y525"/>
      <c r="Z525"/>
      <c r="AA525"/>
      <c r="AB525"/>
      <c r="AL525"/>
      <c r="AM525"/>
      <c r="AN525"/>
      <c r="AO525"/>
    </row>
    <row r="526" spans="1:41" s="2" customFormat="1" x14ac:dyDescent="0.2">
      <c r="A526"/>
      <c r="B526"/>
      <c r="C526"/>
      <c r="D526"/>
      <c r="E526"/>
      <c r="F526"/>
      <c r="G526"/>
      <c r="U526"/>
      <c r="V526"/>
      <c r="W526"/>
      <c r="X526"/>
      <c r="Y526"/>
      <c r="Z526"/>
      <c r="AA526"/>
      <c r="AB526"/>
      <c r="AL526"/>
      <c r="AM526"/>
      <c r="AN526"/>
      <c r="AO526"/>
    </row>
    <row r="527" spans="1:41" s="2" customFormat="1" x14ac:dyDescent="0.2">
      <c r="A527"/>
      <c r="B527"/>
      <c r="C527"/>
      <c r="D527"/>
      <c r="E527"/>
      <c r="F527"/>
      <c r="G527"/>
      <c r="U527"/>
      <c r="V527"/>
      <c r="W527"/>
      <c r="X527"/>
      <c r="Y527"/>
      <c r="Z527"/>
      <c r="AA527"/>
      <c r="AB527"/>
      <c r="AL527"/>
      <c r="AM527"/>
      <c r="AN527"/>
      <c r="AO527"/>
    </row>
    <row r="528" spans="1:41" s="2" customFormat="1" x14ac:dyDescent="0.2">
      <c r="A528"/>
      <c r="B528"/>
      <c r="C528"/>
      <c r="D528"/>
      <c r="E528"/>
      <c r="F528"/>
      <c r="G528"/>
      <c r="U528"/>
      <c r="V528"/>
      <c r="W528"/>
      <c r="X528"/>
      <c r="Y528"/>
      <c r="Z528"/>
      <c r="AA528"/>
      <c r="AB528"/>
      <c r="AL528"/>
      <c r="AM528"/>
      <c r="AN528"/>
      <c r="AO528"/>
    </row>
    <row r="529" spans="1:41" s="2" customFormat="1" x14ac:dyDescent="0.2">
      <c r="A529"/>
      <c r="B529"/>
      <c r="C529"/>
      <c r="D529"/>
      <c r="E529"/>
      <c r="F529"/>
      <c r="G529"/>
      <c r="U529"/>
      <c r="V529"/>
      <c r="W529"/>
      <c r="X529"/>
      <c r="Y529"/>
      <c r="Z529"/>
      <c r="AA529"/>
      <c r="AB529"/>
      <c r="AL529"/>
      <c r="AM529"/>
      <c r="AN529"/>
      <c r="AO529"/>
    </row>
    <row r="530" spans="1:41" s="2" customFormat="1" x14ac:dyDescent="0.2">
      <c r="A530"/>
      <c r="B530"/>
      <c r="C530"/>
      <c r="D530"/>
      <c r="E530"/>
      <c r="F530"/>
      <c r="G530"/>
      <c r="U530"/>
      <c r="V530"/>
      <c r="W530"/>
      <c r="X530"/>
      <c r="Y530"/>
      <c r="Z530"/>
      <c r="AA530"/>
      <c r="AB530"/>
      <c r="AL530"/>
      <c r="AM530"/>
      <c r="AN530"/>
      <c r="AO530"/>
    </row>
    <row r="531" spans="1:41" s="2" customFormat="1" x14ac:dyDescent="0.2">
      <c r="A531"/>
      <c r="B531"/>
      <c r="C531"/>
      <c r="D531"/>
      <c r="E531"/>
      <c r="F531"/>
      <c r="G531"/>
      <c r="U531"/>
      <c r="V531"/>
      <c r="W531"/>
      <c r="X531"/>
      <c r="Y531"/>
      <c r="Z531"/>
      <c r="AA531"/>
      <c r="AB531"/>
      <c r="AL531"/>
      <c r="AM531"/>
      <c r="AN531"/>
      <c r="AO531"/>
    </row>
    <row r="532" spans="1:41" s="2" customFormat="1" x14ac:dyDescent="0.2">
      <c r="A532"/>
      <c r="B532"/>
      <c r="C532"/>
      <c r="D532"/>
      <c r="E532"/>
      <c r="F532"/>
      <c r="G532"/>
      <c r="U532"/>
      <c r="V532"/>
      <c r="W532"/>
      <c r="X532"/>
      <c r="Y532"/>
      <c r="Z532"/>
      <c r="AA532"/>
      <c r="AB532"/>
      <c r="AL532"/>
      <c r="AM532"/>
      <c r="AN532"/>
      <c r="AO532"/>
    </row>
    <row r="533" spans="1:41" s="2" customFormat="1" x14ac:dyDescent="0.2">
      <c r="A533"/>
      <c r="B533"/>
      <c r="C533"/>
      <c r="D533"/>
      <c r="E533"/>
      <c r="F533"/>
      <c r="G533"/>
      <c r="U533"/>
      <c r="V533"/>
      <c r="W533"/>
      <c r="X533"/>
      <c r="Y533"/>
      <c r="Z533"/>
      <c r="AA533"/>
      <c r="AB533"/>
      <c r="AL533"/>
      <c r="AM533"/>
      <c r="AN533"/>
      <c r="AO533"/>
    </row>
    <row r="534" spans="1:41" s="2" customFormat="1" x14ac:dyDescent="0.2">
      <c r="A534"/>
      <c r="B534"/>
      <c r="C534"/>
      <c r="D534"/>
      <c r="E534"/>
      <c r="F534"/>
      <c r="G534"/>
      <c r="U534"/>
      <c r="V534"/>
      <c r="W534"/>
      <c r="X534"/>
      <c r="Y534"/>
      <c r="Z534"/>
      <c r="AA534"/>
      <c r="AB534"/>
      <c r="AL534"/>
      <c r="AM534"/>
      <c r="AN534"/>
      <c r="AO534"/>
    </row>
    <row r="535" spans="1:41" s="2" customFormat="1" x14ac:dyDescent="0.2">
      <c r="A535"/>
      <c r="B535"/>
      <c r="C535"/>
      <c r="D535"/>
      <c r="E535"/>
      <c r="F535"/>
      <c r="G535"/>
      <c r="U535"/>
      <c r="V535"/>
      <c r="W535"/>
      <c r="X535"/>
      <c r="Y535"/>
      <c r="Z535"/>
      <c r="AA535"/>
      <c r="AB535"/>
      <c r="AL535"/>
      <c r="AM535"/>
      <c r="AN535"/>
      <c r="AO535"/>
    </row>
    <row r="536" spans="1:41" s="2" customFormat="1" x14ac:dyDescent="0.2">
      <c r="A536"/>
      <c r="B536"/>
      <c r="C536"/>
      <c r="D536"/>
      <c r="E536"/>
      <c r="F536"/>
      <c r="G536"/>
      <c r="U536"/>
      <c r="V536"/>
      <c r="W536"/>
      <c r="X536"/>
      <c r="Y536"/>
      <c r="Z536"/>
      <c r="AA536"/>
      <c r="AB536"/>
      <c r="AL536"/>
      <c r="AM536"/>
      <c r="AN536"/>
      <c r="AO536"/>
    </row>
    <row r="537" spans="1:41" s="2" customFormat="1" x14ac:dyDescent="0.2">
      <c r="A537"/>
      <c r="B537"/>
      <c r="C537"/>
      <c r="D537"/>
      <c r="E537"/>
      <c r="F537"/>
      <c r="G537"/>
      <c r="U537"/>
      <c r="V537"/>
      <c r="W537"/>
      <c r="X537"/>
      <c r="Y537"/>
      <c r="Z537"/>
      <c r="AA537"/>
      <c r="AB537"/>
      <c r="AL537"/>
      <c r="AM537"/>
      <c r="AN537"/>
      <c r="AO537"/>
    </row>
    <row r="538" spans="1:41" s="2" customFormat="1" x14ac:dyDescent="0.2">
      <c r="A538"/>
      <c r="B538"/>
      <c r="C538"/>
      <c r="D538"/>
      <c r="E538"/>
      <c r="F538"/>
      <c r="G538"/>
      <c r="U538"/>
      <c r="V538"/>
      <c r="W538"/>
      <c r="X538"/>
      <c r="Y538"/>
      <c r="Z538"/>
      <c r="AA538"/>
      <c r="AB538"/>
      <c r="AL538"/>
      <c r="AM538"/>
      <c r="AN538"/>
      <c r="AO538"/>
    </row>
    <row r="539" spans="1:41" s="2" customFormat="1" x14ac:dyDescent="0.2">
      <c r="A539"/>
      <c r="B539"/>
      <c r="C539"/>
      <c r="D539"/>
      <c r="E539"/>
      <c r="F539"/>
      <c r="G539"/>
      <c r="U539"/>
      <c r="V539"/>
      <c r="W539"/>
      <c r="X539"/>
      <c r="Y539"/>
      <c r="Z539"/>
      <c r="AA539"/>
      <c r="AB539"/>
      <c r="AL539"/>
      <c r="AM539"/>
      <c r="AN539"/>
      <c r="AO539"/>
    </row>
    <row r="540" spans="1:41" s="2" customFormat="1" x14ac:dyDescent="0.2">
      <c r="A540"/>
      <c r="B540"/>
      <c r="C540"/>
      <c r="D540"/>
      <c r="E540"/>
      <c r="F540"/>
      <c r="G540"/>
      <c r="U540"/>
      <c r="V540"/>
      <c r="W540"/>
      <c r="X540"/>
      <c r="Y540"/>
      <c r="Z540"/>
      <c r="AA540"/>
      <c r="AB540"/>
      <c r="AL540"/>
      <c r="AM540"/>
      <c r="AN540"/>
      <c r="AO540"/>
    </row>
    <row r="541" spans="1:41" s="2" customFormat="1" x14ac:dyDescent="0.2">
      <c r="A541"/>
      <c r="B541"/>
      <c r="C541"/>
      <c r="D541"/>
      <c r="E541"/>
      <c r="F541"/>
      <c r="G541"/>
      <c r="U541"/>
      <c r="V541"/>
      <c r="W541"/>
      <c r="X541"/>
      <c r="Y541"/>
      <c r="Z541"/>
      <c r="AA541"/>
      <c r="AB541"/>
      <c r="AL541"/>
      <c r="AM541"/>
      <c r="AN541"/>
      <c r="AO541"/>
    </row>
    <row r="542" spans="1:41" s="2" customFormat="1" x14ac:dyDescent="0.2">
      <c r="A542"/>
      <c r="B542"/>
      <c r="C542"/>
      <c r="D542"/>
      <c r="E542"/>
      <c r="F542"/>
      <c r="G542"/>
      <c r="U542"/>
      <c r="V542"/>
      <c r="W542"/>
      <c r="X542"/>
      <c r="Y542"/>
      <c r="Z542"/>
      <c r="AA542"/>
      <c r="AB542"/>
      <c r="AL542"/>
      <c r="AM542"/>
      <c r="AN542"/>
      <c r="AO542"/>
    </row>
    <row r="543" spans="1:41" s="2" customFormat="1" x14ac:dyDescent="0.2">
      <c r="A543"/>
      <c r="B543"/>
      <c r="C543"/>
      <c r="D543"/>
      <c r="E543"/>
      <c r="F543"/>
      <c r="G543"/>
      <c r="U543"/>
      <c r="V543"/>
      <c r="W543"/>
      <c r="X543"/>
      <c r="Y543"/>
      <c r="Z543"/>
      <c r="AA543"/>
      <c r="AB543"/>
      <c r="AL543"/>
      <c r="AM543"/>
      <c r="AN543"/>
      <c r="AO543"/>
    </row>
    <row r="544" spans="1:41" s="2" customFormat="1" x14ac:dyDescent="0.2">
      <c r="A544"/>
      <c r="B544"/>
      <c r="C544"/>
      <c r="D544"/>
      <c r="E544"/>
      <c r="F544"/>
      <c r="G544"/>
      <c r="U544"/>
      <c r="V544"/>
      <c r="W544"/>
      <c r="X544"/>
      <c r="Y544"/>
      <c r="Z544"/>
      <c r="AA544"/>
      <c r="AB544"/>
      <c r="AL544"/>
      <c r="AM544"/>
      <c r="AN544"/>
      <c r="AO544"/>
    </row>
    <row r="545" spans="1:41" s="2" customFormat="1" x14ac:dyDescent="0.2">
      <c r="A545"/>
      <c r="B545"/>
      <c r="C545"/>
      <c r="D545"/>
      <c r="E545"/>
      <c r="F545"/>
      <c r="G545"/>
      <c r="U545"/>
      <c r="V545"/>
      <c r="W545"/>
      <c r="X545"/>
      <c r="Y545"/>
      <c r="Z545"/>
      <c r="AA545"/>
      <c r="AB545"/>
      <c r="AL545"/>
      <c r="AM545"/>
      <c r="AN545"/>
      <c r="AO545"/>
    </row>
    <row r="546" spans="1:41" s="2" customFormat="1" x14ac:dyDescent="0.2">
      <c r="A546"/>
      <c r="B546"/>
      <c r="C546"/>
      <c r="D546"/>
      <c r="E546"/>
      <c r="F546"/>
      <c r="G546"/>
      <c r="U546"/>
      <c r="V546"/>
      <c r="W546"/>
      <c r="X546"/>
      <c r="Y546"/>
      <c r="Z546"/>
      <c r="AA546"/>
      <c r="AB546"/>
      <c r="AL546"/>
      <c r="AM546"/>
      <c r="AN546"/>
      <c r="AO546"/>
    </row>
    <row r="547" spans="1:41" s="2" customFormat="1" x14ac:dyDescent="0.2">
      <c r="A547"/>
      <c r="B547"/>
      <c r="C547"/>
      <c r="D547"/>
      <c r="E547"/>
      <c r="F547"/>
      <c r="G547"/>
      <c r="U547"/>
      <c r="V547"/>
      <c r="W547"/>
      <c r="X547"/>
      <c r="Y547"/>
      <c r="Z547"/>
      <c r="AA547"/>
      <c r="AB547"/>
      <c r="AL547"/>
      <c r="AM547"/>
      <c r="AN547"/>
      <c r="AO547"/>
    </row>
    <row r="548" spans="1:41" s="2" customFormat="1" x14ac:dyDescent="0.2">
      <c r="A548"/>
      <c r="B548"/>
      <c r="C548"/>
      <c r="D548"/>
      <c r="E548"/>
      <c r="F548"/>
      <c r="G548"/>
      <c r="U548"/>
      <c r="V548"/>
      <c r="W548"/>
      <c r="X548"/>
      <c r="Y548"/>
      <c r="Z548"/>
      <c r="AA548"/>
      <c r="AB548"/>
      <c r="AL548"/>
      <c r="AM548"/>
      <c r="AN548"/>
      <c r="AO548"/>
    </row>
    <row r="549" spans="1:41" s="2" customFormat="1" x14ac:dyDescent="0.2">
      <c r="A549"/>
      <c r="B549"/>
      <c r="C549"/>
      <c r="D549"/>
      <c r="E549"/>
      <c r="F549"/>
      <c r="G549"/>
      <c r="U549"/>
      <c r="V549"/>
      <c r="W549"/>
      <c r="X549"/>
      <c r="Y549"/>
      <c r="Z549"/>
      <c r="AA549"/>
      <c r="AB549"/>
      <c r="AL549"/>
      <c r="AM549"/>
      <c r="AN549"/>
      <c r="AO549"/>
    </row>
    <row r="550" spans="1:41" s="2" customFormat="1" x14ac:dyDescent="0.2">
      <c r="A550"/>
      <c r="B550"/>
      <c r="C550"/>
      <c r="D550"/>
      <c r="E550"/>
      <c r="F550"/>
      <c r="G550"/>
      <c r="U550"/>
      <c r="V550"/>
      <c r="W550"/>
      <c r="X550"/>
      <c r="Y550"/>
      <c r="Z550"/>
      <c r="AA550"/>
      <c r="AB550"/>
      <c r="AL550"/>
      <c r="AM550"/>
      <c r="AN550"/>
      <c r="AO550"/>
    </row>
    <row r="551" spans="1:41" s="2" customFormat="1" x14ac:dyDescent="0.2">
      <c r="A551"/>
      <c r="B551"/>
      <c r="C551"/>
      <c r="D551"/>
      <c r="E551"/>
      <c r="F551"/>
      <c r="G551"/>
      <c r="U551"/>
      <c r="V551"/>
      <c r="W551"/>
      <c r="X551"/>
      <c r="Y551"/>
      <c r="Z551"/>
      <c r="AA551"/>
      <c r="AB551"/>
      <c r="AL551"/>
      <c r="AM551"/>
      <c r="AN551"/>
      <c r="AO551"/>
    </row>
    <row r="552" spans="1:41" s="2" customFormat="1" x14ac:dyDescent="0.2">
      <c r="A552"/>
      <c r="B552"/>
      <c r="C552"/>
      <c r="D552"/>
      <c r="E552"/>
      <c r="F552"/>
      <c r="G552"/>
      <c r="U552"/>
      <c r="V552"/>
      <c r="W552"/>
      <c r="X552"/>
      <c r="Y552"/>
      <c r="Z552"/>
      <c r="AA552"/>
      <c r="AB552"/>
      <c r="AL552"/>
      <c r="AM552"/>
      <c r="AN552"/>
      <c r="AO552"/>
    </row>
    <row r="553" spans="1:41" s="2" customFormat="1" x14ac:dyDescent="0.2">
      <c r="A553"/>
      <c r="B553"/>
      <c r="C553"/>
      <c r="D553"/>
      <c r="E553"/>
      <c r="F553"/>
      <c r="G553"/>
      <c r="U553"/>
      <c r="V553"/>
      <c r="W553"/>
      <c r="X553"/>
      <c r="Y553"/>
      <c r="Z553"/>
      <c r="AA553"/>
      <c r="AB553"/>
      <c r="AL553"/>
      <c r="AM553"/>
      <c r="AN553"/>
      <c r="AO553"/>
    </row>
    <row r="554" spans="1:41" s="2" customFormat="1" x14ac:dyDescent="0.2">
      <c r="A554"/>
      <c r="B554"/>
      <c r="C554"/>
      <c r="D554"/>
      <c r="E554"/>
      <c r="F554"/>
      <c r="G554"/>
      <c r="U554"/>
      <c r="V554"/>
      <c r="W554"/>
      <c r="X554"/>
      <c r="Y554"/>
      <c r="Z554"/>
      <c r="AA554"/>
      <c r="AB554"/>
      <c r="AL554"/>
      <c r="AM554"/>
      <c r="AN554"/>
      <c r="AO554"/>
    </row>
    <row r="555" spans="1:41" s="2" customFormat="1" x14ac:dyDescent="0.2">
      <c r="A555"/>
      <c r="B555"/>
      <c r="C555"/>
      <c r="D555"/>
      <c r="E555"/>
      <c r="F555"/>
      <c r="G555"/>
      <c r="U555"/>
      <c r="V555"/>
      <c r="W555"/>
      <c r="X555"/>
      <c r="Y555"/>
      <c r="Z555"/>
      <c r="AA555"/>
      <c r="AB555"/>
      <c r="AL555"/>
      <c r="AM555"/>
      <c r="AN555"/>
      <c r="AO555"/>
    </row>
    <row r="556" spans="1:41" s="2" customFormat="1" x14ac:dyDescent="0.2">
      <c r="A556"/>
      <c r="B556"/>
      <c r="C556"/>
      <c r="D556"/>
      <c r="E556"/>
      <c r="F556"/>
      <c r="G556"/>
      <c r="U556"/>
      <c r="V556"/>
      <c r="W556"/>
      <c r="X556"/>
      <c r="Y556"/>
      <c r="Z556"/>
      <c r="AA556"/>
      <c r="AB556"/>
      <c r="AL556"/>
      <c r="AM556"/>
      <c r="AN556"/>
      <c r="AO556"/>
    </row>
    <row r="557" spans="1:41" s="2" customFormat="1" x14ac:dyDescent="0.2">
      <c r="A557"/>
      <c r="B557"/>
      <c r="C557"/>
      <c r="D557"/>
      <c r="E557"/>
      <c r="F557"/>
      <c r="G557"/>
      <c r="U557"/>
      <c r="V557"/>
      <c r="W557"/>
      <c r="X557"/>
      <c r="Y557"/>
      <c r="Z557"/>
      <c r="AA557"/>
      <c r="AB557"/>
      <c r="AL557"/>
      <c r="AM557"/>
      <c r="AN557"/>
      <c r="AO557"/>
    </row>
    <row r="558" spans="1:41" s="2" customFormat="1" x14ac:dyDescent="0.2">
      <c r="A558"/>
      <c r="B558"/>
      <c r="C558"/>
      <c r="D558"/>
      <c r="E558"/>
      <c r="F558"/>
      <c r="G558"/>
      <c r="U558"/>
      <c r="V558"/>
      <c r="W558"/>
      <c r="X558"/>
      <c r="Y558"/>
      <c r="Z558"/>
      <c r="AA558"/>
      <c r="AB558"/>
      <c r="AL558"/>
      <c r="AM558"/>
      <c r="AN558"/>
      <c r="AO558"/>
    </row>
    <row r="559" spans="1:41" s="2" customFormat="1" x14ac:dyDescent="0.2">
      <c r="A559"/>
      <c r="B559"/>
      <c r="C559"/>
      <c r="D559"/>
      <c r="E559"/>
      <c r="F559"/>
      <c r="G559"/>
      <c r="U559"/>
      <c r="V559"/>
      <c r="W559"/>
      <c r="X559"/>
      <c r="Y559"/>
      <c r="Z559"/>
      <c r="AA559"/>
      <c r="AB559"/>
      <c r="AL559"/>
      <c r="AM559"/>
      <c r="AN559"/>
      <c r="AO559"/>
    </row>
    <row r="560" spans="1:41" s="2" customFormat="1" x14ac:dyDescent="0.2">
      <c r="A560"/>
      <c r="B560"/>
      <c r="C560"/>
      <c r="D560"/>
      <c r="E560"/>
      <c r="F560"/>
      <c r="G560"/>
      <c r="U560"/>
      <c r="V560"/>
      <c r="W560"/>
      <c r="X560"/>
      <c r="Y560"/>
      <c r="Z560"/>
      <c r="AA560"/>
      <c r="AB560"/>
      <c r="AL560"/>
      <c r="AM560"/>
      <c r="AN560"/>
      <c r="AO560"/>
    </row>
    <row r="561" spans="1:41" s="2" customFormat="1" x14ac:dyDescent="0.2">
      <c r="A561"/>
      <c r="B561"/>
      <c r="C561"/>
      <c r="D561"/>
      <c r="E561"/>
      <c r="F561"/>
      <c r="G561"/>
      <c r="U561"/>
      <c r="V561"/>
      <c r="W561"/>
      <c r="X561"/>
      <c r="Y561"/>
      <c r="Z561"/>
      <c r="AA561"/>
      <c r="AB561"/>
      <c r="AL561"/>
      <c r="AM561"/>
      <c r="AN561"/>
      <c r="AO561"/>
    </row>
    <row r="562" spans="1:41" s="2" customFormat="1" x14ac:dyDescent="0.2">
      <c r="A562"/>
      <c r="B562"/>
      <c r="C562"/>
      <c r="D562"/>
      <c r="E562"/>
      <c r="F562"/>
      <c r="G562"/>
      <c r="U562"/>
      <c r="V562"/>
      <c r="W562"/>
      <c r="X562"/>
      <c r="Y562"/>
      <c r="Z562"/>
      <c r="AA562"/>
      <c r="AB562"/>
      <c r="AL562"/>
      <c r="AM562"/>
      <c r="AN562"/>
      <c r="AO562"/>
    </row>
    <row r="563" spans="1:41" s="2" customFormat="1" x14ac:dyDescent="0.2">
      <c r="A563"/>
      <c r="B563"/>
      <c r="C563"/>
      <c r="D563"/>
      <c r="E563"/>
      <c r="F563"/>
      <c r="G563"/>
      <c r="U563"/>
      <c r="V563"/>
      <c r="W563"/>
      <c r="X563"/>
      <c r="Y563"/>
      <c r="Z563"/>
      <c r="AA563"/>
      <c r="AB563"/>
      <c r="AL563"/>
      <c r="AM563"/>
      <c r="AN563"/>
      <c r="AO563"/>
    </row>
    <row r="564" spans="1:41" s="2" customFormat="1" x14ac:dyDescent="0.2">
      <c r="A564"/>
      <c r="B564"/>
      <c r="C564"/>
      <c r="D564"/>
      <c r="E564"/>
      <c r="F564"/>
      <c r="G564"/>
      <c r="U564"/>
      <c r="V564"/>
      <c r="W564"/>
      <c r="X564"/>
      <c r="Y564"/>
      <c r="Z564"/>
      <c r="AA564"/>
      <c r="AB564"/>
      <c r="AL564"/>
      <c r="AM564"/>
      <c r="AN564"/>
      <c r="AO564"/>
    </row>
    <row r="565" spans="1:41" s="2" customFormat="1" x14ac:dyDescent="0.2">
      <c r="A565"/>
      <c r="B565"/>
      <c r="C565"/>
      <c r="D565"/>
      <c r="E565"/>
      <c r="F565"/>
      <c r="G565"/>
      <c r="U565"/>
      <c r="V565"/>
      <c r="W565"/>
      <c r="X565"/>
      <c r="Y565"/>
      <c r="Z565"/>
      <c r="AA565"/>
      <c r="AB565"/>
      <c r="AL565"/>
      <c r="AM565"/>
      <c r="AN565"/>
      <c r="AO565"/>
    </row>
    <row r="566" spans="1:41" s="2" customFormat="1" x14ac:dyDescent="0.2">
      <c r="A566"/>
      <c r="B566"/>
      <c r="C566"/>
      <c r="D566"/>
      <c r="E566"/>
      <c r="F566"/>
      <c r="G566"/>
      <c r="U566"/>
      <c r="V566"/>
      <c r="W566"/>
      <c r="X566"/>
      <c r="Y566"/>
      <c r="Z566"/>
      <c r="AA566"/>
      <c r="AB566"/>
      <c r="AL566"/>
      <c r="AM566"/>
      <c r="AN566"/>
      <c r="AO566"/>
    </row>
    <row r="567" spans="1:41" s="2" customFormat="1" x14ac:dyDescent="0.2">
      <c r="A567"/>
      <c r="B567"/>
      <c r="C567"/>
      <c r="D567"/>
      <c r="E567"/>
      <c r="F567"/>
      <c r="G567"/>
      <c r="U567"/>
      <c r="V567"/>
      <c r="W567"/>
      <c r="X567"/>
      <c r="Y567"/>
      <c r="Z567"/>
      <c r="AA567"/>
      <c r="AB567"/>
      <c r="AL567"/>
      <c r="AM567"/>
      <c r="AN567"/>
      <c r="AO567"/>
    </row>
    <row r="568" spans="1:41" s="2" customFormat="1" x14ac:dyDescent="0.2">
      <c r="A568"/>
      <c r="B568"/>
      <c r="C568"/>
      <c r="D568"/>
      <c r="E568"/>
      <c r="F568"/>
      <c r="G568"/>
      <c r="U568"/>
      <c r="V568"/>
      <c r="W568"/>
      <c r="X568"/>
      <c r="Y568"/>
      <c r="Z568"/>
      <c r="AA568"/>
      <c r="AB568"/>
      <c r="AL568"/>
      <c r="AM568"/>
      <c r="AN568"/>
      <c r="AO568"/>
    </row>
    <row r="569" spans="1:41" s="2" customFormat="1" x14ac:dyDescent="0.2">
      <c r="A569"/>
      <c r="B569"/>
      <c r="C569"/>
      <c r="D569"/>
      <c r="E569"/>
      <c r="F569"/>
      <c r="G569"/>
      <c r="U569"/>
      <c r="V569"/>
      <c r="W569"/>
      <c r="X569"/>
      <c r="Y569"/>
      <c r="Z569"/>
      <c r="AA569"/>
      <c r="AB569"/>
      <c r="AL569"/>
      <c r="AM569"/>
      <c r="AN569"/>
      <c r="AO569"/>
    </row>
    <row r="570" spans="1:41" s="2" customFormat="1" x14ac:dyDescent="0.2">
      <c r="A570"/>
      <c r="B570"/>
      <c r="C570"/>
      <c r="D570"/>
      <c r="E570"/>
      <c r="F570"/>
      <c r="G570"/>
      <c r="U570"/>
      <c r="V570"/>
      <c r="W570"/>
      <c r="X570"/>
      <c r="Y570"/>
      <c r="Z570"/>
      <c r="AA570"/>
      <c r="AB570"/>
      <c r="AL570"/>
      <c r="AM570"/>
      <c r="AN570"/>
      <c r="AO570"/>
    </row>
    <row r="571" spans="1:41" s="2" customFormat="1" x14ac:dyDescent="0.2">
      <c r="A571"/>
      <c r="B571"/>
      <c r="C571"/>
      <c r="D571"/>
      <c r="E571"/>
      <c r="F571"/>
      <c r="G571"/>
      <c r="U571"/>
      <c r="V571"/>
      <c r="W571"/>
      <c r="X571"/>
      <c r="Y571"/>
      <c r="Z571"/>
      <c r="AA571"/>
      <c r="AB571"/>
      <c r="AL571"/>
      <c r="AM571"/>
      <c r="AN571"/>
      <c r="AO571"/>
    </row>
    <row r="572" spans="1:41" s="2" customFormat="1" x14ac:dyDescent="0.2">
      <c r="A572"/>
      <c r="B572"/>
      <c r="C572"/>
      <c r="D572"/>
      <c r="E572"/>
      <c r="F572"/>
      <c r="G572"/>
      <c r="U572"/>
      <c r="V572"/>
      <c r="W572"/>
      <c r="X572"/>
      <c r="Y572"/>
      <c r="Z572"/>
      <c r="AA572"/>
      <c r="AB572"/>
      <c r="AL572"/>
      <c r="AM572"/>
      <c r="AN572"/>
      <c r="AO572"/>
    </row>
    <row r="573" spans="1:41" s="2" customFormat="1" x14ac:dyDescent="0.2">
      <c r="A573"/>
      <c r="B573"/>
      <c r="C573"/>
      <c r="D573"/>
      <c r="E573"/>
      <c r="F573"/>
      <c r="G573"/>
      <c r="U573"/>
      <c r="V573"/>
      <c r="W573"/>
      <c r="X573"/>
      <c r="Y573"/>
      <c r="Z573"/>
      <c r="AA573"/>
      <c r="AB573"/>
      <c r="AL573"/>
      <c r="AM573"/>
      <c r="AN573"/>
      <c r="AO573"/>
    </row>
    <row r="574" spans="1:41" s="2" customFormat="1" x14ac:dyDescent="0.2">
      <c r="A574"/>
      <c r="B574"/>
      <c r="C574"/>
      <c r="D574"/>
      <c r="E574"/>
      <c r="F574"/>
      <c r="G574"/>
      <c r="U574"/>
      <c r="V574"/>
      <c r="W574"/>
      <c r="X574"/>
      <c r="Y574"/>
      <c r="Z574"/>
      <c r="AA574"/>
      <c r="AB574"/>
      <c r="AL574"/>
      <c r="AM574"/>
      <c r="AN574"/>
      <c r="AO574"/>
    </row>
    <row r="575" spans="1:41" s="2" customFormat="1" x14ac:dyDescent="0.2">
      <c r="A575"/>
      <c r="B575"/>
      <c r="C575"/>
      <c r="D575"/>
      <c r="E575"/>
      <c r="F575"/>
      <c r="G575"/>
      <c r="U575"/>
      <c r="V575"/>
      <c r="W575"/>
      <c r="X575"/>
      <c r="Y575"/>
      <c r="Z575"/>
      <c r="AA575"/>
      <c r="AB575"/>
      <c r="AL575"/>
      <c r="AM575"/>
      <c r="AN575"/>
      <c r="AO575"/>
    </row>
    <row r="576" spans="1:41" s="2" customFormat="1" x14ac:dyDescent="0.2">
      <c r="A576"/>
      <c r="B576"/>
      <c r="C576"/>
      <c r="D576"/>
      <c r="E576"/>
      <c r="F576"/>
      <c r="G576"/>
      <c r="U576"/>
      <c r="V576"/>
      <c r="W576"/>
      <c r="X576"/>
      <c r="Y576"/>
      <c r="Z576"/>
      <c r="AA576"/>
      <c r="AB576"/>
      <c r="AL576"/>
      <c r="AM576"/>
      <c r="AN576"/>
      <c r="AO576"/>
    </row>
    <row r="577" spans="1:41" s="2" customFormat="1" x14ac:dyDescent="0.2">
      <c r="A577"/>
      <c r="B577"/>
      <c r="C577"/>
      <c r="D577"/>
      <c r="E577"/>
      <c r="F577"/>
      <c r="G577"/>
      <c r="U577"/>
      <c r="V577"/>
      <c r="W577"/>
      <c r="X577"/>
      <c r="Y577"/>
      <c r="Z577"/>
      <c r="AA577"/>
      <c r="AB577"/>
      <c r="AL577"/>
      <c r="AM577"/>
      <c r="AN577"/>
      <c r="AO577"/>
    </row>
    <row r="578" spans="1:41" s="2" customFormat="1" x14ac:dyDescent="0.2">
      <c r="A578"/>
      <c r="B578"/>
      <c r="C578"/>
      <c r="D578"/>
      <c r="E578"/>
      <c r="F578"/>
      <c r="G578"/>
      <c r="U578"/>
      <c r="V578"/>
      <c r="W578"/>
      <c r="X578"/>
      <c r="Y578"/>
      <c r="Z578"/>
      <c r="AA578"/>
      <c r="AB578"/>
      <c r="AL578"/>
      <c r="AM578"/>
      <c r="AN578"/>
      <c r="AO578"/>
    </row>
    <row r="579" spans="1:41" s="2" customFormat="1" x14ac:dyDescent="0.2">
      <c r="A579"/>
      <c r="B579"/>
      <c r="C579"/>
      <c r="D579"/>
      <c r="E579"/>
      <c r="F579"/>
      <c r="G579"/>
      <c r="U579"/>
      <c r="V579"/>
      <c r="W579"/>
      <c r="X579"/>
      <c r="Y579"/>
      <c r="Z579"/>
      <c r="AA579"/>
      <c r="AB579"/>
      <c r="AL579"/>
      <c r="AM579"/>
      <c r="AN579"/>
      <c r="AO579"/>
    </row>
    <row r="580" spans="1:41" s="2" customFormat="1" x14ac:dyDescent="0.2">
      <c r="A580"/>
      <c r="B580"/>
      <c r="C580"/>
      <c r="D580"/>
      <c r="E580"/>
      <c r="F580"/>
      <c r="G580"/>
      <c r="U580"/>
      <c r="V580"/>
      <c r="W580"/>
      <c r="X580"/>
      <c r="Y580"/>
      <c r="Z580"/>
      <c r="AA580"/>
      <c r="AB580"/>
      <c r="AL580"/>
      <c r="AM580"/>
      <c r="AN580"/>
      <c r="AO580"/>
    </row>
    <row r="581" spans="1:41" s="2" customFormat="1" x14ac:dyDescent="0.2">
      <c r="A581"/>
      <c r="B581"/>
      <c r="C581"/>
      <c r="D581"/>
      <c r="E581"/>
      <c r="F581"/>
      <c r="G581"/>
      <c r="U581"/>
      <c r="V581"/>
      <c r="W581"/>
      <c r="X581"/>
      <c r="Y581"/>
      <c r="Z581"/>
      <c r="AA581"/>
      <c r="AB581"/>
      <c r="AL581"/>
      <c r="AM581"/>
      <c r="AN581"/>
      <c r="AO581"/>
    </row>
    <row r="582" spans="1:41" s="2" customFormat="1" x14ac:dyDescent="0.2">
      <c r="A582"/>
      <c r="B582"/>
      <c r="C582"/>
      <c r="D582"/>
      <c r="E582"/>
      <c r="F582"/>
      <c r="G582"/>
      <c r="U582"/>
      <c r="V582"/>
      <c r="W582"/>
      <c r="X582"/>
      <c r="Y582"/>
      <c r="Z582"/>
      <c r="AA582"/>
      <c r="AB582"/>
      <c r="AL582"/>
      <c r="AM582"/>
      <c r="AN582"/>
      <c r="AO582"/>
    </row>
    <row r="583" spans="1:41" s="2" customFormat="1" x14ac:dyDescent="0.2">
      <c r="A583"/>
      <c r="B583"/>
      <c r="C583"/>
      <c r="D583"/>
      <c r="E583"/>
      <c r="F583"/>
      <c r="G583"/>
      <c r="U583"/>
      <c r="V583"/>
      <c r="W583"/>
      <c r="X583"/>
      <c r="Y583"/>
      <c r="Z583"/>
      <c r="AA583"/>
      <c r="AB583"/>
      <c r="AL583"/>
      <c r="AM583"/>
      <c r="AN583"/>
      <c r="AO583"/>
    </row>
    <row r="584" spans="1:41" s="2" customFormat="1" x14ac:dyDescent="0.2">
      <c r="A584"/>
      <c r="B584"/>
      <c r="C584"/>
      <c r="D584"/>
      <c r="E584"/>
      <c r="F584"/>
      <c r="G584"/>
      <c r="U584"/>
      <c r="V584"/>
      <c r="W584"/>
      <c r="X584"/>
      <c r="Y584"/>
      <c r="Z584"/>
      <c r="AA584"/>
      <c r="AB584"/>
      <c r="AL584"/>
      <c r="AM584"/>
      <c r="AN584"/>
      <c r="AO584"/>
    </row>
    <row r="585" spans="1:41" s="2" customFormat="1" x14ac:dyDescent="0.2">
      <c r="A585"/>
      <c r="B585"/>
      <c r="C585"/>
      <c r="D585"/>
      <c r="E585"/>
      <c r="F585"/>
      <c r="G585"/>
      <c r="U585"/>
      <c r="V585"/>
      <c r="W585"/>
      <c r="X585"/>
      <c r="Y585"/>
      <c r="Z585"/>
      <c r="AA585"/>
      <c r="AB585"/>
      <c r="AL585"/>
      <c r="AM585"/>
      <c r="AN585"/>
      <c r="AO585"/>
    </row>
    <row r="586" spans="1:41" s="2" customFormat="1" x14ac:dyDescent="0.2">
      <c r="A586"/>
      <c r="B586"/>
      <c r="C586"/>
      <c r="D586"/>
      <c r="E586"/>
      <c r="F586"/>
      <c r="G586"/>
      <c r="U586"/>
      <c r="V586"/>
      <c r="W586"/>
      <c r="X586"/>
      <c r="Y586"/>
      <c r="Z586"/>
      <c r="AA586"/>
      <c r="AB586"/>
      <c r="AL586"/>
      <c r="AM586"/>
      <c r="AN586"/>
      <c r="AO586"/>
    </row>
    <row r="587" spans="1:41" s="2" customFormat="1" x14ac:dyDescent="0.2">
      <c r="A587"/>
      <c r="B587"/>
      <c r="C587"/>
      <c r="D587"/>
      <c r="E587"/>
      <c r="F587"/>
      <c r="G587"/>
      <c r="U587"/>
      <c r="V587"/>
      <c r="W587"/>
      <c r="X587"/>
      <c r="Y587"/>
      <c r="Z587"/>
      <c r="AA587"/>
      <c r="AB587"/>
      <c r="AL587"/>
      <c r="AM587"/>
      <c r="AN587"/>
      <c r="AO587"/>
    </row>
    <row r="588" spans="1:41" s="2" customFormat="1" x14ac:dyDescent="0.2">
      <c r="A588"/>
      <c r="B588"/>
      <c r="C588"/>
      <c r="D588"/>
      <c r="E588"/>
      <c r="F588"/>
      <c r="G588"/>
      <c r="U588"/>
      <c r="V588"/>
      <c r="W588"/>
      <c r="X588"/>
      <c r="Y588"/>
      <c r="Z588"/>
      <c r="AA588"/>
      <c r="AB588"/>
      <c r="AL588"/>
      <c r="AM588"/>
      <c r="AN588"/>
      <c r="AO588"/>
    </row>
    <row r="589" spans="1:41" s="2" customFormat="1" x14ac:dyDescent="0.2">
      <c r="A589"/>
      <c r="B589"/>
      <c r="C589"/>
      <c r="D589"/>
      <c r="E589"/>
      <c r="F589"/>
      <c r="G589"/>
      <c r="U589"/>
      <c r="V589"/>
      <c r="W589"/>
      <c r="X589"/>
      <c r="Y589"/>
      <c r="Z589"/>
      <c r="AA589"/>
      <c r="AB589"/>
      <c r="AL589"/>
      <c r="AM589"/>
      <c r="AN589"/>
      <c r="AO589"/>
    </row>
    <row r="590" spans="1:41" s="2" customFormat="1" x14ac:dyDescent="0.2">
      <c r="A590"/>
      <c r="B590"/>
      <c r="C590"/>
      <c r="D590"/>
      <c r="E590"/>
      <c r="F590"/>
      <c r="G590"/>
      <c r="U590"/>
      <c r="V590"/>
      <c r="W590"/>
      <c r="X590"/>
      <c r="Y590"/>
      <c r="Z590"/>
      <c r="AA590"/>
      <c r="AB590"/>
      <c r="AL590"/>
      <c r="AM590"/>
      <c r="AN590"/>
      <c r="AO590"/>
    </row>
    <row r="591" spans="1:41" s="2" customFormat="1" x14ac:dyDescent="0.2">
      <c r="A591"/>
      <c r="B591"/>
      <c r="C591"/>
      <c r="D591"/>
      <c r="E591"/>
      <c r="F591"/>
      <c r="G591"/>
      <c r="U591"/>
      <c r="V591"/>
      <c r="W591"/>
      <c r="X591"/>
      <c r="Y591"/>
      <c r="Z591"/>
      <c r="AA591"/>
      <c r="AB591"/>
      <c r="AL591"/>
      <c r="AM591"/>
      <c r="AN591"/>
      <c r="AO591"/>
    </row>
    <row r="592" spans="1:41" s="2" customFormat="1" x14ac:dyDescent="0.2">
      <c r="A592"/>
      <c r="B592"/>
      <c r="C592"/>
      <c r="D592"/>
      <c r="E592"/>
      <c r="F592"/>
      <c r="G592"/>
      <c r="U592"/>
      <c r="V592"/>
      <c r="W592"/>
      <c r="X592"/>
      <c r="Y592"/>
      <c r="Z592"/>
      <c r="AA592"/>
      <c r="AB592"/>
      <c r="AL592"/>
      <c r="AM592"/>
      <c r="AN592"/>
      <c r="AO592"/>
    </row>
    <row r="593" spans="1:41" s="2" customFormat="1" x14ac:dyDescent="0.2">
      <c r="A593"/>
      <c r="B593"/>
      <c r="C593"/>
      <c r="D593"/>
      <c r="E593"/>
      <c r="F593"/>
      <c r="G593"/>
      <c r="U593"/>
      <c r="V593"/>
      <c r="W593"/>
      <c r="X593"/>
      <c r="Y593"/>
      <c r="Z593"/>
      <c r="AA593"/>
      <c r="AB593"/>
      <c r="AL593"/>
      <c r="AM593"/>
      <c r="AN593"/>
      <c r="AO593"/>
    </row>
    <row r="594" spans="1:41" s="2" customFormat="1" x14ac:dyDescent="0.2">
      <c r="A594"/>
      <c r="B594"/>
      <c r="C594"/>
      <c r="D594"/>
      <c r="E594"/>
      <c r="F594"/>
      <c r="G594"/>
      <c r="U594"/>
      <c r="V594"/>
      <c r="W594"/>
      <c r="X594"/>
      <c r="Y594"/>
      <c r="Z594"/>
      <c r="AA594"/>
      <c r="AB594"/>
      <c r="AL594"/>
      <c r="AM594"/>
      <c r="AN594"/>
      <c r="AO594"/>
    </row>
    <row r="595" spans="1:41" s="2" customFormat="1" x14ac:dyDescent="0.2">
      <c r="A595"/>
      <c r="B595"/>
      <c r="C595"/>
      <c r="D595"/>
      <c r="E595"/>
      <c r="F595"/>
      <c r="G595"/>
      <c r="U595"/>
      <c r="V595"/>
      <c r="W595"/>
      <c r="X595"/>
      <c r="Y595"/>
      <c r="Z595"/>
      <c r="AA595"/>
      <c r="AB595"/>
      <c r="AL595"/>
      <c r="AM595"/>
      <c r="AN595"/>
      <c r="AO595"/>
    </row>
    <row r="596" spans="1:41" s="2" customFormat="1" x14ac:dyDescent="0.2">
      <c r="A596"/>
      <c r="B596"/>
      <c r="C596"/>
      <c r="D596"/>
      <c r="E596"/>
      <c r="F596"/>
      <c r="G596"/>
      <c r="U596"/>
      <c r="V596"/>
      <c r="W596"/>
      <c r="X596"/>
      <c r="Y596"/>
      <c r="Z596"/>
      <c r="AA596"/>
      <c r="AB596"/>
      <c r="AL596"/>
      <c r="AM596"/>
      <c r="AN596"/>
      <c r="AO596"/>
    </row>
    <row r="597" spans="1:41" s="2" customFormat="1" x14ac:dyDescent="0.2">
      <c r="A597"/>
      <c r="B597"/>
      <c r="C597"/>
      <c r="D597"/>
      <c r="E597"/>
      <c r="F597"/>
      <c r="G597"/>
      <c r="U597"/>
      <c r="V597"/>
      <c r="W597"/>
      <c r="X597"/>
      <c r="Y597"/>
      <c r="Z597"/>
      <c r="AA597"/>
      <c r="AB597"/>
      <c r="AL597"/>
      <c r="AM597"/>
      <c r="AN597"/>
      <c r="AO597"/>
    </row>
    <row r="598" spans="1:41" s="2" customFormat="1" x14ac:dyDescent="0.2">
      <c r="A598"/>
      <c r="B598"/>
      <c r="C598"/>
      <c r="D598"/>
      <c r="E598"/>
      <c r="F598"/>
      <c r="G598"/>
      <c r="U598"/>
      <c r="V598"/>
      <c r="W598"/>
      <c r="X598"/>
      <c r="Y598"/>
      <c r="Z598"/>
      <c r="AA598"/>
      <c r="AB598"/>
      <c r="AL598"/>
      <c r="AM598"/>
      <c r="AN598"/>
      <c r="AO598"/>
    </row>
    <row r="599" spans="1:41" s="2" customFormat="1" x14ac:dyDescent="0.2">
      <c r="A599"/>
      <c r="B599"/>
      <c r="C599"/>
      <c r="D599"/>
      <c r="E599"/>
      <c r="F599"/>
      <c r="G599"/>
      <c r="U599"/>
      <c r="V599"/>
      <c r="W599"/>
      <c r="X599"/>
      <c r="Y599"/>
      <c r="Z599"/>
      <c r="AA599"/>
      <c r="AB599"/>
      <c r="AL599"/>
      <c r="AM599"/>
      <c r="AN599"/>
      <c r="AO599"/>
    </row>
    <row r="600" spans="1:41" s="2" customFormat="1" x14ac:dyDescent="0.2">
      <c r="A600"/>
      <c r="B600"/>
      <c r="C600"/>
      <c r="D600"/>
      <c r="E600"/>
      <c r="F600"/>
      <c r="G600"/>
      <c r="U600"/>
      <c r="V600"/>
      <c r="W600"/>
      <c r="X600"/>
      <c r="Y600"/>
      <c r="Z600"/>
      <c r="AA600"/>
      <c r="AB600"/>
      <c r="AL600"/>
      <c r="AM600"/>
      <c r="AN600"/>
      <c r="AO600"/>
    </row>
    <row r="601" spans="1:41" s="2" customFormat="1" x14ac:dyDescent="0.2">
      <c r="A601"/>
      <c r="B601"/>
      <c r="C601"/>
      <c r="D601"/>
      <c r="E601"/>
      <c r="F601"/>
      <c r="G601"/>
      <c r="U601"/>
      <c r="V601"/>
      <c r="W601"/>
      <c r="X601"/>
      <c r="Y601"/>
      <c r="Z601"/>
      <c r="AA601"/>
      <c r="AB601"/>
      <c r="AL601"/>
      <c r="AM601"/>
      <c r="AN601"/>
      <c r="AO601"/>
    </row>
    <row r="602" spans="1:41" s="2" customFormat="1" x14ac:dyDescent="0.2">
      <c r="A602"/>
      <c r="B602"/>
      <c r="C602"/>
      <c r="D602"/>
      <c r="E602"/>
      <c r="F602"/>
      <c r="G602"/>
      <c r="U602"/>
      <c r="V602"/>
      <c r="W602"/>
      <c r="X602"/>
      <c r="Y602"/>
      <c r="Z602"/>
      <c r="AA602"/>
      <c r="AB602"/>
      <c r="AL602"/>
      <c r="AM602"/>
      <c r="AN602"/>
      <c r="AO602"/>
    </row>
    <row r="603" spans="1:41" s="2" customFormat="1" x14ac:dyDescent="0.2">
      <c r="A603"/>
      <c r="B603"/>
      <c r="C603"/>
      <c r="D603"/>
      <c r="E603"/>
      <c r="F603"/>
      <c r="G603"/>
      <c r="U603"/>
      <c r="V603"/>
      <c r="W603"/>
      <c r="X603"/>
      <c r="Y603"/>
      <c r="Z603"/>
      <c r="AA603"/>
      <c r="AB603"/>
      <c r="AL603"/>
      <c r="AM603"/>
      <c r="AN603"/>
      <c r="AO603"/>
    </row>
    <row r="604" spans="1:41" s="2" customFormat="1" x14ac:dyDescent="0.2">
      <c r="A604"/>
      <c r="B604"/>
      <c r="C604"/>
      <c r="D604"/>
      <c r="E604"/>
      <c r="F604"/>
      <c r="G604"/>
      <c r="U604"/>
      <c r="V604"/>
      <c r="W604"/>
      <c r="X604"/>
      <c r="Y604"/>
      <c r="Z604"/>
      <c r="AA604"/>
      <c r="AB604"/>
      <c r="AL604"/>
      <c r="AM604"/>
      <c r="AN604"/>
      <c r="AO604"/>
    </row>
    <row r="605" spans="1:41" s="2" customFormat="1" x14ac:dyDescent="0.2">
      <c r="A605"/>
      <c r="B605"/>
      <c r="C605"/>
      <c r="D605"/>
      <c r="E605"/>
      <c r="F605"/>
      <c r="G605"/>
      <c r="U605"/>
      <c r="V605"/>
      <c r="W605"/>
      <c r="X605"/>
      <c r="Y605"/>
      <c r="Z605"/>
      <c r="AA605"/>
      <c r="AB605"/>
      <c r="AL605"/>
      <c r="AM605"/>
      <c r="AN605"/>
      <c r="AO605"/>
    </row>
    <row r="606" spans="1:41" s="2" customFormat="1" x14ac:dyDescent="0.2">
      <c r="A606"/>
      <c r="B606"/>
      <c r="C606"/>
      <c r="D606"/>
      <c r="E606"/>
      <c r="F606"/>
      <c r="G606"/>
      <c r="U606"/>
      <c r="V606"/>
      <c r="W606"/>
      <c r="X606"/>
      <c r="Y606"/>
      <c r="Z606"/>
      <c r="AA606"/>
      <c r="AB606"/>
      <c r="AL606"/>
      <c r="AM606"/>
      <c r="AN606"/>
      <c r="AO606"/>
    </row>
    <row r="607" spans="1:41" s="2" customFormat="1" x14ac:dyDescent="0.2">
      <c r="A607"/>
      <c r="B607"/>
      <c r="C607"/>
      <c r="D607"/>
      <c r="E607"/>
      <c r="F607"/>
      <c r="G607"/>
      <c r="U607"/>
      <c r="V607"/>
      <c r="W607"/>
      <c r="X607"/>
      <c r="Y607"/>
      <c r="Z607"/>
      <c r="AA607"/>
      <c r="AB607"/>
      <c r="AL607"/>
      <c r="AM607"/>
      <c r="AN607"/>
      <c r="AO607"/>
    </row>
    <row r="608" spans="1:41" s="2" customFormat="1" x14ac:dyDescent="0.2">
      <c r="A608"/>
      <c r="B608"/>
      <c r="C608"/>
      <c r="D608"/>
      <c r="E608"/>
      <c r="F608"/>
      <c r="G608"/>
      <c r="U608"/>
      <c r="V608"/>
      <c r="W608"/>
      <c r="X608"/>
      <c r="Y608"/>
      <c r="Z608"/>
      <c r="AA608"/>
      <c r="AB608"/>
      <c r="AL608"/>
      <c r="AM608"/>
      <c r="AN608"/>
      <c r="AO608"/>
    </row>
    <row r="609" spans="1:41" s="2" customFormat="1" x14ac:dyDescent="0.2">
      <c r="A609"/>
      <c r="B609"/>
      <c r="C609"/>
      <c r="D609"/>
      <c r="E609"/>
      <c r="F609"/>
      <c r="G609"/>
      <c r="U609"/>
      <c r="V609"/>
      <c r="W609"/>
      <c r="X609"/>
      <c r="Y609"/>
      <c r="Z609"/>
      <c r="AA609"/>
      <c r="AB609"/>
      <c r="AL609"/>
      <c r="AM609"/>
      <c r="AN609"/>
      <c r="AO609"/>
    </row>
    <row r="610" spans="1:41" s="2" customFormat="1" x14ac:dyDescent="0.2">
      <c r="A610"/>
      <c r="B610"/>
      <c r="C610"/>
      <c r="D610"/>
      <c r="E610"/>
      <c r="F610"/>
      <c r="G610"/>
      <c r="U610"/>
      <c r="V610"/>
      <c r="W610"/>
      <c r="X610"/>
      <c r="Y610"/>
      <c r="Z610"/>
      <c r="AA610"/>
      <c r="AB610"/>
      <c r="AL610"/>
      <c r="AM610"/>
      <c r="AN610"/>
      <c r="AO610"/>
    </row>
    <row r="611" spans="1:41" s="2" customFormat="1" x14ac:dyDescent="0.2">
      <c r="A611"/>
      <c r="B611"/>
      <c r="C611"/>
      <c r="D611"/>
      <c r="E611"/>
      <c r="F611"/>
      <c r="G611"/>
      <c r="U611"/>
      <c r="V611"/>
      <c r="W611"/>
      <c r="X611"/>
      <c r="Y611"/>
      <c r="Z611"/>
      <c r="AA611"/>
      <c r="AB611"/>
      <c r="AL611"/>
      <c r="AM611"/>
      <c r="AN611"/>
      <c r="AO611"/>
    </row>
    <row r="612" spans="1:41" s="2" customFormat="1" x14ac:dyDescent="0.2">
      <c r="A612"/>
      <c r="B612"/>
      <c r="C612"/>
      <c r="D612"/>
      <c r="E612"/>
      <c r="F612"/>
      <c r="G612"/>
      <c r="U612"/>
      <c r="V612"/>
      <c r="W612"/>
      <c r="X612"/>
      <c r="Y612"/>
      <c r="Z612"/>
      <c r="AA612"/>
      <c r="AB612"/>
      <c r="AL612"/>
      <c r="AM612"/>
      <c r="AN612"/>
      <c r="AO612"/>
    </row>
    <row r="613" spans="1:41" s="2" customFormat="1" x14ac:dyDescent="0.2">
      <c r="A613"/>
      <c r="B613"/>
      <c r="C613"/>
      <c r="D613"/>
      <c r="E613"/>
      <c r="F613"/>
      <c r="G613"/>
      <c r="U613"/>
      <c r="V613"/>
      <c r="W613"/>
      <c r="X613"/>
      <c r="Y613"/>
      <c r="Z613"/>
      <c r="AA613"/>
      <c r="AB613"/>
      <c r="AL613"/>
      <c r="AM613"/>
      <c r="AN613"/>
      <c r="AO613"/>
    </row>
    <row r="614" spans="1:41" s="2" customFormat="1" x14ac:dyDescent="0.2">
      <c r="A614"/>
      <c r="B614"/>
      <c r="C614"/>
      <c r="D614"/>
      <c r="E614"/>
      <c r="F614"/>
      <c r="G614"/>
      <c r="U614"/>
      <c r="V614"/>
      <c r="W614"/>
      <c r="X614"/>
      <c r="Y614"/>
      <c r="Z614"/>
      <c r="AA614"/>
      <c r="AB614"/>
      <c r="AL614"/>
      <c r="AM614"/>
      <c r="AN614"/>
      <c r="AO614"/>
    </row>
    <row r="615" spans="1:41" s="2" customFormat="1" x14ac:dyDescent="0.2">
      <c r="A615"/>
      <c r="B615"/>
      <c r="C615"/>
      <c r="D615"/>
      <c r="E615"/>
      <c r="F615"/>
      <c r="G615"/>
      <c r="U615"/>
      <c r="V615"/>
      <c r="W615"/>
      <c r="X615"/>
      <c r="Y615"/>
      <c r="Z615"/>
      <c r="AA615"/>
      <c r="AB615"/>
      <c r="AL615"/>
      <c r="AM615"/>
      <c r="AN615"/>
      <c r="AO615"/>
    </row>
    <row r="616" spans="1:41" s="2" customFormat="1" x14ac:dyDescent="0.2">
      <c r="A616"/>
      <c r="B616"/>
      <c r="C616"/>
      <c r="D616"/>
      <c r="E616"/>
      <c r="F616"/>
      <c r="G616"/>
      <c r="U616"/>
      <c r="V616"/>
      <c r="W616"/>
      <c r="X616"/>
      <c r="Y616"/>
      <c r="Z616"/>
      <c r="AA616"/>
      <c r="AB616"/>
      <c r="AL616"/>
      <c r="AM616"/>
      <c r="AN616"/>
      <c r="AO616"/>
    </row>
    <row r="617" spans="1:41" s="2" customFormat="1" x14ac:dyDescent="0.2">
      <c r="A617"/>
      <c r="B617"/>
      <c r="C617"/>
      <c r="D617"/>
      <c r="E617"/>
      <c r="F617"/>
      <c r="G617"/>
      <c r="U617"/>
      <c r="V617"/>
      <c r="W617"/>
      <c r="X617"/>
      <c r="Y617"/>
      <c r="Z617"/>
      <c r="AA617"/>
      <c r="AB617"/>
      <c r="AL617"/>
      <c r="AM617"/>
      <c r="AN617"/>
      <c r="AO617"/>
    </row>
    <row r="618" spans="1:41" s="2" customFormat="1" x14ac:dyDescent="0.2">
      <c r="A618"/>
      <c r="B618"/>
      <c r="C618"/>
      <c r="D618"/>
      <c r="E618"/>
      <c r="F618"/>
      <c r="G618"/>
      <c r="U618"/>
      <c r="V618"/>
      <c r="W618"/>
      <c r="X618"/>
      <c r="Y618"/>
      <c r="Z618"/>
      <c r="AA618"/>
      <c r="AB618"/>
      <c r="AL618"/>
      <c r="AM618"/>
      <c r="AN618"/>
      <c r="AO618"/>
    </row>
    <row r="619" spans="1:41" s="2" customFormat="1" x14ac:dyDescent="0.2">
      <c r="A619"/>
      <c r="B619"/>
      <c r="C619"/>
      <c r="D619"/>
      <c r="E619"/>
      <c r="F619"/>
      <c r="G619"/>
      <c r="U619"/>
      <c r="V619"/>
      <c r="W619"/>
      <c r="X619"/>
      <c r="Y619"/>
      <c r="Z619"/>
      <c r="AA619"/>
      <c r="AB619"/>
      <c r="AL619"/>
      <c r="AM619"/>
      <c r="AN619"/>
      <c r="AO619"/>
    </row>
    <row r="620" spans="1:41" s="2" customFormat="1" x14ac:dyDescent="0.2">
      <c r="A620"/>
      <c r="B620"/>
      <c r="C620"/>
      <c r="D620"/>
      <c r="E620"/>
      <c r="F620"/>
      <c r="G620"/>
      <c r="U620"/>
      <c r="V620"/>
      <c r="W620"/>
      <c r="X620"/>
      <c r="Y620"/>
      <c r="Z620"/>
      <c r="AA620"/>
      <c r="AB620"/>
      <c r="AL620"/>
      <c r="AM620"/>
      <c r="AN620"/>
      <c r="AO620"/>
    </row>
    <row r="621" spans="1:41" s="2" customFormat="1" x14ac:dyDescent="0.2">
      <c r="A621"/>
      <c r="B621"/>
      <c r="C621"/>
      <c r="D621"/>
      <c r="E621"/>
      <c r="F621"/>
      <c r="G621"/>
      <c r="U621"/>
      <c r="V621"/>
      <c r="W621"/>
      <c r="X621"/>
      <c r="Y621"/>
      <c r="Z621"/>
      <c r="AA621"/>
      <c r="AB621"/>
      <c r="AL621"/>
      <c r="AM621"/>
      <c r="AN621"/>
      <c r="AO621"/>
    </row>
    <row r="622" spans="1:41" s="2" customFormat="1" x14ac:dyDescent="0.2">
      <c r="A622"/>
      <c r="B622"/>
      <c r="C622"/>
      <c r="D622"/>
      <c r="E622"/>
      <c r="F622"/>
      <c r="G622"/>
      <c r="U622"/>
      <c r="V622"/>
      <c r="W622"/>
      <c r="X622"/>
      <c r="Y622"/>
      <c r="Z622"/>
      <c r="AA622"/>
      <c r="AB622"/>
      <c r="AL622"/>
      <c r="AM622"/>
      <c r="AN622"/>
      <c r="AO622"/>
    </row>
    <row r="623" spans="1:41" s="2" customFormat="1" x14ac:dyDescent="0.2">
      <c r="A623"/>
      <c r="B623"/>
      <c r="C623"/>
      <c r="D623"/>
      <c r="E623"/>
      <c r="F623"/>
      <c r="G623"/>
      <c r="U623"/>
      <c r="V623"/>
      <c r="W623"/>
      <c r="X623"/>
      <c r="Y623"/>
      <c r="Z623"/>
      <c r="AA623"/>
      <c r="AB623"/>
      <c r="AL623"/>
      <c r="AM623"/>
      <c r="AN623"/>
      <c r="AO623"/>
    </row>
    <row r="624" spans="1:41" s="2" customFormat="1" x14ac:dyDescent="0.2">
      <c r="A624"/>
      <c r="B624"/>
      <c r="C624"/>
      <c r="D624"/>
      <c r="E624"/>
      <c r="F624"/>
      <c r="G624"/>
      <c r="U624"/>
      <c r="V624"/>
      <c r="W624"/>
      <c r="X624"/>
      <c r="Y624"/>
      <c r="Z624"/>
      <c r="AA624"/>
      <c r="AB624"/>
      <c r="AL624"/>
      <c r="AM624"/>
      <c r="AN624"/>
      <c r="AO624"/>
    </row>
    <row r="625" spans="1:41" s="2" customFormat="1" x14ac:dyDescent="0.2">
      <c r="A625"/>
      <c r="B625"/>
      <c r="C625"/>
      <c r="D625"/>
      <c r="E625"/>
      <c r="F625"/>
      <c r="G625"/>
      <c r="U625"/>
      <c r="V625"/>
      <c r="W625"/>
      <c r="X625"/>
      <c r="Y625"/>
      <c r="Z625"/>
      <c r="AA625"/>
      <c r="AB625"/>
      <c r="AL625"/>
      <c r="AM625"/>
      <c r="AN625"/>
      <c r="AO625"/>
    </row>
    <row r="626" spans="1:41" s="2" customFormat="1" x14ac:dyDescent="0.2">
      <c r="A626"/>
      <c r="B626"/>
      <c r="C626"/>
      <c r="D626"/>
      <c r="E626"/>
      <c r="F626"/>
      <c r="G626"/>
      <c r="U626"/>
      <c r="V626"/>
      <c r="W626"/>
      <c r="X626"/>
      <c r="Y626"/>
      <c r="Z626"/>
      <c r="AA626"/>
      <c r="AB626"/>
      <c r="AL626"/>
      <c r="AM626"/>
      <c r="AN626"/>
      <c r="AO626"/>
    </row>
    <row r="627" spans="1:41" s="2" customFormat="1" x14ac:dyDescent="0.2">
      <c r="A627"/>
      <c r="B627"/>
      <c r="C627"/>
      <c r="D627"/>
      <c r="E627"/>
      <c r="F627"/>
      <c r="G627"/>
      <c r="U627"/>
      <c r="V627"/>
      <c r="W627"/>
      <c r="X627"/>
      <c r="Y627"/>
      <c r="Z627"/>
      <c r="AA627"/>
      <c r="AB627"/>
      <c r="AL627"/>
      <c r="AM627"/>
      <c r="AN627"/>
      <c r="AO627"/>
    </row>
    <row r="628" spans="1:41" s="2" customFormat="1" x14ac:dyDescent="0.2">
      <c r="A628"/>
      <c r="B628"/>
      <c r="C628"/>
      <c r="D628"/>
      <c r="E628"/>
      <c r="F628"/>
      <c r="G628"/>
      <c r="U628"/>
      <c r="V628"/>
      <c r="W628"/>
      <c r="X628"/>
      <c r="Y628"/>
      <c r="Z628"/>
      <c r="AA628"/>
      <c r="AB628"/>
      <c r="AL628"/>
      <c r="AM628"/>
      <c r="AN628"/>
      <c r="AO628"/>
    </row>
    <row r="629" spans="1:41" s="2" customFormat="1" x14ac:dyDescent="0.2">
      <c r="A629"/>
      <c r="B629"/>
      <c r="C629"/>
      <c r="D629"/>
      <c r="E629"/>
      <c r="F629"/>
      <c r="G629"/>
      <c r="U629"/>
      <c r="V629"/>
      <c r="W629"/>
      <c r="X629"/>
      <c r="Y629"/>
      <c r="Z629"/>
      <c r="AA629"/>
      <c r="AB629"/>
      <c r="AL629"/>
      <c r="AM629"/>
      <c r="AN629"/>
      <c r="AO629"/>
    </row>
    <row r="630" spans="1:41" s="2" customFormat="1" x14ac:dyDescent="0.2">
      <c r="A630"/>
      <c r="B630"/>
      <c r="C630"/>
      <c r="D630"/>
      <c r="E630"/>
      <c r="F630"/>
      <c r="G630"/>
      <c r="U630"/>
      <c r="V630"/>
      <c r="W630"/>
      <c r="X630"/>
      <c r="Y630"/>
      <c r="Z630"/>
      <c r="AA630"/>
      <c r="AB630"/>
      <c r="AL630"/>
      <c r="AM630"/>
      <c r="AN630"/>
      <c r="AO630"/>
    </row>
    <row r="631" spans="1:41" s="2" customFormat="1" x14ac:dyDescent="0.2">
      <c r="A631"/>
      <c r="B631"/>
      <c r="C631"/>
      <c r="D631"/>
      <c r="E631"/>
      <c r="F631"/>
      <c r="G631"/>
      <c r="U631"/>
      <c r="V631"/>
      <c r="W631"/>
      <c r="X631"/>
      <c r="Y631"/>
      <c r="Z631"/>
      <c r="AA631"/>
      <c r="AB631"/>
      <c r="AL631"/>
      <c r="AM631"/>
      <c r="AN631"/>
      <c r="AO631"/>
    </row>
    <row r="632" spans="1:41" s="2" customFormat="1" x14ac:dyDescent="0.2">
      <c r="A632"/>
      <c r="B632"/>
      <c r="C632"/>
      <c r="D632"/>
      <c r="E632"/>
      <c r="F632"/>
      <c r="G632"/>
      <c r="U632"/>
      <c r="V632"/>
      <c r="W632"/>
      <c r="X632"/>
      <c r="Y632"/>
      <c r="Z632"/>
      <c r="AA632"/>
      <c r="AB632"/>
      <c r="AL632"/>
      <c r="AM632"/>
      <c r="AN632"/>
      <c r="AO632"/>
    </row>
    <row r="633" spans="1:41" s="2" customFormat="1" x14ac:dyDescent="0.2">
      <c r="A633"/>
      <c r="B633"/>
      <c r="C633"/>
      <c r="D633"/>
      <c r="E633"/>
      <c r="F633"/>
      <c r="G633"/>
      <c r="U633"/>
      <c r="V633"/>
      <c r="W633"/>
      <c r="X633"/>
      <c r="Y633"/>
      <c r="Z633"/>
      <c r="AA633"/>
      <c r="AB633"/>
      <c r="AL633"/>
      <c r="AM633"/>
      <c r="AN633"/>
      <c r="AO633"/>
    </row>
    <row r="634" spans="1:41" s="2" customFormat="1" x14ac:dyDescent="0.2">
      <c r="A634"/>
      <c r="B634"/>
      <c r="C634"/>
      <c r="D634"/>
      <c r="E634"/>
      <c r="F634"/>
      <c r="G634"/>
      <c r="U634"/>
      <c r="V634"/>
      <c r="W634"/>
      <c r="X634"/>
      <c r="Y634"/>
      <c r="Z634"/>
      <c r="AA634"/>
      <c r="AB634"/>
      <c r="AL634"/>
      <c r="AM634"/>
      <c r="AN634"/>
      <c r="AO634"/>
    </row>
    <row r="635" spans="1:41" s="2" customFormat="1" x14ac:dyDescent="0.2">
      <c r="A635"/>
      <c r="B635"/>
      <c r="C635"/>
      <c r="D635"/>
      <c r="E635"/>
      <c r="F635"/>
      <c r="G635"/>
      <c r="U635"/>
      <c r="V635"/>
      <c r="W635"/>
      <c r="X635"/>
      <c r="Y635"/>
      <c r="Z635"/>
      <c r="AA635"/>
      <c r="AB635"/>
      <c r="AL635"/>
      <c r="AM635"/>
      <c r="AN635"/>
      <c r="AO635"/>
    </row>
    <row r="636" spans="1:41" s="2" customFormat="1" x14ac:dyDescent="0.2">
      <c r="A636"/>
      <c r="B636"/>
      <c r="C636"/>
      <c r="D636"/>
      <c r="E636"/>
      <c r="F636"/>
      <c r="G636"/>
      <c r="U636"/>
      <c r="V636"/>
      <c r="W636"/>
      <c r="X636"/>
      <c r="Y636"/>
      <c r="Z636"/>
      <c r="AA636"/>
      <c r="AB636"/>
      <c r="AL636"/>
      <c r="AM636"/>
      <c r="AN636"/>
      <c r="AO636"/>
    </row>
    <row r="637" spans="1:41" s="2" customFormat="1" x14ac:dyDescent="0.2">
      <c r="A637"/>
      <c r="B637"/>
      <c r="C637"/>
      <c r="D637"/>
      <c r="E637"/>
      <c r="F637"/>
      <c r="G637"/>
      <c r="U637"/>
      <c r="V637"/>
      <c r="W637"/>
      <c r="X637"/>
      <c r="Y637"/>
      <c r="Z637"/>
      <c r="AA637"/>
      <c r="AB637"/>
      <c r="AL637"/>
      <c r="AM637"/>
      <c r="AN637"/>
      <c r="AO637"/>
    </row>
    <row r="638" spans="1:41" s="2" customFormat="1" x14ac:dyDescent="0.2">
      <c r="A638"/>
      <c r="B638"/>
      <c r="C638"/>
      <c r="D638"/>
      <c r="E638"/>
      <c r="F638"/>
      <c r="G638"/>
      <c r="U638"/>
      <c r="V638"/>
      <c r="W638"/>
      <c r="X638"/>
      <c r="Y638"/>
      <c r="Z638"/>
      <c r="AA638"/>
      <c r="AB638"/>
      <c r="AL638"/>
      <c r="AM638"/>
      <c r="AN638"/>
      <c r="AO638"/>
    </row>
    <row r="639" spans="1:41" s="2" customFormat="1" x14ac:dyDescent="0.2">
      <c r="A639"/>
      <c r="B639"/>
      <c r="C639"/>
      <c r="D639"/>
      <c r="E639"/>
      <c r="F639"/>
      <c r="G639"/>
      <c r="U639"/>
      <c r="V639"/>
      <c r="W639"/>
      <c r="X639"/>
      <c r="Y639"/>
      <c r="Z639"/>
      <c r="AA639"/>
      <c r="AB639"/>
      <c r="AL639"/>
      <c r="AM639"/>
      <c r="AN639"/>
      <c r="AO639"/>
    </row>
    <row r="640" spans="1:41" s="2" customFormat="1" x14ac:dyDescent="0.2">
      <c r="A640"/>
      <c r="B640"/>
      <c r="C640"/>
      <c r="D640"/>
      <c r="E640"/>
      <c r="F640"/>
      <c r="G640"/>
      <c r="U640"/>
      <c r="V640"/>
      <c r="W640"/>
      <c r="X640"/>
      <c r="Y640"/>
      <c r="Z640"/>
      <c r="AA640"/>
      <c r="AB640"/>
      <c r="AL640"/>
      <c r="AM640"/>
      <c r="AN640"/>
      <c r="AO640"/>
    </row>
    <row r="641" spans="1:41" s="2" customFormat="1" x14ac:dyDescent="0.2">
      <c r="A641"/>
      <c r="B641"/>
      <c r="C641"/>
      <c r="D641"/>
      <c r="E641"/>
      <c r="F641"/>
      <c r="G641"/>
      <c r="U641"/>
      <c r="V641"/>
      <c r="W641"/>
      <c r="X641"/>
      <c r="Y641"/>
      <c r="Z641"/>
      <c r="AA641"/>
      <c r="AB641"/>
      <c r="AL641"/>
      <c r="AM641"/>
      <c r="AN641"/>
      <c r="AO641"/>
    </row>
    <row r="642" spans="1:41" s="2" customFormat="1" x14ac:dyDescent="0.2">
      <c r="A642"/>
      <c r="B642"/>
      <c r="C642"/>
      <c r="D642"/>
      <c r="E642"/>
      <c r="F642"/>
      <c r="G642"/>
      <c r="U642"/>
      <c r="V642"/>
      <c r="W642"/>
      <c r="X642"/>
      <c r="Y642"/>
      <c r="Z642"/>
      <c r="AA642"/>
      <c r="AB642"/>
      <c r="AL642"/>
      <c r="AM642"/>
      <c r="AN642"/>
      <c r="AO642"/>
    </row>
    <row r="643" spans="1:41" s="2" customFormat="1" x14ac:dyDescent="0.2">
      <c r="A643"/>
      <c r="B643"/>
      <c r="C643"/>
      <c r="D643"/>
      <c r="E643"/>
      <c r="F643"/>
      <c r="G643"/>
      <c r="U643"/>
      <c r="V643"/>
      <c r="W643"/>
      <c r="X643"/>
      <c r="Y643"/>
      <c r="Z643"/>
      <c r="AA643"/>
      <c r="AB643"/>
      <c r="AL643"/>
      <c r="AM643"/>
      <c r="AN643"/>
      <c r="AO643"/>
    </row>
    <row r="644" spans="1:41" s="2" customFormat="1" x14ac:dyDescent="0.2">
      <c r="A644"/>
      <c r="B644"/>
      <c r="C644"/>
      <c r="D644"/>
      <c r="E644"/>
      <c r="F644"/>
      <c r="G644"/>
      <c r="U644"/>
      <c r="V644"/>
      <c r="W644"/>
      <c r="X644"/>
      <c r="Y644"/>
      <c r="Z644"/>
      <c r="AA644"/>
      <c r="AB644"/>
      <c r="AL644"/>
      <c r="AM644"/>
      <c r="AN644"/>
      <c r="AO644"/>
    </row>
    <row r="645" spans="1:41" s="2" customFormat="1" x14ac:dyDescent="0.2">
      <c r="A645"/>
      <c r="B645"/>
      <c r="C645"/>
      <c r="D645"/>
      <c r="E645"/>
      <c r="F645"/>
      <c r="G645"/>
      <c r="U645"/>
      <c r="V645"/>
      <c r="W645"/>
      <c r="X645"/>
      <c r="Y645"/>
      <c r="Z645"/>
      <c r="AA645"/>
      <c r="AB645"/>
      <c r="AL645"/>
      <c r="AM645"/>
      <c r="AN645"/>
      <c r="AO645"/>
    </row>
    <row r="646" spans="1:41" s="2" customFormat="1" x14ac:dyDescent="0.2">
      <c r="A646"/>
      <c r="B646"/>
      <c r="C646"/>
      <c r="D646"/>
      <c r="E646"/>
      <c r="F646"/>
      <c r="G646"/>
      <c r="U646"/>
      <c r="V646"/>
      <c r="W646"/>
      <c r="X646"/>
      <c r="Y646"/>
      <c r="Z646"/>
      <c r="AA646"/>
      <c r="AB646"/>
      <c r="AL646"/>
      <c r="AM646"/>
      <c r="AN646"/>
      <c r="AO646"/>
    </row>
    <row r="647" spans="1:41" s="2" customFormat="1" x14ac:dyDescent="0.2">
      <c r="A647"/>
      <c r="B647"/>
      <c r="C647"/>
      <c r="D647"/>
      <c r="E647"/>
      <c r="F647"/>
      <c r="G647"/>
      <c r="U647"/>
      <c r="V647"/>
      <c r="W647"/>
      <c r="X647"/>
      <c r="Y647"/>
      <c r="Z647"/>
      <c r="AA647"/>
      <c r="AB647"/>
      <c r="AL647"/>
      <c r="AM647"/>
      <c r="AN647"/>
      <c r="AO647"/>
    </row>
    <row r="648" spans="1:41" s="2" customFormat="1" x14ac:dyDescent="0.2">
      <c r="A648"/>
      <c r="B648"/>
      <c r="C648"/>
      <c r="D648"/>
      <c r="E648"/>
      <c r="F648"/>
      <c r="G648"/>
      <c r="U648"/>
      <c r="V648"/>
      <c r="W648"/>
      <c r="X648"/>
      <c r="Y648"/>
      <c r="Z648"/>
      <c r="AA648"/>
      <c r="AB648"/>
      <c r="AL648"/>
      <c r="AM648"/>
      <c r="AN648"/>
      <c r="AO648"/>
    </row>
    <row r="649" spans="1:41" s="2" customFormat="1" x14ac:dyDescent="0.2">
      <c r="A649"/>
      <c r="B649"/>
      <c r="C649"/>
      <c r="D649"/>
      <c r="E649"/>
      <c r="F649"/>
      <c r="G649"/>
      <c r="U649"/>
      <c r="V649"/>
      <c r="W649"/>
      <c r="X649"/>
      <c r="Y649"/>
      <c r="Z649"/>
      <c r="AA649"/>
      <c r="AB649"/>
      <c r="AL649"/>
      <c r="AM649"/>
      <c r="AN649"/>
      <c r="AO649"/>
    </row>
    <row r="650" spans="1:41" s="2" customFormat="1" x14ac:dyDescent="0.2">
      <c r="A650"/>
      <c r="B650"/>
      <c r="C650"/>
      <c r="D650"/>
      <c r="E650"/>
      <c r="F650"/>
      <c r="G650"/>
      <c r="U650"/>
      <c r="V650"/>
      <c r="W650"/>
      <c r="X650"/>
      <c r="Y650"/>
      <c r="Z650"/>
      <c r="AA650"/>
      <c r="AB650"/>
      <c r="AL650"/>
      <c r="AM650"/>
      <c r="AN650"/>
      <c r="AO650"/>
    </row>
    <row r="651" spans="1:41" s="2" customFormat="1" x14ac:dyDescent="0.2">
      <c r="A651"/>
      <c r="B651"/>
      <c r="C651"/>
      <c r="D651"/>
      <c r="E651"/>
      <c r="F651"/>
      <c r="G651"/>
      <c r="U651"/>
      <c r="V651"/>
      <c r="W651"/>
      <c r="X651"/>
      <c r="Y651"/>
      <c r="Z651"/>
      <c r="AA651"/>
      <c r="AB651"/>
      <c r="AL651"/>
      <c r="AM651"/>
      <c r="AN651"/>
      <c r="AO651"/>
    </row>
    <row r="652" spans="1:41" s="2" customFormat="1" x14ac:dyDescent="0.2">
      <c r="A652"/>
      <c r="B652"/>
      <c r="C652"/>
      <c r="D652"/>
      <c r="E652"/>
      <c r="F652"/>
      <c r="G652"/>
      <c r="U652"/>
      <c r="V652"/>
      <c r="W652"/>
      <c r="X652"/>
      <c r="Y652"/>
      <c r="Z652"/>
      <c r="AA652"/>
      <c r="AB652"/>
      <c r="AL652"/>
      <c r="AM652"/>
      <c r="AN652"/>
      <c r="AO652"/>
    </row>
    <row r="653" spans="1:41" s="2" customFormat="1" x14ac:dyDescent="0.2">
      <c r="A653"/>
      <c r="B653"/>
      <c r="C653"/>
      <c r="D653"/>
      <c r="E653"/>
      <c r="F653"/>
      <c r="G653"/>
      <c r="U653"/>
      <c r="V653"/>
      <c r="W653"/>
      <c r="X653"/>
      <c r="Y653"/>
      <c r="Z653"/>
      <c r="AA653"/>
      <c r="AB653"/>
      <c r="AL653"/>
      <c r="AM653"/>
      <c r="AN653"/>
      <c r="AO653"/>
    </row>
    <row r="654" spans="1:41" s="2" customFormat="1" x14ac:dyDescent="0.2">
      <c r="A654"/>
      <c r="B654"/>
      <c r="C654"/>
      <c r="D654"/>
      <c r="E654"/>
      <c r="F654"/>
      <c r="G654"/>
      <c r="U654"/>
      <c r="V654"/>
      <c r="W654"/>
      <c r="X654"/>
      <c r="Y654"/>
      <c r="Z654"/>
      <c r="AA654"/>
      <c r="AB654"/>
      <c r="AL654"/>
      <c r="AM654"/>
      <c r="AN654"/>
      <c r="AO654"/>
    </row>
    <row r="655" spans="1:41" s="2" customFormat="1" x14ac:dyDescent="0.2">
      <c r="A655"/>
      <c r="B655"/>
      <c r="C655"/>
      <c r="D655"/>
      <c r="E655"/>
      <c r="F655"/>
      <c r="G655"/>
      <c r="U655"/>
      <c r="V655"/>
      <c r="W655"/>
      <c r="X655"/>
      <c r="Y655"/>
      <c r="Z655"/>
      <c r="AA655"/>
      <c r="AB655"/>
      <c r="AL655"/>
      <c r="AM655"/>
      <c r="AN655"/>
      <c r="AO655"/>
    </row>
    <row r="656" spans="1:41" s="2" customFormat="1" x14ac:dyDescent="0.2">
      <c r="A656"/>
      <c r="B656"/>
      <c r="C656"/>
      <c r="D656"/>
      <c r="E656"/>
      <c r="F656"/>
      <c r="G656"/>
      <c r="U656"/>
      <c r="V656"/>
      <c r="W656"/>
      <c r="X656"/>
      <c r="Y656"/>
      <c r="Z656"/>
      <c r="AA656"/>
      <c r="AB656"/>
      <c r="AL656"/>
      <c r="AM656"/>
      <c r="AN656"/>
      <c r="AO656"/>
    </row>
    <row r="657" spans="1:41" s="2" customFormat="1" x14ac:dyDescent="0.2">
      <c r="A657"/>
      <c r="B657"/>
      <c r="C657"/>
      <c r="D657"/>
      <c r="E657"/>
      <c r="F657"/>
      <c r="G657"/>
      <c r="U657"/>
      <c r="V657"/>
      <c r="W657"/>
      <c r="X657"/>
      <c r="Y657"/>
      <c r="Z657"/>
      <c r="AA657"/>
      <c r="AB657"/>
      <c r="AL657"/>
      <c r="AM657"/>
      <c r="AN657"/>
      <c r="AO657"/>
    </row>
    <row r="658" spans="1:41" s="2" customFormat="1" x14ac:dyDescent="0.2">
      <c r="A658"/>
      <c r="B658"/>
      <c r="C658"/>
      <c r="D658"/>
      <c r="E658"/>
      <c r="F658"/>
      <c r="G658"/>
      <c r="U658"/>
      <c r="V658"/>
      <c r="W658"/>
      <c r="X658"/>
      <c r="Y658"/>
      <c r="Z658"/>
      <c r="AA658"/>
      <c r="AB658"/>
      <c r="AL658"/>
      <c r="AM658"/>
      <c r="AN658"/>
      <c r="AO658"/>
    </row>
    <row r="659" spans="1:41" s="2" customFormat="1" x14ac:dyDescent="0.2">
      <c r="A659"/>
      <c r="B659"/>
      <c r="C659"/>
      <c r="D659"/>
      <c r="E659"/>
      <c r="F659"/>
      <c r="G659"/>
      <c r="U659"/>
      <c r="V659"/>
      <c r="W659"/>
      <c r="X659"/>
      <c r="Y659"/>
      <c r="Z659"/>
      <c r="AA659"/>
      <c r="AB659"/>
      <c r="AL659"/>
      <c r="AM659"/>
      <c r="AN659"/>
      <c r="AO659"/>
    </row>
    <row r="660" spans="1:41" s="2" customFormat="1" x14ac:dyDescent="0.2">
      <c r="A660"/>
      <c r="B660"/>
      <c r="C660"/>
      <c r="D660"/>
      <c r="E660"/>
      <c r="F660"/>
      <c r="G660"/>
      <c r="U660"/>
      <c r="V660"/>
      <c r="W660"/>
      <c r="X660"/>
      <c r="Y660"/>
      <c r="Z660"/>
      <c r="AA660"/>
      <c r="AB660"/>
      <c r="AL660"/>
      <c r="AM660"/>
      <c r="AN660"/>
      <c r="AO660"/>
    </row>
    <row r="661" spans="1:41" s="2" customFormat="1" x14ac:dyDescent="0.2">
      <c r="A661"/>
      <c r="B661"/>
      <c r="C661"/>
      <c r="D661"/>
      <c r="E661"/>
      <c r="F661"/>
      <c r="G661"/>
      <c r="U661"/>
      <c r="V661"/>
      <c r="W661"/>
      <c r="X661"/>
      <c r="Y661"/>
      <c r="Z661"/>
      <c r="AA661"/>
      <c r="AB661"/>
      <c r="AL661"/>
      <c r="AM661"/>
      <c r="AN661"/>
      <c r="AO661"/>
    </row>
    <row r="662" spans="1:41" s="2" customFormat="1" x14ac:dyDescent="0.2">
      <c r="A662"/>
      <c r="B662"/>
      <c r="C662"/>
      <c r="D662"/>
      <c r="E662"/>
      <c r="F662"/>
      <c r="G662"/>
      <c r="U662"/>
      <c r="V662"/>
      <c r="W662"/>
      <c r="X662"/>
      <c r="Y662"/>
      <c r="Z662"/>
      <c r="AA662"/>
      <c r="AB662"/>
      <c r="AL662"/>
      <c r="AM662"/>
      <c r="AN662"/>
      <c r="AO662"/>
    </row>
    <row r="663" spans="1:41" s="2" customFormat="1" x14ac:dyDescent="0.2">
      <c r="A663"/>
      <c r="B663"/>
      <c r="C663"/>
      <c r="D663"/>
      <c r="E663"/>
      <c r="F663"/>
      <c r="G663"/>
      <c r="U663"/>
      <c r="V663"/>
      <c r="W663"/>
      <c r="X663"/>
      <c r="Y663"/>
      <c r="Z663"/>
      <c r="AA663"/>
      <c r="AB663"/>
      <c r="AL663"/>
      <c r="AM663"/>
      <c r="AN663"/>
      <c r="AO663"/>
    </row>
    <row r="664" spans="1:41" s="2" customFormat="1" x14ac:dyDescent="0.2">
      <c r="A664"/>
      <c r="B664"/>
      <c r="C664"/>
      <c r="D664"/>
      <c r="E664"/>
      <c r="F664"/>
      <c r="G664"/>
      <c r="U664"/>
      <c r="V664"/>
      <c r="W664"/>
      <c r="X664"/>
      <c r="Y664"/>
      <c r="Z664"/>
      <c r="AA664"/>
      <c r="AB664"/>
      <c r="AL664"/>
      <c r="AM664"/>
      <c r="AN664"/>
      <c r="AO664"/>
    </row>
    <row r="665" spans="1:41" s="2" customFormat="1" x14ac:dyDescent="0.2">
      <c r="A665"/>
      <c r="B665"/>
      <c r="C665"/>
      <c r="D665"/>
      <c r="E665"/>
      <c r="F665"/>
      <c r="G665"/>
      <c r="U665"/>
      <c r="V665"/>
      <c r="W665"/>
      <c r="X665"/>
      <c r="Y665"/>
      <c r="Z665"/>
      <c r="AA665"/>
      <c r="AB665"/>
      <c r="AL665"/>
      <c r="AM665"/>
      <c r="AN665"/>
      <c r="AO665"/>
    </row>
    <row r="666" spans="1:41" s="2" customFormat="1" x14ac:dyDescent="0.2">
      <c r="A666"/>
      <c r="B666"/>
      <c r="C666"/>
      <c r="D666"/>
      <c r="E666"/>
      <c r="F666"/>
      <c r="G666"/>
      <c r="U666"/>
      <c r="V666"/>
      <c r="W666"/>
      <c r="X666"/>
      <c r="Y666"/>
      <c r="Z666"/>
      <c r="AA666"/>
      <c r="AB666"/>
      <c r="AL666"/>
      <c r="AM666"/>
      <c r="AN666"/>
      <c r="AO666"/>
    </row>
    <row r="667" spans="1:41" s="2" customFormat="1" x14ac:dyDescent="0.2">
      <c r="A667"/>
      <c r="B667"/>
      <c r="C667"/>
      <c r="D667"/>
      <c r="E667"/>
      <c r="F667"/>
      <c r="G667"/>
      <c r="U667"/>
      <c r="V667"/>
      <c r="W667"/>
      <c r="X667"/>
      <c r="Y667"/>
      <c r="Z667"/>
      <c r="AA667"/>
      <c r="AB667"/>
      <c r="AL667"/>
      <c r="AM667"/>
      <c r="AN667"/>
      <c r="AO667"/>
    </row>
    <row r="668" spans="1:41" s="2" customFormat="1" x14ac:dyDescent="0.2">
      <c r="A668"/>
      <c r="B668"/>
      <c r="C668"/>
      <c r="D668"/>
      <c r="E668"/>
      <c r="F668"/>
      <c r="G668"/>
      <c r="U668"/>
      <c r="V668"/>
      <c r="W668"/>
      <c r="X668"/>
      <c r="Y668"/>
      <c r="Z668"/>
      <c r="AA668"/>
      <c r="AB668"/>
      <c r="AL668"/>
      <c r="AM668"/>
      <c r="AN668"/>
      <c r="AO668"/>
    </row>
    <row r="669" spans="1:41" s="2" customFormat="1" x14ac:dyDescent="0.2">
      <c r="A669"/>
      <c r="B669"/>
      <c r="C669"/>
      <c r="D669"/>
      <c r="E669"/>
      <c r="F669"/>
      <c r="G669"/>
      <c r="U669"/>
      <c r="V669"/>
      <c r="W669"/>
      <c r="X669"/>
      <c r="Y669"/>
      <c r="Z669"/>
      <c r="AA669"/>
      <c r="AB669"/>
      <c r="AL669"/>
      <c r="AM669"/>
      <c r="AN669"/>
      <c r="AO669"/>
    </row>
    <row r="670" spans="1:41" s="2" customFormat="1" x14ac:dyDescent="0.2">
      <c r="A670"/>
      <c r="B670"/>
      <c r="C670"/>
      <c r="D670"/>
      <c r="E670"/>
      <c r="F670"/>
      <c r="G670"/>
      <c r="U670"/>
      <c r="V670"/>
      <c r="W670"/>
      <c r="X670"/>
      <c r="Y670"/>
      <c r="Z670"/>
      <c r="AA670"/>
      <c r="AB670"/>
      <c r="AL670"/>
      <c r="AM670"/>
      <c r="AN670"/>
      <c r="AO670"/>
    </row>
    <row r="671" spans="1:41" s="2" customFormat="1" x14ac:dyDescent="0.2">
      <c r="A671"/>
      <c r="B671"/>
      <c r="C671"/>
      <c r="D671"/>
      <c r="E671"/>
      <c r="F671"/>
      <c r="G671"/>
      <c r="U671"/>
      <c r="V671"/>
      <c r="W671"/>
      <c r="X671"/>
      <c r="Y671"/>
      <c r="Z671"/>
      <c r="AA671"/>
      <c r="AB671"/>
      <c r="AL671"/>
      <c r="AM671"/>
      <c r="AN671"/>
      <c r="AO671"/>
    </row>
    <row r="672" spans="1:41" s="2" customFormat="1" x14ac:dyDescent="0.2">
      <c r="A672"/>
      <c r="B672"/>
      <c r="C672"/>
      <c r="D672"/>
      <c r="E672"/>
      <c r="F672"/>
      <c r="G672"/>
      <c r="U672"/>
      <c r="V672"/>
      <c r="W672"/>
      <c r="X672"/>
      <c r="Y672"/>
      <c r="Z672"/>
      <c r="AA672"/>
      <c r="AB672"/>
      <c r="AL672"/>
      <c r="AM672"/>
      <c r="AN672"/>
      <c r="AO672"/>
    </row>
    <row r="673" spans="1:41" s="2" customFormat="1" x14ac:dyDescent="0.2">
      <c r="A673"/>
      <c r="B673"/>
      <c r="C673"/>
      <c r="D673"/>
      <c r="E673"/>
      <c r="F673"/>
      <c r="G673"/>
      <c r="U673"/>
      <c r="V673"/>
      <c r="W673"/>
      <c r="X673"/>
      <c r="Y673"/>
      <c r="Z673"/>
      <c r="AA673"/>
      <c r="AB673"/>
      <c r="AL673"/>
      <c r="AM673"/>
      <c r="AN673"/>
      <c r="AO673"/>
    </row>
    <row r="674" spans="1:41" s="2" customFormat="1" x14ac:dyDescent="0.2">
      <c r="A674"/>
      <c r="B674"/>
      <c r="C674"/>
      <c r="D674"/>
      <c r="E674"/>
      <c r="F674"/>
      <c r="G674"/>
      <c r="U674"/>
      <c r="V674"/>
      <c r="W674"/>
      <c r="X674"/>
      <c r="Y674"/>
      <c r="Z674"/>
      <c r="AA674"/>
      <c r="AB674"/>
      <c r="AL674"/>
      <c r="AM674"/>
      <c r="AN674"/>
      <c r="AO674"/>
    </row>
    <row r="675" spans="1:41" s="2" customFormat="1" x14ac:dyDescent="0.2">
      <c r="A675"/>
      <c r="B675"/>
      <c r="C675"/>
      <c r="D675"/>
      <c r="E675"/>
      <c r="F675"/>
      <c r="G675"/>
      <c r="U675"/>
      <c r="V675"/>
      <c r="W675"/>
      <c r="X675"/>
      <c r="Y675"/>
      <c r="Z675"/>
      <c r="AA675"/>
      <c r="AB675"/>
      <c r="AL675"/>
      <c r="AM675"/>
      <c r="AN675"/>
      <c r="AO675"/>
    </row>
    <row r="676" spans="1:41" s="2" customFormat="1" x14ac:dyDescent="0.2">
      <c r="A676"/>
      <c r="B676"/>
      <c r="C676"/>
      <c r="D676"/>
      <c r="E676"/>
      <c r="F676"/>
      <c r="G676"/>
      <c r="U676"/>
      <c r="V676"/>
      <c r="W676"/>
      <c r="X676"/>
      <c r="Y676"/>
      <c r="Z676"/>
      <c r="AA676"/>
      <c r="AB676"/>
      <c r="AL676"/>
      <c r="AM676"/>
      <c r="AN676"/>
      <c r="AO676"/>
    </row>
    <row r="677" spans="1:41" s="2" customFormat="1" x14ac:dyDescent="0.2">
      <c r="A677"/>
      <c r="B677"/>
      <c r="C677"/>
      <c r="D677"/>
      <c r="E677"/>
      <c r="F677"/>
      <c r="G677"/>
      <c r="U677"/>
      <c r="V677"/>
      <c r="W677"/>
      <c r="X677"/>
      <c r="Y677"/>
      <c r="Z677"/>
      <c r="AA677"/>
      <c r="AB677"/>
      <c r="AL677"/>
      <c r="AM677"/>
      <c r="AN677"/>
      <c r="AO677"/>
    </row>
    <row r="678" spans="1:41" s="2" customFormat="1" x14ac:dyDescent="0.2">
      <c r="A678"/>
      <c r="B678"/>
      <c r="C678"/>
      <c r="D678"/>
      <c r="E678"/>
      <c r="F678"/>
      <c r="G678"/>
      <c r="U678"/>
      <c r="V678"/>
      <c r="W678"/>
      <c r="X678"/>
      <c r="Y678"/>
      <c r="Z678"/>
      <c r="AA678"/>
      <c r="AB678"/>
      <c r="AL678"/>
      <c r="AM678"/>
      <c r="AN678"/>
      <c r="AO678"/>
    </row>
    <row r="679" spans="1:41" s="2" customFormat="1" x14ac:dyDescent="0.2">
      <c r="A679"/>
      <c r="B679"/>
      <c r="C679"/>
      <c r="D679"/>
      <c r="E679"/>
      <c r="F679"/>
      <c r="G679"/>
      <c r="U679"/>
      <c r="V679"/>
      <c r="W679"/>
      <c r="X679"/>
      <c r="Y679"/>
      <c r="Z679"/>
      <c r="AA679"/>
      <c r="AB679"/>
      <c r="AL679"/>
      <c r="AM679"/>
      <c r="AN679"/>
      <c r="AO679"/>
    </row>
    <row r="680" spans="1:41" s="2" customFormat="1" x14ac:dyDescent="0.2">
      <c r="A680"/>
      <c r="B680"/>
      <c r="C680"/>
      <c r="D680"/>
      <c r="E680"/>
      <c r="F680"/>
      <c r="G680"/>
      <c r="U680"/>
      <c r="V680"/>
      <c r="W680"/>
      <c r="X680"/>
      <c r="Y680"/>
      <c r="Z680"/>
      <c r="AA680"/>
      <c r="AB680"/>
      <c r="AL680"/>
      <c r="AM680"/>
      <c r="AN680"/>
      <c r="AO680"/>
    </row>
    <row r="681" spans="1:41" s="2" customFormat="1" x14ac:dyDescent="0.2">
      <c r="A681"/>
      <c r="B681"/>
      <c r="C681"/>
      <c r="D681"/>
      <c r="E681"/>
      <c r="F681"/>
      <c r="G681"/>
      <c r="U681"/>
      <c r="V681"/>
      <c r="W681"/>
      <c r="X681"/>
      <c r="Y681"/>
      <c r="Z681"/>
      <c r="AA681"/>
      <c r="AB681"/>
      <c r="AL681"/>
      <c r="AM681"/>
      <c r="AN681"/>
      <c r="AO681"/>
    </row>
    <row r="682" spans="1:41" s="2" customFormat="1" x14ac:dyDescent="0.2">
      <c r="A682"/>
      <c r="B682"/>
      <c r="C682"/>
      <c r="D682"/>
      <c r="E682"/>
      <c r="F682"/>
      <c r="G682"/>
      <c r="U682"/>
      <c r="V682"/>
      <c r="W682"/>
      <c r="X682"/>
      <c r="Y682"/>
      <c r="Z682"/>
      <c r="AA682"/>
      <c r="AB682"/>
      <c r="AL682"/>
      <c r="AM682"/>
      <c r="AN682"/>
      <c r="AO682"/>
    </row>
    <row r="683" spans="1:41" s="2" customFormat="1" x14ac:dyDescent="0.2">
      <c r="A683"/>
      <c r="B683"/>
      <c r="C683"/>
      <c r="D683"/>
      <c r="E683"/>
      <c r="F683"/>
      <c r="G683"/>
      <c r="U683"/>
      <c r="V683"/>
      <c r="W683"/>
      <c r="X683"/>
      <c r="Y683"/>
      <c r="Z683"/>
      <c r="AA683"/>
      <c r="AB683"/>
      <c r="AL683"/>
      <c r="AM683"/>
      <c r="AN683"/>
      <c r="AO683"/>
    </row>
    <row r="684" spans="1:41" s="2" customFormat="1" x14ac:dyDescent="0.2">
      <c r="A684"/>
      <c r="B684"/>
      <c r="C684"/>
      <c r="D684"/>
      <c r="E684"/>
      <c r="F684"/>
      <c r="G684"/>
      <c r="U684"/>
      <c r="V684"/>
      <c r="W684"/>
      <c r="X684"/>
      <c r="Y684"/>
      <c r="Z684"/>
      <c r="AA684"/>
      <c r="AB684"/>
      <c r="AL684"/>
      <c r="AM684"/>
      <c r="AN684"/>
      <c r="AO684"/>
    </row>
    <row r="685" spans="1:41" s="2" customFormat="1" x14ac:dyDescent="0.2">
      <c r="A685"/>
      <c r="B685"/>
      <c r="C685"/>
      <c r="D685"/>
      <c r="E685"/>
      <c r="F685"/>
      <c r="G685"/>
      <c r="U685"/>
      <c r="V685"/>
      <c r="W685"/>
      <c r="X685"/>
      <c r="Y685"/>
      <c r="Z685"/>
      <c r="AA685"/>
      <c r="AB685"/>
      <c r="AL685"/>
      <c r="AM685"/>
      <c r="AN685"/>
      <c r="AO685"/>
    </row>
    <row r="686" spans="1:41" s="2" customFormat="1" x14ac:dyDescent="0.2">
      <c r="A686"/>
      <c r="B686"/>
      <c r="C686"/>
      <c r="D686"/>
      <c r="E686"/>
      <c r="F686"/>
      <c r="G686"/>
      <c r="U686"/>
      <c r="V686"/>
      <c r="W686"/>
      <c r="X686"/>
      <c r="Y686"/>
      <c r="Z686"/>
      <c r="AA686"/>
      <c r="AB686"/>
      <c r="AL686"/>
      <c r="AM686"/>
      <c r="AN686"/>
      <c r="AO686"/>
    </row>
    <row r="687" spans="1:41" s="2" customFormat="1" x14ac:dyDescent="0.2">
      <c r="A687"/>
      <c r="B687"/>
      <c r="C687"/>
      <c r="D687"/>
      <c r="E687"/>
      <c r="F687"/>
      <c r="G687"/>
      <c r="U687"/>
      <c r="V687"/>
      <c r="W687"/>
      <c r="X687"/>
      <c r="Y687"/>
      <c r="Z687"/>
      <c r="AA687"/>
      <c r="AB687"/>
      <c r="AL687"/>
      <c r="AM687"/>
      <c r="AN687"/>
      <c r="AO687"/>
    </row>
    <row r="688" spans="1:41" s="2" customFormat="1" x14ac:dyDescent="0.2">
      <c r="A688"/>
      <c r="B688"/>
      <c r="C688"/>
      <c r="D688"/>
      <c r="E688"/>
      <c r="F688"/>
      <c r="G688"/>
      <c r="U688"/>
      <c r="V688"/>
      <c r="W688"/>
      <c r="X688"/>
      <c r="Y688"/>
      <c r="Z688"/>
      <c r="AA688"/>
      <c r="AB688"/>
      <c r="AL688"/>
      <c r="AM688"/>
      <c r="AN688"/>
      <c r="AO688"/>
    </row>
    <row r="689" spans="1:41" s="2" customFormat="1" x14ac:dyDescent="0.2">
      <c r="A689"/>
      <c r="B689"/>
      <c r="C689"/>
      <c r="D689"/>
      <c r="E689"/>
      <c r="F689"/>
      <c r="G689"/>
      <c r="U689"/>
      <c r="V689"/>
      <c r="W689"/>
      <c r="X689"/>
      <c r="Y689"/>
      <c r="Z689"/>
      <c r="AA689"/>
      <c r="AB689"/>
      <c r="AL689"/>
      <c r="AM689"/>
      <c r="AN689"/>
      <c r="AO689"/>
    </row>
    <row r="690" spans="1:41" s="2" customFormat="1" x14ac:dyDescent="0.2">
      <c r="A690"/>
      <c r="B690"/>
      <c r="C690"/>
      <c r="D690"/>
      <c r="E690"/>
      <c r="F690"/>
      <c r="G690"/>
      <c r="U690"/>
      <c r="V690"/>
      <c r="W690"/>
      <c r="X690"/>
      <c r="Y690"/>
      <c r="Z690"/>
      <c r="AA690"/>
      <c r="AB690"/>
      <c r="AL690"/>
      <c r="AM690"/>
      <c r="AN690"/>
      <c r="AO690"/>
    </row>
    <row r="691" spans="1:41" s="2" customFormat="1" x14ac:dyDescent="0.2">
      <c r="A691"/>
      <c r="B691"/>
      <c r="C691"/>
      <c r="D691"/>
      <c r="E691"/>
      <c r="F691"/>
      <c r="G691"/>
      <c r="U691"/>
      <c r="V691"/>
      <c r="W691"/>
      <c r="X691"/>
      <c r="Y691"/>
      <c r="Z691"/>
      <c r="AA691"/>
      <c r="AB691"/>
      <c r="AL691"/>
      <c r="AM691"/>
      <c r="AN691"/>
      <c r="AO691"/>
    </row>
    <row r="692" spans="1:41" s="2" customFormat="1" x14ac:dyDescent="0.2">
      <c r="A692"/>
      <c r="B692"/>
      <c r="C692"/>
      <c r="D692"/>
      <c r="E692"/>
      <c r="F692"/>
      <c r="G692"/>
      <c r="U692"/>
      <c r="V692"/>
      <c r="W692"/>
      <c r="X692"/>
      <c r="Y692"/>
      <c r="Z692"/>
      <c r="AA692"/>
      <c r="AB692"/>
      <c r="AL692"/>
      <c r="AM692"/>
      <c r="AN692"/>
      <c r="AO692"/>
    </row>
    <row r="693" spans="1:41" s="2" customFormat="1" x14ac:dyDescent="0.2">
      <c r="A693"/>
      <c r="B693"/>
      <c r="C693"/>
      <c r="D693"/>
      <c r="E693"/>
      <c r="F693"/>
      <c r="G693"/>
      <c r="U693"/>
      <c r="V693"/>
      <c r="W693"/>
      <c r="X693"/>
      <c r="Y693"/>
      <c r="Z693"/>
      <c r="AA693"/>
      <c r="AB693"/>
      <c r="AL693"/>
      <c r="AM693"/>
      <c r="AN693"/>
      <c r="AO693"/>
    </row>
    <row r="694" spans="1:41" s="2" customFormat="1" x14ac:dyDescent="0.2">
      <c r="A694"/>
      <c r="B694"/>
      <c r="C694"/>
      <c r="D694"/>
      <c r="E694"/>
      <c r="F694"/>
      <c r="G694"/>
      <c r="U694"/>
      <c r="V694"/>
      <c r="W694"/>
      <c r="X694"/>
      <c r="Y694"/>
      <c r="Z694"/>
      <c r="AA694"/>
      <c r="AB694"/>
      <c r="AL694"/>
      <c r="AM694"/>
      <c r="AN694"/>
      <c r="AO694"/>
    </row>
    <row r="695" spans="1:41" s="2" customFormat="1" x14ac:dyDescent="0.2">
      <c r="A695"/>
      <c r="B695"/>
      <c r="C695"/>
      <c r="D695"/>
      <c r="E695"/>
      <c r="F695"/>
      <c r="G695"/>
      <c r="U695"/>
      <c r="V695"/>
      <c r="W695"/>
      <c r="X695"/>
      <c r="Y695"/>
      <c r="Z695"/>
      <c r="AA695"/>
      <c r="AB695"/>
      <c r="AL695"/>
      <c r="AM695"/>
      <c r="AN695"/>
      <c r="AO695"/>
    </row>
    <row r="696" spans="1:41" s="2" customFormat="1" x14ac:dyDescent="0.2">
      <c r="A696"/>
      <c r="B696"/>
      <c r="C696"/>
      <c r="D696"/>
      <c r="E696"/>
      <c r="F696"/>
      <c r="G696"/>
      <c r="U696"/>
      <c r="V696"/>
      <c r="W696"/>
      <c r="X696"/>
      <c r="Y696"/>
      <c r="Z696"/>
      <c r="AA696"/>
      <c r="AB696"/>
      <c r="AL696"/>
      <c r="AM696"/>
      <c r="AN696"/>
      <c r="AO696"/>
    </row>
    <row r="697" spans="1:41" s="2" customFormat="1" x14ac:dyDescent="0.2">
      <c r="A697"/>
      <c r="B697"/>
      <c r="C697"/>
      <c r="D697"/>
      <c r="E697"/>
      <c r="F697"/>
      <c r="G697"/>
      <c r="U697"/>
      <c r="V697"/>
      <c r="W697"/>
      <c r="X697"/>
      <c r="Y697"/>
      <c r="Z697"/>
      <c r="AA697"/>
      <c r="AB697"/>
      <c r="AL697"/>
      <c r="AM697"/>
      <c r="AN697"/>
      <c r="AO697"/>
    </row>
    <row r="698" spans="1:41" s="2" customFormat="1" x14ac:dyDescent="0.2">
      <c r="A698"/>
      <c r="B698"/>
      <c r="C698"/>
      <c r="D698"/>
      <c r="E698"/>
      <c r="F698"/>
      <c r="G698"/>
      <c r="U698"/>
      <c r="V698"/>
      <c r="W698"/>
      <c r="X698"/>
      <c r="Y698"/>
      <c r="Z698"/>
      <c r="AA698"/>
      <c r="AB698"/>
      <c r="AL698"/>
      <c r="AM698"/>
      <c r="AN698"/>
      <c r="AO698"/>
    </row>
    <row r="699" spans="1:41" s="2" customFormat="1" x14ac:dyDescent="0.2">
      <c r="A699"/>
      <c r="B699"/>
      <c r="C699"/>
      <c r="D699"/>
      <c r="E699"/>
      <c r="F699"/>
      <c r="G699"/>
      <c r="U699"/>
      <c r="V699"/>
      <c r="W699"/>
      <c r="X699"/>
      <c r="Y699"/>
      <c r="Z699"/>
      <c r="AA699"/>
      <c r="AB699"/>
      <c r="AL699"/>
      <c r="AM699"/>
      <c r="AN699"/>
      <c r="AO699"/>
    </row>
    <row r="700" spans="1:41" s="2" customFormat="1" x14ac:dyDescent="0.2">
      <c r="A700"/>
      <c r="B700"/>
      <c r="C700"/>
      <c r="D700"/>
      <c r="E700"/>
      <c r="F700"/>
      <c r="G700"/>
      <c r="U700"/>
      <c r="V700"/>
      <c r="W700"/>
      <c r="X700"/>
      <c r="Y700"/>
      <c r="Z700"/>
      <c r="AA700"/>
      <c r="AB700"/>
      <c r="AL700"/>
      <c r="AM700"/>
      <c r="AN700"/>
      <c r="AO700"/>
    </row>
    <row r="701" spans="1:41" s="2" customFormat="1" x14ac:dyDescent="0.2">
      <c r="A701"/>
      <c r="B701"/>
      <c r="C701"/>
      <c r="D701"/>
      <c r="E701"/>
      <c r="F701"/>
      <c r="G701"/>
      <c r="U701"/>
      <c r="V701"/>
      <c r="W701"/>
      <c r="X701"/>
      <c r="Y701"/>
      <c r="Z701"/>
      <c r="AA701"/>
      <c r="AB701"/>
      <c r="AL701"/>
      <c r="AM701"/>
      <c r="AN701"/>
      <c r="AO701"/>
    </row>
    <row r="702" spans="1:41" s="2" customFormat="1" x14ac:dyDescent="0.2">
      <c r="A702"/>
      <c r="B702"/>
      <c r="C702"/>
      <c r="D702"/>
      <c r="E702"/>
      <c r="F702"/>
      <c r="G702"/>
      <c r="U702"/>
      <c r="V702"/>
      <c r="W702"/>
      <c r="X702"/>
      <c r="Y702"/>
      <c r="Z702"/>
      <c r="AA702"/>
      <c r="AB702"/>
      <c r="AL702"/>
      <c r="AM702"/>
      <c r="AN702"/>
      <c r="AO702"/>
    </row>
    <row r="703" spans="1:41" s="2" customFormat="1" x14ac:dyDescent="0.2">
      <c r="A703"/>
      <c r="B703"/>
      <c r="C703"/>
      <c r="D703"/>
      <c r="E703"/>
      <c r="F703"/>
      <c r="G703"/>
      <c r="U703"/>
      <c r="V703"/>
      <c r="W703"/>
      <c r="X703"/>
      <c r="Y703"/>
      <c r="Z703"/>
      <c r="AA703"/>
      <c r="AB703"/>
      <c r="AL703"/>
      <c r="AM703"/>
      <c r="AN703"/>
      <c r="AO703"/>
    </row>
    <row r="704" spans="1:41" s="2" customFormat="1" x14ac:dyDescent="0.2">
      <c r="A704"/>
      <c r="B704"/>
      <c r="C704"/>
      <c r="D704"/>
      <c r="E704"/>
      <c r="F704"/>
      <c r="G704"/>
      <c r="U704"/>
      <c r="V704"/>
      <c r="W704"/>
      <c r="X704"/>
      <c r="Y704"/>
      <c r="Z704"/>
      <c r="AA704"/>
      <c r="AB704"/>
      <c r="AL704"/>
      <c r="AM704"/>
      <c r="AN704"/>
      <c r="AO704"/>
    </row>
    <row r="705" spans="1:41" s="2" customFormat="1" x14ac:dyDescent="0.2">
      <c r="A705"/>
      <c r="B705"/>
      <c r="C705"/>
      <c r="D705"/>
      <c r="E705"/>
      <c r="F705"/>
      <c r="G705"/>
      <c r="U705"/>
      <c r="V705"/>
      <c r="W705"/>
      <c r="X705"/>
      <c r="Y705"/>
      <c r="Z705"/>
      <c r="AA705"/>
      <c r="AB705"/>
      <c r="AL705"/>
      <c r="AM705"/>
      <c r="AN705"/>
      <c r="AO705"/>
    </row>
    <row r="706" spans="1:41" s="2" customFormat="1" x14ac:dyDescent="0.2">
      <c r="A706"/>
      <c r="B706"/>
      <c r="C706"/>
      <c r="D706"/>
      <c r="E706"/>
      <c r="F706"/>
      <c r="G706"/>
      <c r="U706"/>
      <c r="V706"/>
      <c r="W706"/>
      <c r="X706"/>
      <c r="Y706"/>
      <c r="Z706"/>
      <c r="AA706"/>
      <c r="AB706"/>
      <c r="AL706"/>
      <c r="AM706"/>
      <c r="AN706"/>
      <c r="AO706"/>
    </row>
    <row r="707" spans="1:41" s="2" customFormat="1" x14ac:dyDescent="0.2">
      <c r="A707"/>
      <c r="B707"/>
      <c r="C707"/>
      <c r="D707"/>
      <c r="E707"/>
      <c r="F707"/>
      <c r="G707"/>
      <c r="U707"/>
      <c r="V707"/>
      <c r="W707"/>
      <c r="X707"/>
      <c r="Y707"/>
      <c r="Z707"/>
      <c r="AA707"/>
      <c r="AB707"/>
      <c r="AL707"/>
      <c r="AM707"/>
      <c r="AN707"/>
      <c r="AO707"/>
    </row>
    <row r="708" spans="1:41" s="2" customFormat="1" x14ac:dyDescent="0.2">
      <c r="A708"/>
      <c r="B708"/>
      <c r="C708"/>
      <c r="D708"/>
      <c r="E708"/>
      <c r="F708"/>
      <c r="G708"/>
      <c r="U708"/>
      <c r="V708"/>
      <c r="W708"/>
      <c r="X708"/>
      <c r="Y708"/>
      <c r="Z708"/>
      <c r="AA708"/>
      <c r="AB708"/>
      <c r="AL708"/>
      <c r="AM708"/>
      <c r="AN708"/>
      <c r="AO708"/>
    </row>
    <row r="709" spans="1:41" s="2" customFormat="1" x14ac:dyDescent="0.2">
      <c r="A709"/>
      <c r="B709"/>
      <c r="C709"/>
      <c r="D709"/>
      <c r="E709"/>
      <c r="F709"/>
      <c r="G709"/>
      <c r="U709"/>
      <c r="V709"/>
      <c r="W709"/>
      <c r="X709"/>
      <c r="Y709"/>
      <c r="Z709"/>
      <c r="AA709"/>
      <c r="AB709"/>
      <c r="AL709"/>
      <c r="AM709"/>
      <c r="AN709"/>
      <c r="AO709"/>
    </row>
    <row r="710" spans="1:41" s="2" customFormat="1" x14ac:dyDescent="0.2">
      <c r="A710"/>
      <c r="B710"/>
      <c r="C710"/>
      <c r="D710"/>
      <c r="E710"/>
      <c r="F710"/>
      <c r="G710"/>
      <c r="U710"/>
      <c r="V710"/>
      <c r="W710"/>
      <c r="X710"/>
      <c r="Y710"/>
      <c r="Z710"/>
      <c r="AA710"/>
      <c r="AB710"/>
      <c r="AL710"/>
      <c r="AM710"/>
      <c r="AN710"/>
      <c r="AO710"/>
    </row>
    <row r="711" spans="1:41" s="2" customFormat="1" x14ac:dyDescent="0.2">
      <c r="A711"/>
      <c r="B711"/>
      <c r="C711"/>
      <c r="D711"/>
      <c r="E711"/>
      <c r="F711"/>
      <c r="G711"/>
      <c r="U711"/>
      <c r="V711"/>
      <c r="W711"/>
      <c r="X711"/>
      <c r="Y711"/>
      <c r="Z711"/>
      <c r="AA711"/>
      <c r="AB711"/>
      <c r="AL711"/>
      <c r="AM711"/>
      <c r="AN711"/>
      <c r="AO711"/>
    </row>
    <row r="712" spans="1:41" s="2" customFormat="1" x14ac:dyDescent="0.2">
      <c r="A712"/>
      <c r="B712"/>
      <c r="C712"/>
      <c r="D712"/>
      <c r="E712"/>
      <c r="F712"/>
      <c r="G712"/>
      <c r="U712"/>
      <c r="V712"/>
      <c r="W712"/>
      <c r="X712"/>
      <c r="Y712"/>
      <c r="Z712"/>
      <c r="AA712"/>
      <c r="AB712"/>
      <c r="AL712"/>
      <c r="AM712"/>
      <c r="AN712"/>
      <c r="AO712"/>
    </row>
    <row r="713" spans="1:41" s="2" customFormat="1" x14ac:dyDescent="0.2">
      <c r="A713"/>
      <c r="B713"/>
      <c r="C713"/>
      <c r="D713"/>
      <c r="E713"/>
      <c r="F713"/>
      <c r="G713"/>
      <c r="U713"/>
      <c r="V713"/>
      <c r="W713"/>
      <c r="X713"/>
      <c r="Y713"/>
      <c r="Z713"/>
      <c r="AA713"/>
      <c r="AB713"/>
      <c r="AL713"/>
      <c r="AM713"/>
      <c r="AN713"/>
      <c r="AO713"/>
    </row>
    <row r="714" spans="1:41" s="2" customFormat="1" x14ac:dyDescent="0.2">
      <c r="A714"/>
      <c r="B714"/>
      <c r="C714"/>
      <c r="D714"/>
      <c r="E714"/>
      <c r="F714"/>
      <c r="G714"/>
      <c r="U714"/>
      <c r="V714"/>
      <c r="W714"/>
      <c r="X714"/>
      <c r="Y714"/>
      <c r="Z714"/>
      <c r="AA714"/>
      <c r="AB714"/>
      <c r="AL714"/>
      <c r="AM714"/>
      <c r="AN714"/>
      <c r="AO714"/>
    </row>
    <row r="715" spans="1:41" s="2" customFormat="1" x14ac:dyDescent="0.2">
      <c r="A715"/>
      <c r="B715"/>
      <c r="C715"/>
      <c r="D715"/>
      <c r="E715"/>
      <c r="F715"/>
      <c r="G715"/>
      <c r="U715"/>
      <c r="V715"/>
      <c r="W715"/>
      <c r="X715"/>
      <c r="Y715"/>
      <c r="Z715"/>
      <c r="AA715"/>
      <c r="AB715"/>
      <c r="AL715"/>
      <c r="AM715"/>
      <c r="AN715"/>
      <c r="AO715"/>
    </row>
    <row r="716" spans="1:41" s="2" customFormat="1" x14ac:dyDescent="0.2">
      <c r="A716"/>
      <c r="B716"/>
      <c r="C716"/>
      <c r="D716"/>
      <c r="E716"/>
      <c r="F716"/>
      <c r="G716"/>
      <c r="U716"/>
      <c r="V716"/>
      <c r="W716"/>
      <c r="X716"/>
      <c r="Y716"/>
      <c r="Z716"/>
      <c r="AA716"/>
      <c r="AB716"/>
      <c r="AL716"/>
      <c r="AM716"/>
      <c r="AN716"/>
      <c r="AO716"/>
    </row>
    <row r="717" spans="1:41" s="2" customFormat="1" x14ac:dyDescent="0.2">
      <c r="A717"/>
      <c r="B717"/>
      <c r="C717"/>
      <c r="D717"/>
      <c r="E717"/>
      <c r="F717"/>
      <c r="G717"/>
      <c r="U717"/>
      <c r="V717"/>
      <c r="W717"/>
      <c r="X717"/>
      <c r="Y717"/>
      <c r="Z717"/>
      <c r="AA717"/>
      <c r="AB717"/>
      <c r="AL717"/>
      <c r="AM717"/>
      <c r="AN717"/>
      <c r="AO717"/>
    </row>
    <row r="718" spans="1:41" s="2" customFormat="1" x14ac:dyDescent="0.2">
      <c r="A718"/>
      <c r="B718"/>
      <c r="C718"/>
      <c r="D718"/>
      <c r="E718"/>
      <c r="F718"/>
      <c r="G718"/>
      <c r="U718"/>
      <c r="V718"/>
      <c r="W718"/>
      <c r="X718"/>
      <c r="Y718"/>
      <c r="Z718"/>
      <c r="AA718"/>
      <c r="AB718"/>
      <c r="AL718"/>
      <c r="AM718"/>
      <c r="AN718"/>
      <c r="AO718"/>
    </row>
    <row r="719" spans="1:41" s="2" customFormat="1" x14ac:dyDescent="0.2">
      <c r="A719"/>
      <c r="B719"/>
      <c r="C719"/>
      <c r="D719"/>
      <c r="E719"/>
      <c r="F719"/>
      <c r="G719"/>
      <c r="U719"/>
      <c r="V719"/>
      <c r="W719"/>
      <c r="X719"/>
      <c r="Y719"/>
      <c r="Z719"/>
      <c r="AA719"/>
      <c r="AB719"/>
      <c r="AL719"/>
      <c r="AM719"/>
      <c r="AN719"/>
      <c r="AO719"/>
    </row>
    <row r="720" spans="1:41" s="2" customFormat="1" x14ac:dyDescent="0.2">
      <c r="A720"/>
      <c r="B720"/>
      <c r="C720"/>
      <c r="D720"/>
      <c r="E720"/>
      <c r="F720"/>
      <c r="G720"/>
      <c r="U720"/>
      <c r="V720"/>
      <c r="W720"/>
      <c r="X720"/>
      <c r="Y720"/>
      <c r="Z720"/>
      <c r="AA720"/>
      <c r="AB720"/>
      <c r="AL720"/>
      <c r="AM720"/>
      <c r="AN720"/>
      <c r="AO720"/>
    </row>
    <row r="721" spans="1:41" s="2" customFormat="1" x14ac:dyDescent="0.2">
      <c r="A721"/>
      <c r="B721"/>
      <c r="C721"/>
      <c r="D721"/>
      <c r="E721"/>
      <c r="F721"/>
      <c r="G721"/>
      <c r="U721"/>
      <c r="V721"/>
      <c r="W721"/>
      <c r="X721"/>
      <c r="Y721"/>
      <c r="Z721"/>
      <c r="AA721"/>
      <c r="AB721"/>
      <c r="AL721"/>
      <c r="AM721"/>
      <c r="AN721"/>
      <c r="AO721"/>
    </row>
    <row r="722" spans="1:41" s="2" customFormat="1" x14ac:dyDescent="0.2">
      <c r="A722"/>
      <c r="B722"/>
      <c r="C722"/>
      <c r="D722"/>
      <c r="E722"/>
      <c r="F722"/>
      <c r="G722"/>
      <c r="U722"/>
      <c r="V722"/>
      <c r="W722"/>
      <c r="X722"/>
      <c r="Y722"/>
      <c r="Z722"/>
      <c r="AA722"/>
      <c r="AB722"/>
      <c r="AL722"/>
      <c r="AM722"/>
      <c r="AN722"/>
      <c r="AO722"/>
    </row>
    <row r="723" spans="1:41" s="2" customFormat="1" x14ac:dyDescent="0.2">
      <c r="A723"/>
      <c r="B723"/>
      <c r="C723"/>
      <c r="D723"/>
      <c r="E723"/>
      <c r="F723"/>
      <c r="G723"/>
      <c r="U723"/>
      <c r="V723"/>
      <c r="W723"/>
      <c r="X723"/>
      <c r="Y723"/>
      <c r="Z723"/>
      <c r="AA723"/>
      <c r="AB723"/>
      <c r="AL723"/>
      <c r="AM723"/>
      <c r="AN723"/>
      <c r="AO723"/>
    </row>
    <row r="724" spans="1:41" s="2" customFormat="1" x14ac:dyDescent="0.2">
      <c r="A724"/>
      <c r="B724"/>
      <c r="C724"/>
      <c r="D724"/>
      <c r="E724"/>
      <c r="F724"/>
      <c r="G724"/>
      <c r="U724"/>
      <c r="V724"/>
      <c r="W724"/>
      <c r="X724"/>
      <c r="Y724"/>
      <c r="Z724"/>
      <c r="AA724"/>
      <c r="AB724"/>
      <c r="AL724"/>
      <c r="AM724"/>
      <c r="AN724"/>
      <c r="AO724"/>
    </row>
    <row r="725" spans="1:41" s="2" customFormat="1" x14ac:dyDescent="0.2">
      <c r="A725"/>
      <c r="B725"/>
      <c r="C725"/>
      <c r="D725"/>
      <c r="E725"/>
      <c r="F725"/>
      <c r="G725"/>
      <c r="U725"/>
      <c r="V725"/>
      <c r="W725"/>
      <c r="X725"/>
      <c r="Y725"/>
      <c r="Z725"/>
      <c r="AA725"/>
      <c r="AB725"/>
      <c r="AL725"/>
      <c r="AM725"/>
      <c r="AN725"/>
      <c r="AO725"/>
    </row>
    <row r="726" spans="1:41" s="2" customFormat="1" x14ac:dyDescent="0.2">
      <c r="A726"/>
      <c r="B726"/>
      <c r="C726"/>
      <c r="D726"/>
      <c r="E726"/>
      <c r="F726"/>
      <c r="G726"/>
      <c r="U726"/>
      <c r="V726"/>
      <c r="W726"/>
      <c r="X726"/>
      <c r="Y726"/>
      <c r="Z726"/>
      <c r="AA726"/>
      <c r="AB726"/>
      <c r="AL726"/>
      <c r="AM726"/>
      <c r="AN726"/>
      <c r="AO726"/>
    </row>
    <row r="727" spans="1:41" s="2" customFormat="1" x14ac:dyDescent="0.2">
      <c r="A727"/>
      <c r="B727"/>
      <c r="C727"/>
      <c r="D727"/>
      <c r="E727"/>
      <c r="F727"/>
      <c r="G727"/>
      <c r="U727"/>
      <c r="V727"/>
      <c r="W727"/>
      <c r="X727"/>
      <c r="Y727"/>
      <c r="Z727"/>
      <c r="AA727"/>
      <c r="AB727"/>
      <c r="AL727"/>
      <c r="AM727"/>
      <c r="AN727"/>
      <c r="AO727"/>
    </row>
    <row r="728" spans="1:41" s="2" customFormat="1" x14ac:dyDescent="0.2">
      <c r="A728"/>
      <c r="B728"/>
      <c r="C728"/>
      <c r="D728"/>
      <c r="E728"/>
      <c r="F728"/>
      <c r="G728"/>
      <c r="U728"/>
      <c r="V728"/>
      <c r="W728"/>
      <c r="X728"/>
      <c r="Y728"/>
      <c r="Z728"/>
      <c r="AA728"/>
      <c r="AB728"/>
      <c r="AL728"/>
      <c r="AM728"/>
      <c r="AN728"/>
      <c r="AO728"/>
    </row>
    <row r="729" spans="1:41" s="2" customFormat="1" x14ac:dyDescent="0.2">
      <c r="A729"/>
      <c r="B729"/>
      <c r="C729"/>
      <c r="D729"/>
      <c r="E729"/>
      <c r="F729"/>
      <c r="G729"/>
      <c r="U729"/>
      <c r="V729"/>
      <c r="W729"/>
      <c r="X729"/>
      <c r="Y729"/>
      <c r="Z729"/>
      <c r="AA729"/>
      <c r="AB729"/>
      <c r="AL729"/>
      <c r="AM729"/>
      <c r="AN729"/>
      <c r="AO729"/>
    </row>
    <row r="730" spans="1:41" s="2" customFormat="1" x14ac:dyDescent="0.2">
      <c r="A730"/>
      <c r="B730"/>
      <c r="C730"/>
      <c r="D730"/>
      <c r="E730"/>
      <c r="F730"/>
      <c r="G730"/>
      <c r="U730"/>
      <c r="V730"/>
      <c r="W730"/>
      <c r="X730"/>
      <c r="Y730"/>
      <c r="Z730"/>
      <c r="AA730"/>
      <c r="AB730"/>
      <c r="AL730"/>
      <c r="AM730"/>
      <c r="AN730"/>
      <c r="AO730"/>
    </row>
    <row r="731" spans="1:41" s="2" customFormat="1" x14ac:dyDescent="0.2">
      <c r="A731"/>
      <c r="B731"/>
      <c r="C731"/>
      <c r="D731"/>
      <c r="E731"/>
      <c r="F731"/>
      <c r="G731"/>
      <c r="U731"/>
      <c r="V731"/>
      <c r="W731"/>
      <c r="X731"/>
      <c r="Y731"/>
      <c r="Z731"/>
      <c r="AA731"/>
      <c r="AB731"/>
      <c r="AL731"/>
      <c r="AM731"/>
      <c r="AN731"/>
      <c r="AO731"/>
    </row>
    <row r="732" spans="1:41" s="2" customFormat="1" x14ac:dyDescent="0.2">
      <c r="A732"/>
      <c r="B732"/>
      <c r="C732"/>
      <c r="D732"/>
      <c r="E732"/>
      <c r="F732"/>
      <c r="G732"/>
      <c r="U732"/>
      <c r="V732"/>
      <c r="W732"/>
      <c r="X732"/>
      <c r="Y732"/>
      <c r="Z732"/>
      <c r="AA732"/>
      <c r="AB732"/>
      <c r="AL732"/>
      <c r="AM732"/>
      <c r="AN732"/>
      <c r="AO732"/>
    </row>
    <row r="733" spans="1:41" s="2" customFormat="1" x14ac:dyDescent="0.2">
      <c r="A733"/>
      <c r="B733"/>
      <c r="C733"/>
      <c r="D733"/>
      <c r="E733"/>
      <c r="F733"/>
      <c r="G733"/>
      <c r="U733"/>
      <c r="V733"/>
      <c r="W733"/>
      <c r="X733"/>
      <c r="Y733"/>
      <c r="Z733"/>
      <c r="AA733"/>
      <c r="AB733"/>
      <c r="AL733"/>
      <c r="AM733"/>
      <c r="AN733"/>
      <c r="AO733"/>
    </row>
    <row r="734" spans="1:41" s="2" customFormat="1" x14ac:dyDescent="0.2">
      <c r="A734"/>
      <c r="B734"/>
      <c r="C734"/>
      <c r="D734"/>
      <c r="E734"/>
      <c r="F734"/>
      <c r="G734"/>
      <c r="U734"/>
      <c r="V734"/>
      <c r="W734"/>
      <c r="X734"/>
      <c r="Y734"/>
      <c r="Z734"/>
      <c r="AA734"/>
      <c r="AB734"/>
      <c r="AL734"/>
      <c r="AM734"/>
      <c r="AN734"/>
      <c r="AO734"/>
    </row>
    <row r="735" spans="1:41" s="2" customFormat="1" x14ac:dyDescent="0.2">
      <c r="A735"/>
      <c r="B735"/>
      <c r="C735"/>
      <c r="D735"/>
      <c r="E735"/>
      <c r="F735"/>
      <c r="G735"/>
      <c r="U735"/>
      <c r="V735"/>
      <c r="W735"/>
      <c r="X735"/>
      <c r="Y735"/>
      <c r="Z735"/>
      <c r="AA735"/>
      <c r="AB735"/>
      <c r="AL735"/>
      <c r="AM735"/>
      <c r="AN735"/>
      <c r="AO735"/>
    </row>
    <row r="736" spans="1:41" s="2" customFormat="1" x14ac:dyDescent="0.2">
      <c r="A736"/>
      <c r="B736"/>
      <c r="C736"/>
      <c r="D736"/>
      <c r="E736"/>
      <c r="F736"/>
      <c r="G736"/>
      <c r="U736"/>
      <c r="V736"/>
      <c r="W736"/>
      <c r="X736"/>
      <c r="Y736"/>
      <c r="Z736"/>
      <c r="AA736"/>
      <c r="AB736"/>
      <c r="AL736"/>
      <c r="AM736"/>
      <c r="AN736"/>
      <c r="AO736"/>
    </row>
    <row r="737" spans="1:41" s="2" customFormat="1" x14ac:dyDescent="0.2">
      <c r="A737"/>
      <c r="B737"/>
      <c r="C737"/>
      <c r="D737"/>
      <c r="E737"/>
      <c r="F737"/>
      <c r="G737"/>
      <c r="U737"/>
      <c r="V737"/>
      <c r="W737"/>
      <c r="X737"/>
      <c r="Y737"/>
      <c r="Z737"/>
      <c r="AA737"/>
      <c r="AB737"/>
      <c r="AL737"/>
      <c r="AM737"/>
      <c r="AN737"/>
      <c r="AO737"/>
    </row>
    <row r="738" spans="1:41" s="2" customFormat="1" x14ac:dyDescent="0.2">
      <c r="A738"/>
      <c r="B738"/>
      <c r="C738"/>
      <c r="D738"/>
      <c r="E738"/>
      <c r="F738"/>
      <c r="G738"/>
      <c r="U738"/>
      <c r="V738"/>
      <c r="W738"/>
      <c r="X738"/>
      <c r="Y738"/>
      <c r="Z738"/>
      <c r="AA738"/>
      <c r="AB738"/>
      <c r="AL738"/>
      <c r="AM738"/>
      <c r="AN738"/>
      <c r="AO738"/>
    </row>
    <row r="739" spans="1:41" s="2" customFormat="1" x14ac:dyDescent="0.2">
      <c r="A739"/>
      <c r="B739"/>
      <c r="C739"/>
      <c r="D739"/>
      <c r="E739"/>
      <c r="F739"/>
      <c r="G739"/>
      <c r="U739"/>
      <c r="V739"/>
      <c r="W739"/>
      <c r="X739"/>
      <c r="Y739"/>
      <c r="Z739"/>
      <c r="AA739"/>
      <c r="AB739"/>
      <c r="AL739"/>
      <c r="AM739"/>
      <c r="AN739"/>
      <c r="AO739"/>
    </row>
    <row r="740" spans="1:41" s="2" customFormat="1" x14ac:dyDescent="0.2">
      <c r="A740"/>
      <c r="B740"/>
      <c r="C740"/>
      <c r="D740"/>
      <c r="E740"/>
      <c r="F740"/>
      <c r="G740"/>
      <c r="U740"/>
      <c r="V740"/>
      <c r="W740"/>
      <c r="X740"/>
      <c r="Y740"/>
      <c r="Z740"/>
      <c r="AA740"/>
      <c r="AB740"/>
      <c r="AL740"/>
      <c r="AM740"/>
      <c r="AN740"/>
      <c r="AO740"/>
    </row>
    <row r="741" spans="1:41" s="2" customFormat="1" x14ac:dyDescent="0.2">
      <c r="A741"/>
      <c r="B741"/>
      <c r="C741"/>
      <c r="D741"/>
      <c r="E741"/>
      <c r="F741"/>
      <c r="G741"/>
      <c r="U741"/>
      <c r="V741"/>
      <c r="W741"/>
      <c r="X741"/>
      <c r="Y741"/>
      <c r="Z741"/>
      <c r="AA741"/>
      <c r="AB741"/>
      <c r="AL741"/>
      <c r="AM741"/>
      <c r="AN741"/>
      <c r="AO741"/>
    </row>
    <row r="742" spans="1:41" s="2" customFormat="1" x14ac:dyDescent="0.2">
      <c r="A742"/>
      <c r="B742"/>
      <c r="C742"/>
      <c r="D742"/>
      <c r="E742"/>
      <c r="F742"/>
      <c r="G742"/>
      <c r="U742"/>
      <c r="V742"/>
      <c r="W742"/>
      <c r="X742"/>
      <c r="Y742"/>
      <c r="Z742"/>
      <c r="AA742"/>
      <c r="AB742"/>
      <c r="AL742"/>
      <c r="AM742"/>
      <c r="AN742"/>
      <c r="AO742"/>
    </row>
    <row r="743" spans="1:41" s="2" customFormat="1" x14ac:dyDescent="0.2">
      <c r="A743"/>
      <c r="B743"/>
      <c r="C743"/>
      <c r="D743"/>
      <c r="E743"/>
      <c r="F743"/>
      <c r="G743"/>
      <c r="U743"/>
      <c r="V743"/>
      <c r="W743"/>
      <c r="X743"/>
      <c r="Y743"/>
      <c r="Z743"/>
      <c r="AA743"/>
      <c r="AB743"/>
      <c r="AL743"/>
      <c r="AM743"/>
      <c r="AN743"/>
      <c r="AO743"/>
    </row>
    <row r="744" spans="1:41" s="2" customFormat="1" x14ac:dyDescent="0.2">
      <c r="A744"/>
      <c r="B744"/>
      <c r="C744"/>
      <c r="D744"/>
      <c r="E744"/>
      <c r="F744"/>
      <c r="G744"/>
      <c r="U744"/>
      <c r="V744"/>
      <c r="W744"/>
      <c r="X744"/>
      <c r="Y744"/>
      <c r="Z744"/>
      <c r="AA744"/>
      <c r="AB744"/>
      <c r="AL744"/>
      <c r="AM744"/>
      <c r="AN744"/>
      <c r="AO744"/>
    </row>
    <row r="745" spans="1:41" s="2" customFormat="1" x14ac:dyDescent="0.2">
      <c r="A745"/>
      <c r="B745"/>
      <c r="C745"/>
      <c r="D745"/>
      <c r="E745"/>
      <c r="F745"/>
      <c r="G745"/>
      <c r="U745"/>
      <c r="V745"/>
      <c r="W745"/>
      <c r="X745"/>
      <c r="Y745"/>
      <c r="Z745"/>
      <c r="AA745"/>
      <c r="AB745"/>
      <c r="AL745"/>
      <c r="AM745"/>
      <c r="AN745"/>
      <c r="AO745"/>
    </row>
    <row r="746" spans="1:41" s="2" customFormat="1" x14ac:dyDescent="0.2">
      <c r="A746"/>
      <c r="B746"/>
      <c r="C746"/>
      <c r="D746"/>
      <c r="E746"/>
      <c r="F746"/>
      <c r="G746"/>
      <c r="U746"/>
      <c r="V746"/>
      <c r="W746"/>
      <c r="X746"/>
      <c r="Y746"/>
      <c r="Z746"/>
      <c r="AA746"/>
      <c r="AB746"/>
      <c r="AL746"/>
      <c r="AM746"/>
      <c r="AN746"/>
      <c r="AO746"/>
    </row>
    <row r="747" spans="1:41" s="2" customFormat="1" x14ac:dyDescent="0.2">
      <c r="A747"/>
      <c r="B747"/>
      <c r="C747"/>
      <c r="D747"/>
      <c r="E747"/>
      <c r="F747"/>
      <c r="G747"/>
      <c r="U747"/>
      <c r="V747"/>
      <c r="W747"/>
      <c r="X747"/>
      <c r="Y747"/>
      <c r="Z747"/>
      <c r="AA747"/>
      <c r="AB747"/>
      <c r="AL747"/>
      <c r="AM747"/>
      <c r="AN747"/>
      <c r="AO747"/>
    </row>
    <row r="748" spans="1:41" s="2" customFormat="1" x14ac:dyDescent="0.2">
      <c r="A748"/>
      <c r="B748"/>
      <c r="C748"/>
      <c r="D748"/>
      <c r="E748"/>
      <c r="F748"/>
      <c r="G748"/>
      <c r="U748"/>
      <c r="V748"/>
      <c r="W748"/>
      <c r="X748"/>
      <c r="Y748"/>
      <c r="Z748"/>
      <c r="AA748"/>
      <c r="AB748"/>
      <c r="AL748"/>
      <c r="AM748"/>
      <c r="AN748"/>
      <c r="AO748"/>
    </row>
    <row r="749" spans="1:41" s="2" customFormat="1" x14ac:dyDescent="0.2">
      <c r="A749"/>
      <c r="B749"/>
      <c r="C749"/>
      <c r="D749"/>
      <c r="E749"/>
      <c r="F749"/>
      <c r="G749"/>
      <c r="U749"/>
      <c r="V749"/>
      <c r="W749"/>
      <c r="X749"/>
      <c r="Y749"/>
      <c r="Z749"/>
      <c r="AA749"/>
      <c r="AB749"/>
      <c r="AL749"/>
      <c r="AM749"/>
      <c r="AN749"/>
      <c r="AO749"/>
    </row>
    <row r="750" spans="1:41" s="2" customFormat="1" x14ac:dyDescent="0.2">
      <c r="A750"/>
      <c r="B750"/>
      <c r="C750"/>
      <c r="D750"/>
      <c r="E750"/>
      <c r="F750"/>
      <c r="G750"/>
      <c r="U750"/>
      <c r="V750"/>
      <c r="W750"/>
      <c r="X750"/>
      <c r="Y750"/>
      <c r="Z750"/>
      <c r="AA750"/>
      <c r="AB750"/>
      <c r="AL750"/>
      <c r="AM750"/>
      <c r="AN750"/>
      <c r="AO750"/>
    </row>
    <row r="751" spans="1:41" s="2" customFormat="1" x14ac:dyDescent="0.2">
      <c r="A751"/>
      <c r="B751"/>
      <c r="C751"/>
      <c r="D751"/>
      <c r="E751"/>
      <c r="F751"/>
      <c r="G751"/>
      <c r="U751"/>
      <c r="V751"/>
      <c r="W751"/>
      <c r="X751"/>
      <c r="Y751"/>
      <c r="Z751"/>
      <c r="AA751"/>
      <c r="AB751"/>
      <c r="AL751"/>
      <c r="AM751"/>
      <c r="AN751"/>
      <c r="AO751"/>
    </row>
    <row r="752" spans="1:41" s="2" customFormat="1" x14ac:dyDescent="0.2">
      <c r="A752"/>
      <c r="B752"/>
      <c r="C752"/>
      <c r="D752"/>
      <c r="E752"/>
      <c r="F752"/>
      <c r="G752"/>
      <c r="U752"/>
      <c r="V752"/>
      <c r="W752"/>
      <c r="X752"/>
      <c r="Y752"/>
      <c r="Z752"/>
      <c r="AA752"/>
      <c r="AB752"/>
      <c r="AL752"/>
      <c r="AM752"/>
      <c r="AN752"/>
      <c r="AO752"/>
    </row>
    <row r="753" spans="1:41" s="2" customFormat="1" x14ac:dyDescent="0.2">
      <c r="A753"/>
      <c r="B753"/>
      <c r="C753"/>
      <c r="D753"/>
      <c r="E753"/>
      <c r="F753"/>
      <c r="G753"/>
      <c r="U753"/>
      <c r="V753"/>
      <c r="W753"/>
      <c r="X753"/>
      <c r="Y753"/>
      <c r="Z753"/>
      <c r="AA753"/>
      <c r="AB753"/>
      <c r="AL753"/>
      <c r="AM753"/>
      <c r="AN753"/>
      <c r="AO753"/>
    </row>
    <row r="754" spans="1:41" s="2" customFormat="1" x14ac:dyDescent="0.2">
      <c r="A754"/>
      <c r="B754"/>
      <c r="C754"/>
      <c r="D754"/>
      <c r="E754"/>
      <c r="F754"/>
      <c r="G754"/>
      <c r="U754"/>
      <c r="V754"/>
      <c r="W754"/>
      <c r="X754"/>
      <c r="Y754"/>
      <c r="Z754"/>
      <c r="AA754"/>
      <c r="AB754"/>
      <c r="AL754"/>
      <c r="AM754"/>
      <c r="AN754"/>
      <c r="AO754"/>
    </row>
    <row r="755" spans="1:41" s="2" customFormat="1" x14ac:dyDescent="0.2">
      <c r="A755"/>
      <c r="B755"/>
      <c r="C755"/>
      <c r="D755"/>
      <c r="E755"/>
      <c r="F755"/>
      <c r="G755"/>
      <c r="U755"/>
      <c r="V755"/>
      <c r="W755"/>
      <c r="X755"/>
      <c r="Y755"/>
      <c r="Z755"/>
      <c r="AA755"/>
      <c r="AB755"/>
      <c r="AL755"/>
      <c r="AM755"/>
      <c r="AN755"/>
      <c r="AO755"/>
    </row>
    <row r="756" spans="1:41" s="2" customFormat="1" x14ac:dyDescent="0.2">
      <c r="A756"/>
      <c r="B756"/>
      <c r="C756"/>
      <c r="D756"/>
      <c r="E756"/>
      <c r="F756"/>
      <c r="G756"/>
      <c r="U756"/>
      <c r="V756"/>
      <c r="W756"/>
      <c r="X756"/>
      <c r="Y756"/>
      <c r="Z756"/>
      <c r="AA756"/>
      <c r="AB756"/>
      <c r="AL756"/>
      <c r="AM756"/>
      <c r="AN756"/>
      <c r="AO756"/>
    </row>
    <row r="757" spans="1:41" s="2" customFormat="1" x14ac:dyDescent="0.2">
      <c r="A757"/>
      <c r="B757"/>
      <c r="C757"/>
      <c r="D757"/>
      <c r="E757"/>
      <c r="F757"/>
      <c r="G757"/>
      <c r="U757"/>
      <c r="V757"/>
      <c r="W757"/>
      <c r="X757"/>
      <c r="Y757"/>
      <c r="Z757"/>
      <c r="AA757"/>
      <c r="AB757"/>
      <c r="AL757"/>
      <c r="AM757"/>
      <c r="AN757"/>
      <c r="AO757"/>
    </row>
    <row r="758" spans="1:41" s="2" customFormat="1" x14ac:dyDescent="0.2">
      <c r="A758"/>
      <c r="B758"/>
      <c r="C758"/>
      <c r="D758"/>
      <c r="E758"/>
      <c r="F758"/>
      <c r="G758"/>
      <c r="U758"/>
      <c r="V758"/>
      <c r="W758"/>
      <c r="X758"/>
      <c r="Y758"/>
      <c r="Z758"/>
      <c r="AA758"/>
      <c r="AB758"/>
      <c r="AL758"/>
      <c r="AM758"/>
      <c r="AN758"/>
      <c r="AO758"/>
    </row>
    <row r="759" spans="1:41" s="2" customFormat="1" x14ac:dyDescent="0.2">
      <c r="A759"/>
      <c r="B759"/>
      <c r="C759"/>
      <c r="D759"/>
      <c r="E759"/>
      <c r="F759"/>
      <c r="G759"/>
      <c r="U759"/>
      <c r="V759"/>
      <c r="W759"/>
      <c r="X759"/>
      <c r="Y759"/>
      <c r="Z759"/>
      <c r="AA759"/>
      <c r="AB759"/>
      <c r="AL759"/>
      <c r="AM759"/>
      <c r="AN759"/>
      <c r="AO759"/>
    </row>
    <row r="760" spans="1:41" s="2" customFormat="1" x14ac:dyDescent="0.2">
      <c r="A760"/>
      <c r="B760"/>
      <c r="C760"/>
      <c r="D760"/>
      <c r="E760"/>
      <c r="F760"/>
      <c r="G760"/>
      <c r="U760"/>
      <c r="V760"/>
      <c r="W760"/>
      <c r="X760"/>
      <c r="Y760"/>
      <c r="Z760"/>
      <c r="AA760"/>
      <c r="AB760"/>
      <c r="AL760"/>
      <c r="AM760"/>
      <c r="AN760"/>
      <c r="AO760"/>
    </row>
    <row r="761" spans="1:41" s="2" customFormat="1" x14ac:dyDescent="0.2">
      <c r="A761"/>
      <c r="B761"/>
      <c r="C761"/>
      <c r="D761"/>
      <c r="E761"/>
      <c r="F761"/>
      <c r="G761"/>
      <c r="U761"/>
      <c r="V761"/>
      <c r="W761"/>
      <c r="X761"/>
      <c r="Y761"/>
      <c r="Z761"/>
      <c r="AA761"/>
      <c r="AB761"/>
      <c r="AL761"/>
      <c r="AM761"/>
      <c r="AN761"/>
      <c r="AO761"/>
    </row>
    <row r="762" spans="1:41" s="2" customFormat="1" x14ac:dyDescent="0.2">
      <c r="A762"/>
      <c r="B762"/>
      <c r="C762"/>
      <c r="D762"/>
      <c r="E762"/>
      <c r="F762"/>
      <c r="G762"/>
      <c r="U762"/>
      <c r="V762"/>
      <c r="W762"/>
      <c r="X762"/>
      <c r="Y762"/>
      <c r="Z762"/>
      <c r="AA762"/>
      <c r="AB762"/>
      <c r="AL762"/>
      <c r="AM762"/>
      <c r="AN762"/>
      <c r="AO762"/>
    </row>
    <row r="763" spans="1:41" s="2" customFormat="1" x14ac:dyDescent="0.2">
      <c r="A763"/>
      <c r="B763"/>
      <c r="C763"/>
      <c r="D763"/>
      <c r="E763"/>
      <c r="F763"/>
      <c r="G763"/>
      <c r="U763"/>
      <c r="V763"/>
      <c r="W763"/>
      <c r="X763"/>
      <c r="Y763"/>
      <c r="Z763"/>
      <c r="AA763"/>
      <c r="AB763"/>
      <c r="AL763"/>
      <c r="AM763"/>
      <c r="AN763"/>
      <c r="AO763"/>
    </row>
    <row r="764" spans="1:41" s="2" customFormat="1" x14ac:dyDescent="0.2">
      <c r="A764"/>
      <c r="B764"/>
      <c r="C764"/>
      <c r="D764"/>
      <c r="E764"/>
      <c r="F764"/>
      <c r="G764"/>
      <c r="U764"/>
      <c r="V764"/>
      <c r="W764"/>
      <c r="X764"/>
      <c r="Y764"/>
      <c r="Z764"/>
      <c r="AA764"/>
      <c r="AB764"/>
      <c r="AL764"/>
      <c r="AM764"/>
      <c r="AN764"/>
      <c r="AO764"/>
    </row>
    <row r="765" spans="1:41" s="2" customFormat="1" x14ac:dyDescent="0.2">
      <c r="A765"/>
      <c r="B765"/>
      <c r="C765"/>
      <c r="D765"/>
      <c r="E765"/>
      <c r="F765"/>
      <c r="G765"/>
      <c r="U765"/>
      <c r="V765"/>
      <c r="W765"/>
      <c r="X765"/>
      <c r="Y765"/>
      <c r="Z765"/>
      <c r="AA765"/>
      <c r="AB765"/>
      <c r="AL765"/>
      <c r="AM765"/>
      <c r="AN765"/>
      <c r="AO765"/>
    </row>
    <row r="766" spans="1:41" s="2" customFormat="1" x14ac:dyDescent="0.2">
      <c r="A766"/>
      <c r="B766"/>
      <c r="C766"/>
      <c r="D766"/>
      <c r="E766"/>
      <c r="F766"/>
      <c r="G766"/>
      <c r="U766"/>
      <c r="V766"/>
      <c r="W766"/>
      <c r="X766"/>
      <c r="Y766"/>
      <c r="Z766"/>
      <c r="AA766"/>
      <c r="AB766"/>
      <c r="AL766"/>
      <c r="AM766"/>
      <c r="AN766"/>
      <c r="AO766"/>
    </row>
    <row r="767" spans="1:41" s="2" customFormat="1" x14ac:dyDescent="0.2">
      <c r="A767"/>
      <c r="B767"/>
      <c r="C767"/>
      <c r="D767"/>
      <c r="E767"/>
      <c r="F767"/>
      <c r="G767"/>
      <c r="U767"/>
      <c r="V767"/>
      <c r="W767"/>
      <c r="X767"/>
      <c r="Y767"/>
      <c r="Z767"/>
      <c r="AA767"/>
      <c r="AB767"/>
      <c r="AL767"/>
      <c r="AM767"/>
      <c r="AN767"/>
      <c r="AO767"/>
    </row>
    <row r="768" spans="1:41" s="2" customFormat="1" x14ac:dyDescent="0.2">
      <c r="A768"/>
      <c r="B768"/>
      <c r="C768"/>
      <c r="D768"/>
      <c r="E768"/>
      <c r="F768"/>
      <c r="G768"/>
      <c r="U768"/>
      <c r="V768"/>
      <c r="W768"/>
      <c r="X768"/>
      <c r="Y768"/>
      <c r="Z768"/>
      <c r="AA768"/>
      <c r="AB768"/>
      <c r="AL768"/>
      <c r="AM768"/>
      <c r="AN768"/>
      <c r="AO768"/>
    </row>
    <row r="769" spans="1:41" s="2" customFormat="1" x14ac:dyDescent="0.2">
      <c r="A769"/>
      <c r="B769"/>
      <c r="C769"/>
      <c r="D769"/>
      <c r="E769"/>
      <c r="F769"/>
      <c r="G769"/>
      <c r="U769"/>
      <c r="V769"/>
      <c r="W769"/>
      <c r="X769"/>
      <c r="Y769"/>
      <c r="Z769"/>
      <c r="AA769"/>
      <c r="AB769"/>
      <c r="AL769"/>
      <c r="AM769"/>
      <c r="AN769"/>
      <c r="AO769"/>
    </row>
    <row r="770" spans="1:41" s="2" customFormat="1" x14ac:dyDescent="0.2">
      <c r="A770"/>
      <c r="B770"/>
      <c r="C770"/>
      <c r="D770"/>
      <c r="E770"/>
      <c r="F770"/>
      <c r="G770"/>
      <c r="U770"/>
      <c r="V770"/>
      <c r="W770"/>
      <c r="X770"/>
      <c r="Y770"/>
      <c r="Z770"/>
      <c r="AA770"/>
      <c r="AB770"/>
      <c r="AL770"/>
      <c r="AM770"/>
      <c r="AN770"/>
      <c r="AO770"/>
    </row>
    <row r="771" spans="1:41" s="2" customFormat="1" x14ac:dyDescent="0.2">
      <c r="A771"/>
      <c r="B771"/>
      <c r="C771"/>
      <c r="D771"/>
      <c r="E771"/>
      <c r="F771"/>
      <c r="G771"/>
      <c r="U771"/>
      <c r="V771"/>
      <c r="W771"/>
      <c r="X771"/>
      <c r="Y771"/>
      <c r="Z771"/>
      <c r="AA771"/>
      <c r="AB771"/>
      <c r="AL771"/>
      <c r="AM771"/>
      <c r="AN771"/>
      <c r="AO771"/>
    </row>
    <row r="772" spans="1:41" s="2" customFormat="1" x14ac:dyDescent="0.2">
      <c r="A772"/>
      <c r="B772"/>
      <c r="C772"/>
      <c r="D772"/>
      <c r="E772"/>
      <c r="F772"/>
      <c r="G772"/>
      <c r="U772"/>
      <c r="V772"/>
      <c r="W772"/>
      <c r="X772"/>
      <c r="Y772"/>
      <c r="Z772"/>
      <c r="AA772"/>
      <c r="AB772"/>
      <c r="AL772"/>
      <c r="AM772"/>
      <c r="AN772"/>
      <c r="AO772"/>
    </row>
    <row r="773" spans="1:41" s="2" customFormat="1" x14ac:dyDescent="0.2">
      <c r="A773"/>
      <c r="B773"/>
      <c r="C773"/>
      <c r="D773"/>
      <c r="E773"/>
      <c r="F773"/>
      <c r="G773"/>
      <c r="U773"/>
      <c r="V773"/>
      <c r="W773"/>
      <c r="X773"/>
      <c r="Y773"/>
      <c r="Z773"/>
      <c r="AA773"/>
      <c r="AB773"/>
      <c r="AL773"/>
      <c r="AM773"/>
      <c r="AN773"/>
      <c r="AO773"/>
    </row>
    <row r="774" spans="1:41" s="2" customFormat="1" x14ac:dyDescent="0.2">
      <c r="A774"/>
      <c r="B774"/>
      <c r="C774"/>
      <c r="D774"/>
      <c r="E774"/>
      <c r="F774"/>
      <c r="G774"/>
      <c r="U774"/>
      <c r="V774"/>
      <c r="W774"/>
      <c r="X774"/>
      <c r="Y774"/>
      <c r="Z774"/>
      <c r="AA774"/>
      <c r="AB774"/>
      <c r="AL774"/>
      <c r="AM774"/>
      <c r="AN774"/>
      <c r="AO774"/>
    </row>
    <row r="775" spans="1:41" s="2" customFormat="1" x14ac:dyDescent="0.2">
      <c r="A775"/>
      <c r="B775"/>
      <c r="C775"/>
      <c r="D775"/>
      <c r="E775"/>
      <c r="F775"/>
      <c r="G775"/>
      <c r="U775"/>
      <c r="V775"/>
      <c r="W775"/>
      <c r="X775"/>
      <c r="Y775"/>
      <c r="Z775"/>
      <c r="AA775"/>
      <c r="AB775"/>
      <c r="AL775"/>
      <c r="AM775"/>
      <c r="AN775"/>
      <c r="AO775"/>
    </row>
    <row r="776" spans="1:41" s="2" customFormat="1" x14ac:dyDescent="0.2">
      <c r="A776"/>
      <c r="B776"/>
      <c r="C776"/>
      <c r="D776"/>
      <c r="E776"/>
      <c r="F776"/>
      <c r="G776"/>
      <c r="U776"/>
      <c r="V776"/>
      <c r="W776"/>
      <c r="X776"/>
      <c r="Y776"/>
      <c r="Z776"/>
      <c r="AA776"/>
      <c r="AB776"/>
      <c r="AL776"/>
      <c r="AM776"/>
      <c r="AN776"/>
      <c r="AO776"/>
    </row>
    <row r="777" spans="1:41" s="2" customFormat="1" x14ac:dyDescent="0.2">
      <c r="A777"/>
      <c r="B777"/>
      <c r="C777"/>
      <c r="D777"/>
      <c r="E777"/>
      <c r="F777"/>
      <c r="G777"/>
      <c r="U777"/>
      <c r="V777"/>
      <c r="W777"/>
      <c r="X777"/>
      <c r="Y777"/>
      <c r="Z777"/>
      <c r="AA777"/>
      <c r="AB777"/>
      <c r="AL777"/>
      <c r="AM777"/>
      <c r="AN777"/>
      <c r="AO777"/>
    </row>
    <row r="778" spans="1:41" s="2" customFormat="1" x14ac:dyDescent="0.2">
      <c r="A778"/>
      <c r="B778"/>
      <c r="C778"/>
      <c r="D778"/>
      <c r="E778"/>
      <c r="F778"/>
      <c r="G778"/>
      <c r="U778"/>
      <c r="V778"/>
      <c r="W778"/>
      <c r="X778"/>
      <c r="Y778"/>
      <c r="Z778"/>
      <c r="AA778"/>
      <c r="AB778"/>
      <c r="AL778"/>
      <c r="AM778"/>
      <c r="AN778"/>
      <c r="AO778"/>
    </row>
    <row r="779" spans="1:41" s="2" customFormat="1" x14ac:dyDescent="0.2">
      <c r="A779"/>
      <c r="B779"/>
      <c r="C779"/>
      <c r="D779"/>
      <c r="E779"/>
      <c r="F779"/>
      <c r="G779"/>
      <c r="U779"/>
      <c r="V779"/>
      <c r="W779"/>
      <c r="X779"/>
      <c r="Y779"/>
      <c r="Z779"/>
      <c r="AA779"/>
      <c r="AB779"/>
      <c r="AL779"/>
      <c r="AM779"/>
      <c r="AN779"/>
      <c r="AO779"/>
    </row>
    <row r="780" spans="1:41" s="2" customFormat="1" x14ac:dyDescent="0.2">
      <c r="A780"/>
      <c r="B780"/>
      <c r="C780"/>
      <c r="D780"/>
      <c r="E780"/>
      <c r="F780"/>
      <c r="G780"/>
      <c r="U780"/>
      <c r="V780"/>
      <c r="W780"/>
      <c r="X780"/>
      <c r="Y780"/>
      <c r="Z780"/>
      <c r="AA780"/>
      <c r="AB780"/>
      <c r="AL780"/>
      <c r="AM780"/>
      <c r="AN780"/>
      <c r="AO780"/>
    </row>
    <row r="781" spans="1:41" s="2" customFormat="1" x14ac:dyDescent="0.2">
      <c r="A781"/>
      <c r="B781"/>
      <c r="C781"/>
      <c r="D781"/>
      <c r="E781"/>
      <c r="F781"/>
      <c r="G781"/>
      <c r="U781"/>
      <c r="V781"/>
      <c r="W781"/>
      <c r="X781"/>
      <c r="Y781"/>
      <c r="Z781"/>
      <c r="AA781"/>
      <c r="AB781"/>
      <c r="AL781"/>
      <c r="AM781"/>
      <c r="AN781"/>
      <c r="AO781"/>
    </row>
    <row r="782" spans="1:41" s="2" customFormat="1" x14ac:dyDescent="0.2">
      <c r="A782"/>
      <c r="B782"/>
      <c r="C782"/>
      <c r="D782"/>
      <c r="E782"/>
      <c r="F782"/>
      <c r="G782"/>
      <c r="U782"/>
      <c r="V782"/>
      <c r="W782"/>
      <c r="X782"/>
      <c r="Y782"/>
      <c r="Z782"/>
      <c r="AA782"/>
      <c r="AB782"/>
      <c r="AL782"/>
      <c r="AM782"/>
      <c r="AN782"/>
      <c r="AO782"/>
    </row>
    <row r="783" spans="1:41" s="2" customFormat="1" x14ac:dyDescent="0.2">
      <c r="A783"/>
      <c r="B783"/>
      <c r="C783"/>
      <c r="D783"/>
      <c r="E783"/>
      <c r="F783"/>
      <c r="G783"/>
      <c r="U783"/>
      <c r="V783"/>
      <c r="W783"/>
      <c r="X783"/>
      <c r="Y783"/>
      <c r="Z783"/>
      <c r="AA783"/>
      <c r="AB783"/>
      <c r="AL783"/>
      <c r="AM783"/>
      <c r="AN783"/>
      <c r="AO783"/>
    </row>
    <row r="784" spans="1:41" s="2" customFormat="1" x14ac:dyDescent="0.2">
      <c r="A784"/>
      <c r="B784"/>
      <c r="C784"/>
      <c r="D784"/>
      <c r="E784"/>
      <c r="F784"/>
      <c r="G784"/>
      <c r="U784"/>
      <c r="V784"/>
      <c r="W784"/>
      <c r="X784"/>
      <c r="Y784"/>
      <c r="Z784"/>
      <c r="AA784"/>
      <c r="AB784"/>
      <c r="AL784"/>
      <c r="AM784"/>
      <c r="AN784"/>
      <c r="AO784"/>
    </row>
    <row r="785" spans="1:41" s="2" customFormat="1" x14ac:dyDescent="0.2">
      <c r="A785"/>
      <c r="B785"/>
      <c r="C785"/>
      <c r="D785"/>
      <c r="E785"/>
      <c r="F785"/>
      <c r="G785"/>
      <c r="U785"/>
      <c r="V785"/>
      <c r="W785"/>
      <c r="X785"/>
      <c r="Y785"/>
      <c r="Z785"/>
      <c r="AA785"/>
      <c r="AB785"/>
      <c r="AL785"/>
      <c r="AM785"/>
      <c r="AN785"/>
      <c r="AO785"/>
    </row>
    <row r="786" spans="1:41" s="2" customFormat="1" x14ac:dyDescent="0.2">
      <c r="A786"/>
      <c r="B786"/>
      <c r="C786"/>
      <c r="D786"/>
      <c r="E786"/>
      <c r="F786"/>
      <c r="G786"/>
      <c r="U786"/>
      <c r="V786"/>
      <c r="W786"/>
      <c r="X786"/>
      <c r="Y786"/>
      <c r="Z786"/>
      <c r="AA786"/>
      <c r="AB786"/>
      <c r="AL786"/>
      <c r="AM786"/>
      <c r="AN786"/>
      <c r="AO786"/>
    </row>
    <row r="787" spans="1:41" s="2" customFormat="1" x14ac:dyDescent="0.2">
      <c r="A787"/>
      <c r="B787"/>
      <c r="C787"/>
      <c r="D787"/>
      <c r="E787"/>
      <c r="F787"/>
      <c r="G787"/>
      <c r="U787"/>
      <c r="V787"/>
      <c r="W787"/>
      <c r="X787"/>
      <c r="Y787"/>
      <c r="Z787"/>
      <c r="AA787"/>
      <c r="AB787"/>
      <c r="AL787"/>
      <c r="AM787"/>
      <c r="AN787"/>
      <c r="AO787"/>
    </row>
    <row r="788" spans="1:41" s="2" customFormat="1" x14ac:dyDescent="0.2">
      <c r="A788"/>
      <c r="B788"/>
      <c r="C788"/>
      <c r="D788"/>
      <c r="E788"/>
      <c r="F788"/>
      <c r="G788"/>
      <c r="U788"/>
      <c r="V788"/>
      <c r="W788"/>
      <c r="X788"/>
      <c r="Y788"/>
      <c r="Z788"/>
      <c r="AA788"/>
      <c r="AB788"/>
      <c r="AL788"/>
      <c r="AM788"/>
      <c r="AN788"/>
      <c r="AO788"/>
    </row>
    <row r="789" spans="1:41" s="2" customFormat="1" x14ac:dyDescent="0.2">
      <c r="A789"/>
      <c r="B789"/>
      <c r="C789"/>
      <c r="D789"/>
      <c r="E789"/>
      <c r="F789"/>
      <c r="G789"/>
      <c r="U789"/>
      <c r="V789"/>
      <c r="W789"/>
      <c r="X789"/>
      <c r="Y789"/>
      <c r="Z789"/>
      <c r="AA789"/>
      <c r="AB789"/>
      <c r="AL789"/>
      <c r="AM789"/>
      <c r="AN789"/>
      <c r="AO789"/>
    </row>
    <row r="790" spans="1:41" s="2" customFormat="1" x14ac:dyDescent="0.2">
      <c r="A790"/>
      <c r="B790"/>
      <c r="C790"/>
      <c r="D790"/>
      <c r="E790"/>
      <c r="F790"/>
      <c r="G790"/>
      <c r="U790"/>
      <c r="V790"/>
      <c r="W790"/>
      <c r="X790"/>
      <c r="Y790"/>
      <c r="Z790"/>
      <c r="AA790"/>
      <c r="AB790"/>
      <c r="AL790"/>
      <c r="AM790"/>
      <c r="AN790"/>
      <c r="AO790"/>
    </row>
    <row r="791" spans="1:41" s="2" customFormat="1" x14ac:dyDescent="0.2">
      <c r="A791"/>
      <c r="B791"/>
      <c r="C791"/>
      <c r="D791"/>
      <c r="E791"/>
      <c r="F791"/>
      <c r="G791"/>
      <c r="U791"/>
      <c r="V791"/>
      <c r="W791"/>
      <c r="X791"/>
      <c r="Y791"/>
      <c r="Z791"/>
      <c r="AA791"/>
      <c r="AB791"/>
      <c r="AL791"/>
      <c r="AM791"/>
      <c r="AN791"/>
      <c r="AO791"/>
    </row>
    <row r="792" spans="1:41" s="2" customFormat="1" x14ac:dyDescent="0.2">
      <c r="A792"/>
      <c r="B792"/>
      <c r="C792"/>
      <c r="D792"/>
      <c r="E792"/>
      <c r="F792"/>
      <c r="G792"/>
      <c r="U792"/>
      <c r="V792"/>
      <c r="W792"/>
      <c r="X792"/>
      <c r="Y792"/>
      <c r="Z792"/>
      <c r="AA792"/>
      <c r="AB792"/>
      <c r="AL792"/>
      <c r="AM792"/>
      <c r="AN792"/>
      <c r="AO792"/>
    </row>
    <row r="793" spans="1:41" s="2" customFormat="1" x14ac:dyDescent="0.2">
      <c r="A793"/>
      <c r="B793"/>
      <c r="C793"/>
      <c r="D793"/>
      <c r="E793"/>
      <c r="F793"/>
      <c r="G793"/>
      <c r="U793"/>
      <c r="V793"/>
      <c r="W793"/>
      <c r="X793"/>
      <c r="Y793"/>
      <c r="Z793"/>
      <c r="AA793"/>
      <c r="AB793"/>
      <c r="AL793"/>
      <c r="AM793"/>
      <c r="AN793"/>
      <c r="AO793"/>
    </row>
    <row r="794" spans="1:41" s="2" customFormat="1" x14ac:dyDescent="0.2">
      <c r="A794"/>
      <c r="B794"/>
      <c r="C794"/>
      <c r="D794"/>
      <c r="E794"/>
      <c r="F794"/>
      <c r="G794"/>
      <c r="U794"/>
      <c r="V794"/>
      <c r="W794"/>
      <c r="X794"/>
      <c r="Y794"/>
      <c r="Z794"/>
      <c r="AA794"/>
      <c r="AB794"/>
      <c r="AL794"/>
      <c r="AM794"/>
      <c r="AN794"/>
      <c r="AO794"/>
    </row>
    <row r="795" spans="1:41" s="2" customFormat="1" x14ac:dyDescent="0.2">
      <c r="A795"/>
      <c r="B795"/>
      <c r="C795"/>
      <c r="D795"/>
      <c r="E795"/>
      <c r="F795"/>
      <c r="G795"/>
      <c r="U795"/>
      <c r="V795"/>
      <c r="W795"/>
      <c r="X795"/>
      <c r="Y795"/>
      <c r="Z795"/>
      <c r="AA795"/>
      <c r="AB795"/>
      <c r="AL795"/>
      <c r="AM795"/>
      <c r="AN795"/>
      <c r="AO795"/>
    </row>
    <row r="796" spans="1:41" s="2" customFormat="1" x14ac:dyDescent="0.2">
      <c r="A796"/>
      <c r="B796"/>
      <c r="C796"/>
      <c r="D796"/>
      <c r="E796"/>
      <c r="F796"/>
      <c r="G796"/>
      <c r="U796"/>
      <c r="V796"/>
      <c r="W796"/>
      <c r="X796"/>
      <c r="Y796"/>
      <c r="Z796"/>
      <c r="AA796"/>
      <c r="AB796"/>
      <c r="AL796"/>
      <c r="AM796"/>
      <c r="AN796"/>
      <c r="AO796"/>
    </row>
    <row r="797" spans="1:41" s="2" customFormat="1" x14ac:dyDescent="0.2">
      <c r="A797"/>
      <c r="B797"/>
      <c r="C797"/>
      <c r="D797"/>
      <c r="E797"/>
      <c r="F797"/>
      <c r="G797"/>
      <c r="U797"/>
      <c r="V797"/>
      <c r="W797"/>
      <c r="X797"/>
      <c r="Y797"/>
      <c r="Z797"/>
      <c r="AA797"/>
      <c r="AB797"/>
      <c r="AL797"/>
      <c r="AM797"/>
      <c r="AN797"/>
      <c r="AO797"/>
    </row>
    <row r="798" spans="1:41" s="2" customFormat="1" x14ac:dyDescent="0.2">
      <c r="A798"/>
      <c r="B798"/>
      <c r="C798"/>
      <c r="D798"/>
      <c r="E798"/>
      <c r="F798"/>
      <c r="G798"/>
      <c r="U798"/>
      <c r="V798"/>
      <c r="W798"/>
      <c r="X798"/>
      <c r="Y798"/>
      <c r="Z798"/>
      <c r="AA798"/>
      <c r="AB798"/>
      <c r="AL798"/>
      <c r="AM798"/>
      <c r="AN798"/>
      <c r="AO798"/>
    </row>
    <row r="799" spans="1:41" s="2" customFormat="1" x14ac:dyDescent="0.2">
      <c r="A799"/>
      <c r="B799"/>
      <c r="C799"/>
      <c r="D799"/>
      <c r="E799"/>
      <c r="F799"/>
      <c r="G799"/>
      <c r="U799"/>
      <c r="V799"/>
      <c r="W799"/>
      <c r="X799"/>
      <c r="Y799"/>
      <c r="Z799"/>
      <c r="AA799"/>
      <c r="AB799"/>
      <c r="AL799"/>
      <c r="AM799"/>
      <c r="AN799"/>
      <c r="AO799"/>
    </row>
    <row r="800" spans="1:41" s="2" customFormat="1" x14ac:dyDescent="0.2">
      <c r="A800"/>
      <c r="B800"/>
      <c r="C800"/>
      <c r="D800"/>
      <c r="E800"/>
      <c r="F800"/>
      <c r="G800"/>
      <c r="U800"/>
      <c r="V800"/>
      <c r="W800"/>
      <c r="X800"/>
      <c r="Y800"/>
      <c r="Z800"/>
      <c r="AA800"/>
      <c r="AB800"/>
      <c r="AL800"/>
      <c r="AM800"/>
      <c r="AN800"/>
      <c r="AO800"/>
    </row>
    <row r="801" spans="1:41" s="2" customFormat="1" x14ac:dyDescent="0.2">
      <c r="A801"/>
      <c r="B801"/>
      <c r="C801"/>
      <c r="D801"/>
      <c r="E801"/>
      <c r="F801"/>
      <c r="G801"/>
      <c r="U801"/>
      <c r="V801"/>
      <c r="W801"/>
      <c r="X801"/>
      <c r="Y801"/>
      <c r="Z801"/>
      <c r="AA801"/>
      <c r="AB801"/>
      <c r="AL801"/>
      <c r="AM801"/>
      <c r="AN801"/>
      <c r="AO801"/>
    </row>
    <row r="802" spans="1:41" s="2" customFormat="1" x14ac:dyDescent="0.2">
      <c r="A802"/>
      <c r="B802"/>
      <c r="C802"/>
      <c r="D802"/>
      <c r="E802"/>
      <c r="F802"/>
      <c r="G802"/>
      <c r="U802"/>
      <c r="V802"/>
      <c r="W802"/>
      <c r="X802"/>
      <c r="Y802"/>
      <c r="Z802"/>
      <c r="AA802"/>
      <c r="AB802"/>
      <c r="AL802"/>
      <c r="AM802"/>
      <c r="AN802"/>
      <c r="AO802"/>
    </row>
    <row r="803" spans="1:41" s="2" customFormat="1" x14ac:dyDescent="0.2">
      <c r="A803"/>
      <c r="B803"/>
      <c r="C803"/>
      <c r="D803"/>
      <c r="E803"/>
      <c r="F803"/>
      <c r="G803"/>
      <c r="U803"/>
      <c r="V803"/>
      <c r="W803"/>
      <c r="X803"/>
      <c r="Y803"/>
      <c r="Z803"/>
      <c r="AA803"/>
      <c r="AB803"/>
      <c r="AL803"/>
      <c r="AM803"/>
      <c r="AN803"/>
      <c r="AO803"/>
    </row>
    <row r="804" spans="1:41" s="2" customFormat="1" x14ac:dyDescent="0.2">
      <c r="A804"/>
      <c r="B804"/>
      <c r="C804"/>
      <c r="D804"/>
      <c r="E804"/>
      <c r="F804"/>
      <c r="G804"/>
      <c r="U804"/>
      <c r="V804"/>
      <c r="W804"/>
      <c r="X804"/>
      <c r="Y804"/>
      <c r="Z804"/>
      <c r="AA804"/>
      <c r="AB804"/>
      <c r="AL804"/>
      <c r="AM804"/>
      <c r="AN804"/>
      <c r="AO804"/>
    </row>
    <row r="805" spans="1:41" s="2" customFormat="1" x14ac:dyDescent="0.2">
      <c r="A805"/>
      <c r="B805"/>
      <c r="C805"/>
      <c r="D805"/>
      <c r="E805"/>
      <c r="F805"/>
      <c r="G805"/>
      <c r="U805"/>
      <c r="V805"/>
      <c r="W805"/>
      <c r="X805"/>
      <c r="Y805"/>
      <c r="Z805"/>
      <c r="AA805"/>
      <c r="AB805"/>
      <c r="AL805"/>
      <c r="AM805"/>
      <c r="AN805"/>
      <c r="AO805"/>
    </row>
    <row r="806" spans="1:41" s="2" customFormat="1" x14ac:dyDescent="0.2">
      <c r="A806"/>
      <c r="B806"/>
      <c r="C806"/>
      <c r="D806"/>
      <c r="E806"/>
      <c r="F806"/>
      <c r="G806"/>
      <c r="U806"/>
      <c r="V806"/>
      <c r="W806"/>
      <c r="X806"/>
      <c r="Y806"/>
      <c r="Z806"/>
      <c r="AA806"/>
      <c r="AB806"/>
      <c r="AL806"/>
      <c r="AM806"/>
      <c r="AN806"/>
      <c r="AO806"/>
    </row>
    <row r="807" spans="1:41" s="2" customFormat="1" x14ac:dyDescent="0.2">
      <c r="A807"/>
      <c r="B807"/>
      <c r="C807"/>
      <c r="D807"/>
      <c r="E807"/>
      <c r="F807"/>
      <c r="G807"/>
      <c r="U807"/>
      <c r="V807"/>
      <c r="W807"/>
      <c r="X807"/>
      <c r="Y807"/>
      <c r="Z807"/>
      <c r="AA807"/>
      <c r="AB807"/>
      <c r="AL807"/>
      <c r="AM807"/>
      <c r="AN807"/>
      <c r="AO807"/>
    </row>
    <row r="808" spans="1:41" s="2" customFormat="1" x14ac:dyDescent="0.2">
      <c r="A808"/>
      <c r="B808"/>
      <c r="C808"/>
      <c r="D808"/>
      <c r="E808"/>
      <c r="F808"/>
      <c r="G808"/>
      <c r="U808"/>
      <c r="V808"/>
      <c r="W808"/>
      <c r="X808"/>
      <c r="Y808"/>
      <c r="Z808"/>
      <c r="AA808"/>
      <c r="AB808"/>
      <c r="AL808"/>
      <c r="AM808"/>
      <c r="AN808"/>
      <c r="AO808"/>
    </row>
    <row r="809" spans="1:41" s="2" customFormat="1" x14ac:dyDescent="0.2">
      <c r="A809"/>
      <c r="B809"/>
      <c r="C809"/>
      <c r="D809"/>
      <c r="E809"/>
      <c r="F809"/>
      <c r="G809"/>
      <c r="U809"/>
      <c r="V809"/>
      <c r="W809"/>
      <c r="X809"/>
      <c r="Y809"/>
      <c r="Z809"/>
      <c r="AA809"/>
      <c r="AB809"/>
      <c r="AL809"/>
      <c r="AM809"/>
      <c r="AN809"/>
      <c r="AO809"/>
    </row>
    <row r="810" spans="1:41" s="2" customFormat="1" x14ac:dyDescent="0.2">
      <c r="A810"/>
      <c r="B810"/>
      <c r="C810"/>
      <c r="D810"/>
      <c r="E810"/>
      <c r="F810"/>
      <c r="G810"/>
      <c r="U810"/>
      <c r="V810"/>
      <c r="W810"/>
      <c r="X810"/>
      <c r="Y810"/>
      <c r="Z810"/>
      <c r="AA810"/>
      <c r="AB810"/>
      <c r="AL810"/>
      <c r="AM810"/>
      <c r="AN810"/>
      <c r="AO810"/>
    </row>
    <row r="811" spans="1:41" s="2" customFormat="1" x14ac:dyDescent="0.2">
      <c r="A811"/>
      <c r="B811"/>
      <c r="C811"/>
      <c r="D811"/>
      <c r="E811"/>
      <c r="F811"/>
      <c r="G811"/>
      <c r="U811"/>
      <c r="V811"/>
      <c r="W811"/>
      <c r="X811"/>
      <c r="Y811"/>
      <c r="Z811"/>
      <c r="AA811"/>
      <c r="AB811"/>
      <c r="AL811"/>
      <c r="AM811"/>
      <c r="AN811"/>
      <c r="AO811"/>
    </row>
    <row r="812" spans="1:41" s="2" customFormat="1" x14ac:dyDescent="0.2">
      <c r="A812"/>
      <c r="B812"/>
      <c r="C812"/>
      <c r="D812"/>
      <c r="E812"/>
      <c r="F812"/>
      <c r="G812"/>
      <c r="U812"/>
      <c r="V812"/>
      <c r="W812"/>
      <c r="X812"/>
      <c r="Y812"/>
      <c r="Z812"/>
      <c r="AA812"/>
      <c r="AB812"/>
      <c r="AL812"/>
      <c r="AM812"/>
      <c r="AN812"/>
      <c r="AO812"/>
    </row>
    <row r="813" spans="1:41" s="2" customFormat="1" x14ac:dyDescent="0.2">
      <c r="A813"/>
      <c r="B813"/>
      <c r="C813"/>
      <c r="D813"/>
      <c r="E813"/>
      <c r="F813"/>
      <c r="G813"/>
      <c r="U813"/>
      <c r="V813"/>
      <c r="W813"/>
      <c r="X813"/>
      <c r="Y813"/>
      <c r="Z813"/>
      <c r="AA813"/>
      <c r="AB813"/>
      <c r="AL813"/>
      <c r="AM813"/>
      <c r="AN813"/>
      <c r="AO813"/>
    </row>
    <row r="814" spans="1:41" s="2" customFormat="1" x14ac:dyDescent="0.2">
      <c r="A814"/>
      <c r="B814"/>
      <c r="C814"/>
      <c r="D814"/>
      <c r="E814"/>
      <c r="F814"/>
      <c r="G814"/>
      <c r="U814"/>
      <c r="V814"/>
      <c r="W814"/>
      <c r="X814"/>
      <c r="Y814"/>
      <c r="Z814"/>
      <c r="AA814"/>
      <c r="AB814"/>
      <c r="AL814"/>
      <c r="AM814"/>
      <c r="AN814"/>
      <c r="AO814"/>
    </row>
    <row r="815" spans="1:41" s="2" customFormat="1" x14ac:dyDescent="0.2">
      <c r="A815"/>
      <c r="B815"/>
      <c r="C815"/>
      <c r="D815"/>
      <c r="E815"/>
      <c r="F815"/>
      <c r="G815"/>
      <c r="U815"/>
      <c r="V815"/>
      <c r="W815"/>
      <c r="X815"/>
      <c r="Y815"/>
      <c r="Z815"/>
      <c r="AA815"/>
      <c r="AB815"/>
      <c r="AL815"/>
      <c r="AM815"/>
      <c r="AN815"/>
      <c r="AO815"/>
    </row>
    <row r="816" spans="1:41" s="2" customFormat="1" x14ac:dyDescent="0.2">
      <c r="A816"/>
      <c r="B816"/>
      <c r="C816"/>
      <c r="D816"/>
      <c r="E816"/>
      <c r="F816"/>
      <c r="G816"/>
      <c r="U816"/>
      <c r="V816"/>
      <c r="W816"/>
      <c r="X816"/>
      <c r="Y816"/>
      <c r="Z816"/>
      <c r="AA816"/>
      <c r="AB816"/>
      <c r="AL816"/>
      <c r="AM816"/>
      <c r="AN816"/>
      <c r="AO816"/>
    </row>
    <row r="817" spans="1:41" s="2" customFormat="1" x14ac:dyDescent="0.2">
      <c r="A817"/>
      <c r="B817"/>
      <c r="C817"/>
      <c r="D817"/>
      <c r="E817"/>
      <c r="F817"/>
      <c r="G817"/>
      <c r="U817"/>
      <c r="V817"/>
      <c r="W817"/>
      <c r="X817"/>
      <c r="Y817"/>
      <c r="Z817"/>
      <c r="AA817"/>
      <c r="AB817"/>
      <c r="AL817"/>
      <c r="AM817"/>
      <c r="AN817"/>
      <c r="AO817"/>
    </row>
    <row r="818" spans="1:41" s="2" customFormat="1" x14ac:dyDescent="0.2">
      <c r="A818"/>
      <c r="B818"/>
      <c r="C818"/>
      <c r="D818"/>
      <c r="E818"/>
      <c r="F818"/>
      <c r="G818"/>
      <c r="U818"/>
      <c r="V818"/>
      <c r="W818"/>
      <c r="X818"/>
      <c r="Y818"/>
      <c r="Z818"/>
      <c r="AA818"/>
      <c r="AB818"/>
      <c r="AL818"/>
      <c r="AM818"/>
      <c r="AN818"/>
      <c r="AO818"/>
    </row>
    <row r="819" spans="1:41" s="2" customFormat="1" x14ac:dyDescent="0.2">
      <c r="A819"/>
      <c r="B819"/>
      <c r="C819"/>
      <c r="D819"/>
      <c r="E819"/>
      <c r="F819"/>
      <c r="G819"/>
      <c r="U819"/>
      <c r="V819"/>
      <c r="W819"/>
      <c r="X819"/>
      <c r="Y819"/>
      <c r="Z819"/>
      <c r="AA819"/>
      <c r="AB819"/>
      <c r="AL819"/>
      <c r="AM819"/>
      <c r="AN819"/>
      <c r="AO819"/>
    </row>
    <row r="820" spans="1:41" s="2" customFormat="1" x14ac:dyDescent="0.2">
      <c r="A820"/>
      <c r="B820"/>
      <c r="C820"/>
      <c r="D820"/>
      <c r="E820"/>
      <c r="F820"/>
      <c r="G820"/>
      <c r="U820"/>
      <c r="V820"/>
      <c r="W820"/>
      <c r="X820"/>
      <c r="Y820"/>
      <c r="Z820"/>
      <c r="AA820"/>
      <c r="AB820"/>
      <c r="AL820"/>
      <c r="AM820"/>
      <c r="AN820"/>
      <c r="AO820"/>
    </row>
    <row r="821" spans="1:41" s="2" customFormat="1" x14ac:dyDescent="0.2">
      <c r="A821"/>
      <c r="B821"/>
      <c r="C821"/>
      <c r="D821"/>
      <c r="E821"/>
      <c r="F821"/>
      <c r="G821"/>
      <c r="U821"/>
      <c r="V821"/>
      <c r="W821"/>
      <c r="X821"/>
      <c r="Y821"/>
      <c r="Z821"/>
      <c r="AA821"/>
      <c r="AB821"/>
      <c r="AL821"/>
      <c r="AM821"/>
      <c r="AN821"/>
      <c r="AO821"/>
    </row>
    <row r="822" spans="1:41" s="2" customFormat="1" x14ac:dyDescent="0.2">
      <c r="A822"/>
      <c r="B822"/>
      <c r="C822"/>
      <c r="D822"/>
      <c r="E822"/>
      <c r="F822"/>
      <c r="G822"/>
      <c r="U822"/>
      <c r="V822"/>
      <c r="W822"/>
      <c r="X822"/>
      <c r="Y822"/>
      <c r="Z822"/>
      <c r="AA822"/>
      <c r="AB822"/>
      <c r="AL822"/>
      <c r="AM822"/>
      <c r="AN822"/>
      <c r="AO822"/>
    </row>
    <row r="823" spans="1:41" s="2" customFormat="1" x14ac:dyDescent="0.2">
      <c r="A823"/>
      <c r="B823"/>
      <c r="C823"/>
      <c r="D823"/>
      <c r="E823"/>
      <c r="F823"/>
      <c r="G823"/>
      <c r="U823"/>
      <c r="V823"/>
      <c r="W823"/>
      <c r="X823"/>
      <c r="Y823"/>
      <c r="Z823"/>
      <c r="AA823"/>
      <c r="AB823"/>
      <c r="AL823"/>
      <c r="AM823"/>
      <c r="AN823"/>
      <c r="AO823"/>
    </row>
    <row r="824" spans="1:41" s="2" customFormat="1" x14ac:dyDescent="0.2">
      <c r="A824"/>
      <c r="B824"/>
      <c r="C824"/>
      <c r="D824"/>
      <c r="E824"/>
      <c r="F824"/>
      <c r="G824"/>
      <c r="U824"/>
      <c r="V824"/>
      <c r="W824"/>
      <c r="X824"/>
      <c r="Y824"/>
      <c r="Z824"/>
      <c r="AA824"/>
      <c r="AB824"/>
      <c r="AL824"/>
      <c r="AM824"/>
      <c r="AN824"/>
      <c r="AO824"/>
    </row>
    <row r="825" spans="1:41" s="2" customFormat="1" x14ac:dyDescent="0.2">
      <c r="A825"/>
      <c r="B825"/>
      <c r="C825"/>
      <c r="D825"/>
      <c r="E825"/>
      <c r="F825"/>
      <c r="G825"/>
      <c r="U825"/>
      <c r="V825"/>
      <c r="W825"/>
      <c r="X825"/>
      <c r="Y825"/>
      <c r="Z825"/>
      <c r="AA825"/>
      <c r="AB825"/>
      <c r="AL825"/>
      <c r="AM825"/>
      <c r="AN825"/>
      <c r="AO825"/>
    </row>
    <row r="826" spans="1:41" s="2" customFormat="1" x14ac:dyDescent="0.2">
      <c r="A826"/>
      <c r="B826"/>
      <c r="C826"/>
      <c r="D826"/>
      <c r="E826"/>
      <c r="F826"/>
      <c r="G826"/>
      <c r="U826"/>
      <c r="V826"/>
      <c r="W826"/>
      <c r="X826"/>
      <c r="Y826"/>
      <c r="Z826"/>
      <c r="AA826"/>
      <c r="AB826"/>
      <c r="AL826"/>
      <c r="AM826"/>
      <c r="AN826"/>
      <c r="AO826"/>
    </row>
    <row r="827" spans="1:41" s="2" customFormat="1" x14ac:dyDescent="0.2">
      <c r="A827"/>
      <c r="B827"/>
      <c r="C827"/>
      <c r="D827"/>
      <c r="E827"/>
      <c r="F827"/>
      <c r="G827"/>
      <c r="U827"/>
      <c r="V827"/>
      <c r="W827"/>
      <c r="X827"/>
      <c r="Y827"/>
      <c r="Z827"/>
      <c r="AA827"/>
      <c r="AB827"/>
      <c r="AL827"/>
      <c r="AM827"/>
      <c r="AN827"/>
      <c r="AO827"/>
    </row>
    <row r="828" spans="1:41" s="2" customFormat="1" x14ac:dyDescent="0.2">
      <c r="A828"/>
      <c r="B828"/>
      <c r="C828"/>
      <c r="D828"/>
      <c r="E828"/>
      <c r="F828"/>
      <c r="G828"/>
      <c r="U828"/>
      <c r="V828"/>
      <c r="W828"/>
      <c r="X828"/>
      <c r="Y828"/>
      <c r="Z828"/>
      <c r="AA828"/>
      <c r="AB828"/>
      <c r="AL828"/>
      <c r="AM828"/>
      <c r="AN828"/>
      <c r="AO828"/>
    </row>
    <row r="829" spans="1:41" s="2" customFormat="1" x14ac:dyDescent="0.2">
      <c r="A829"/>
      <c r="B829"/>
      <c r="C829"/>
      <c r="D829"/>
      <c r="E829"/>
      <c r="F829"/>
      <c r="G829"/>
      <c r="U829"/>
      <c r="V829"/>
      <c r="W829"/>
      <c r="X829"/>
      <c r="Y829"/>
      <c r="Z829"/>
      <c r="AA829"/>
      <c r="AB829"/>
      <c r="AL829"/>
      <c r="AM829"/>
      <c r="AN829"/>
      <c r="AO829"/>
    </row>
    <row r="830" spans="1:41" s="2" customFormat="1" x14ac:dyDescent="0.2">
      <c r="A830"/>
      <c r="B830"/>
      <c r="C830"/>
      <c r="D830"/>
      <c r="E830"/>
      <c r="F830"/>
      <c r="G830"/>
      <c r="U830"/>
      <c r="V830"/>
      <c r="W830"/>
      <c r="X830"/>
      <c r="Y830"/>
      <c r="Z830"/>
      <c r="AA830"/>
      <c r="AB830"/>
      <c r="AL830"/>
      <c r="AM830"/>
      <c r="AN830"/>
      <c r="AO830"/>
    </row>
    <row r="831" spans="1:41" s="2" customFormat="1" x14ac:dyDescent="0.2">
      <c r="A831"/>
      <c r="B831"/>
      <c r="C831"/>
      <c r="D831"/>
      <c r="E831"/>
      <c r="F831"/>
      <c r="G831"/>
      <c r="U831"/>
      <c r="V831"/>
      <c r="W831"/>
      <c r="X831"/>
      <c r="Y831"/>
      <c r="Z831"/>
      <c r="AA831"/>
      <c r="AB831"/>
      <c r="AL831"/>
      <c r="AM831"/>
      <c r="AN831"/>
      <c r="AO831"/>
    </row>
    <row r="832" spans="1:41" s="2" customFormat="1" x14ac:dyDescent="0.2">
      <c r="A832"/>
      <c r="B832"/>
      <c r="C832"/>
      <c r="D832"/>
      <c r="E832"/>
      <c r="F832"/>
      <c r="G832"/>
      <c r="U832"/>
      <c r="V832"/>
      <c r="W832"/>
      <c r="X832"/>
      <c r="Y832"/>
      <c r="Z832"/>
      <c r="AA832"/>
      <c r="AB832"/>
      <c r="AL832"/>
      <c r="AM832"/>
      <c r="AN832"/>
      <c r="AO832"/>
    </row>
    <row r="833" spans="1:41" s="2" customFormat="1" x14ac:dyDescent="0.2">
      <c r="A833"/>
      <c r="B833"/>
      <c r="C833"/>
      <c r="D833"/>
      <c r="E833"/>
      <c r="F833"/>
      <c r="G833"/>
      <c r="U833"/>
      <c r="V833"/>
      <c r="W833"/>
      <c r="X833"/>
      <c r="Y833"/>
      <c r="Z833"/>
      <c r="AA833"/>
      <c r="AB833"/>
      <c r="AL833"/>
      <c r="AM833"/>
      <c r="AN833"/>
      <c r="AO833"/>
    </row>
    <row r="834" spans="1:41" s="2" customFormat="1" x14ac:dyDescent="0.2">
      <c r="A834"/>
      <c r="B834"/>
      <c r="C834"/>
      <c r="D834"/>
      <c r="E834"/>
      <c r="F834"/>
      <c r="G834"/>
      <c r="U834"/>
      <c r="V834"/>
      <c r="W834"/>
      <c r="X834"/>
      <c r="Y834"/>
      <c r="Z834"/>
      <c r="AA834"/>
      <c r="AB834"/>
      <c r="AL834"/>
      <c r="AM834"/>
      <c r="AN834"/>
      <c r="AO834"/>
    </row>
    <row r="835" spans="1:41" s="2" customFormat="1" x14ac:dyDescent="0.2">
      <c r="A835"/>
      <c r="B835"/>
      <c r="C835"/>
      <c r="D835"/>
      <c r="E835"/>
      <c r="F835"/>
      <c r="G835"/>
      <c r="U835"/>
      <c r="V835"/>
      <c r="W835"/>
      <c r="X835"/>
      <c r="Y835"/>
      <c r="Z835"/>
      <c r="AA835"/>
      <c r="AB835"/>
      <c r="AL835"/>
      <c r="AM835"/>
      <c r="AN835"/>
      <c r="AO835"/>
    </row>
    <row r="836" spans="1:41" s="2" customFormat="1" x14ac:dyDescent="0.2">
      <c r="A836"/>
      <c r="B836"/>
      <c r="C836"/>
      <c r="D836"/>
      <c r="E836"/>
      <c r="F836"/>
      <c r="G836"/>
      <c r="U836"/>
      <c r="V836"/>
      <c r="W836"/>
      <c r="X836"/>
      <c r="Y836"/>
      <c r="Z836"/>
      <c r="AA836"/>
      <c r="AB836"/>
      <c r="AL836"/>
      <c r="AM836"/>
      <c r="AN836"/>
      <c r="AO836"/>
    </row>
    <row r="837" spans="1:41" s="2" customFormat="1" x14ac:dyDescent="0.2">
      <c r="A837"/>
      <c r="B837"/>
      <c r="C837"/>
      <c r="D837"/>
      <c r="E837"/>
      <c r="F837"/>
      <c r="G837"/>
      <c r="U837"/>
      <c r="V837"/>
      <c r="W837"/>
      <c r="X837"/>
      <c r="Y837"/>
      <c r="Z837"/>
      <c r="AA837"/>
      <c r="AB837"/>
      <c r="AL837"/>
      <c r="AM837"/>
      <c r="AN837"/>
      <c r="AO837"/>
    </row>
    <row r="838" spans="1:41" s="2" customFormat="1" x14ac:dyDescent="0.2">
      <c r="A838"/>
      <c r="B838"/>
      <c r="C838"/>
      <c r="D838"/>
      <c r="E838"/>
      <c r="F838"/>
      <c r="G838"/>
      <c r="U838"/>
      <c r="V838"/>
      <c r="W838"/>
      <c r="X838"/>
      <c r="Y838"/>
      <c r="Z838"/>
      <c r="AA838"/>
      <c r="AB838"/>
      <c r="AL838"/>
      <c r="AM838"/>
      <c r="AN838"/>
      <c r="AO838"/>
    </row>
    <row r="839" spans="1:41" s="2" customFormat="1" x14ac:dyDescent="0.2">
      <c r="A839"/>
      <c r="B839"/>
      <c r="C839"/>
      <c r="D839"/>
      <c r="E839"/>
      <c r="F839"/>
      <c r="G839"/>
      <c r="U839"/>
      <c r="V839"/>
      <c r="W839"/>
      <c r="X839"/>
      <c r="Y839"/>
      <c r="Z839"/>
      <c r="AA839"/>
      <c r="AB839"/>
      <c r="AL839"/>
      <c r="AM839"/>
      <c r="AN839"/>
      <c r="AO839"/>
    </row>
    <row r="840" spans="1:41" s="2" customFormat="1" x14ac:dyDescent="0.2">
      <c r="A840"/>
      <c r="B840"/>
      <c r="C840"/>
      <c r="D840"/>
      <c r="E840"/>
      <c r="F840"/>
      <c r="G840"/>
      <c r="U840"/>
      <c r="V840"/>
      <c r="W840"/>
      <c r="X840"/>
      <c r="Y840"/>
      <c r="Z840"/>
      <c r="AA840"/>
      <c r="AB840"/>
      <c r="AL840"/>
      <c r="AM840"/>
      <c r="AN840"/>
      <c r="AO840"/>
    </row>
    <row r="841" spans="1:41" s="2" customFormat="1" x14ac:dyDescent="0.2">
      <c r="A841"/>
      <c r="B841"/>
      <c r="C841"/>
      <c r="D841"/>
      <c r="E841"/>
      <c r="F841"/>
      <c r="G841"/>
      <c r="U841"/>
      <c r="V841"/>
      <c r="W841"/>
      <c r="X841"/>
      <c r="Y841"/>
      <c r="Z841"/>
      <c r="AA841"/>
      <c r="AB841"/>
      <c r="AL841"/>
      <c r="AM841"/>
      <c r="AN841"/>
      <c r="AO841"/>
    </row>
    <row r="842" spans="1:41" s="2" customFormat="1" x14ac:dyDescent="0.2">
      <c r="A842"/>
      <c r="B842"/>
      <c r="C842"/>
      <c r="D842"/>
      <c r="E842"/>
      <c r="F842"/>
      <c r="G842"/>
      <c r="U842"/>
      <c r="V842"/>
      <c r="W842"/>
      <c r="X842"/>
      <c r="Y842"/>
      <c r="Z842"/>
      <c r="AA842"/>
      <c r="AB842"/>
      <c r="AL842"/>
      <c r="AM842"/>
      <c r="AN842"/>
      <c r="AO842"/>
    </row>
    <row r="843" spans="1:41" s="2" customFormat="1" x14ac:dyDescent="0.2">
      <c r="A843"/>
      <c r="B843"/>
      <c r="C843"/>
      <c r="D843"/>
      <c r="E843"/>
      <c r="F843"/>
      <c r="G843"/>
      <c r="U843"/>
      <c r="V843"/>
      <c r="W843"/>
      <c r="X843"/>
      <c r="Y843"/>
      <c r="Z843"/>
      <c r="AA843"/>
      <c r="AB843"/>
      <c r="AL843"/>
      <c r="AM843"/>
      <c r="AN843"/>
      <c r="AO843"/>
    </row>
    <row r="844" spans="1:41" s="2" customFormat="1" x14ac:dyDescent="0.2">
      <c r="A844"/>
      <c r="B844"/>
      <c r="C844"/>
      <c r="D844"/>
      <c r="E844"/>
      <c r="F844"/>
      <c r="G844"/>
      <c r="U844"/>
      <c r="V844"/>
      <c r="W844"/>
      <c r="X844"/>
      <c r="Y844"/>
      <c r="Z844"/>
      <c r="AA844"/>
      <c r="AB844"/>
      <c r="AL844"/>
      <c r="AM844"/>
      <c r="AN844"/>
      <c r="AO844"/>
    </row>
    <row r="845" spans="1:41" s="2" customFormat="1" x14ac:dyDescent="0.2">
      <c r="A845"/>
      <c r="B845"/>
      <c r="C845"/>
      <c r="D845"/>
      <c r="E845"/>
      <c r="F845"/>
      <c r="G845"/>
      <c r="U845"/>
      <c r="V845"/>
      <c r="W845"/>
      <c r="X845"/>
      <c r="Y845"/>
      <c r="Z845"/>
      <c r="AA845"/>
      <c r="AB845"/>
      <c r="AL845"/>
      <c r="AM845"/>
      <c r="AN845"/>
      <c r="AO845"/>
    </row>
    <row r="846" spans="1:41" s="2" customFormat="1" x14ac:dyDescent="0.2">
      <c r="A846"/>
      <c r="B846"/>
      <c r="C846"/>
      <c r="D846"/>
      <c r="E846"/>
      <c r="F846"/>
      <c r="G846"/>
      <c r="U846"/>
      <c r="V846"/>
      <c r="W846"/>
      <c r="X846"/>
      <c r="Y846"/>
      <c r="Z846"/>
      <c r="AA846"/>
      <c r="AB846"/>
      <c r="AL846"/>
      <c r="AM846"/>
      <c r="AN846"/>
      <c r="AO846"/>
    </row>
    <row r="847" spans="1:41" s="2" customFormat="1" x14ac:dyDescent="0.2">
      <c r="A847"/>
      <c r="B847"/>
      <c r="C847"/>
      <c r="D847"/>
      <c r="E847"/>
      <c r="F847"/>
      <c r="G847"/>
      <c r="U847"/>
      <c r="V847"/>
      <c r="W847"/>
      <c r="X847"/>
      <c r="Y847"/>
      <c r="Z847"/>
      <c r="AA847"/>
      <c r="AB847"/>
      <c r="AL847"/>
      <c r="AM847"/>
      <c r="AN847"/>
      <c r="AO847"/>
    </row>
    <row r="848" spans="1:41" s="2" customFormat="1" x14ac:dyDescent="0.2">
      <c r="A848"/>
      <c r="B848"/>
      <c r="C848"/>
      <c r="D848"/>
      <c r="E848"/>
      <c r="F848"/>
      <c r="G848"/>
      <c r="U848"/>
      <c r="V848"/>
      <c r="W848"/>
      <c r="X848"/>
      <c r="Y848"/>
      <c r="Z848"/>
      <c r="AA848"/>
      <c r="AB848"/>
      <c r="AL848"/>
      <c r="AM848"/>
      <c r="AN848"/>
      <c r="AO848"/>
    </row>
    <row r="849" spans="1:41" s="2" customFormat="1" x14ac:dyDescent="0.2">
      <c r="A849"/>
      <c r="B849"/>
      <c r="C849"/>
      <c r="D849"/>
      <c r="E849"/>
      <c r="F849"/>
      <c r="G849"/>
      <c r="U849"/>
      <c r="V849"/>
      <c r="W849"/>
      <c r="X849"/>
      <c r="Y849"/>
      <c r="Z849"/>
      <c r="AA849"/>
      <c r="AB849"/>
      <c r="AL849"/>
      <c r="AM849"/>
      <c r="AN849"/>
      <c r="AO849"/>
    </row>
    <row r="850" spans="1:41" s="2" customFormat="1" x14ac:dyDescent="0.2">
      <c r="A850"/>
      <c r="B850"/>
      <c r="C850"/>
      <c r="D850"/>
      <c r="E850"/>
      <c r="F850"/>
      <c r="G850"/>
      <c r="U850"/>
      <c r="V850"/>
      <c r="W850"/>
      <c r="X850"/>
      <c r="Y850"/>
      <c r="Z850"/>
      <c r="AA850"/>
      <c r="AB850"/>
      <c r="AL850"/>
      <c r="AM850"/>
      <c r="AN850"/>
      <c r="AO850"/>
    </row>
    <row r="851" spans="1:41" s="2" customFormat="1" x14ac:dyDescent="0.2">
      <c r="A851"/>
      <c r="B851"/>
      <c r="C851"/>
      <c r="D851"/>
      <c r="E851"/>
      <c r="F851"/>
      <c r="G851"/>
      <c r="U851"/>
      <c r="V851"/>
      <c r="W851"/>
      <c r="X851"/>
      <c r="Y851"/>
      <c r="Z851"/>
      <c r="AA851"/>
      <c r="AB851"/>
      <c r="AL851"/>
      <c r="AM851"/>
      <c r="AN851"/>
      <c r="AO851"/>
    </row>
    <row r="852" spans="1:41" s="2" customFormat="1" x14ac:dyDescent="0.2">
      <c r="A852"/>
      <c r="B852"/>
      <c r="C852"/>
      <c r="D852"/>
      <c r="E852"/>
      <c r="F852"/>
      <c r="G852"/>
      <c r="U852"/>
      <c r="V852"/>
      <c r="W852"/>
      <c r="X852"/>
      <c r="Y852"/>
      <c r="Z852"/>
      <c r="AA852"/>
      <c r="AB852"/>
      <c r="AL852"/>
      <c r="AM852"/>
      <c r="AN852"/>
      <c r="AO852"/>
    </row>
    <row r="853" spans="1:41" s="2" customFormat="1" x14ac:dyDescent="0.2">
      <c r="A853"/>
      <c r="B853"/>
      <c r="C853"/>
      <c r="D853"/>
      <c r="E853"/>
      <c r="F853"/>
      <c r="G853"/>
      <c r="U853"/>
      <c r="V853"/>
      <c r="W853"/>
      <c r="X853"/>
      <c r="Y853"/>
      <c r="Z853"/>
      <c r="AA853"/>
      <c r="AB853"/>
      <c r="AL853"/>
      <c r="AM853"/>
      <c r="AN853"/>
      <c r="AO853"/>
    </row>
    <row r="854" spans="1:41" s="2" customFormat="1" x14ac:dyDescent="0.2">
      <c r="A854"/>
      <c r="B854"/>
      <c r="C854"/>
      <c r="D854"/>
      <c r="E854"/>
      <c r="F854"/>
      <c r="G854"/>
      <c r="U854"/>
      <c r="V854"/>
      <c r="W854"/>
      <c r="X854"/>
      <c r="Y854"/>
      <c r="Z854"/>
      <c r="AA854"/>
      <c r="AB854"/>
      <c r="AL854"/>
      <c r="AM854"/>
      <c r="AN854"/>
      <c r="AO854"/>
    </row>
    <row r="855" spans="1:41" s="2" customFormat="1" x14ac:dyDescent="0.2">
      <c r="A855"/>
      <c r="B855"/>
      <c r="C855"/>
      <c r="D855"/>
      <c r="E855"/>
      <c r="F855"/>
      <c r="G855"/>
      <c r="U855"/>
      <c r="V855"/>
      <c r="W855"/>
      <c r="X855"/>
      <c r="Y855"/>
      <c r="Z855"/>
      <c r="AA855"/>
      <c r="AB855"/>
      <c r="AL855"/>
      <c r="AM855"/>
      <c r="AN855"/>
      <c r="AO855"/>
    </row>
    <row r="856" spans="1:41" s="2" customFormat="1" x14ac:dyDescent="0.2">
      <c r="A856"/>
      <c r="B856"/>
      <c r="C856"/>
      <c r="D856"/>
      <c r="E856"/>
      <c r="F856"/>
      <c r="G856"/>
      <c r="U856"/>
      <c r="V856"/>
      <c r="W856"/>
      <c r="X856"/>
      <c r="Y856"/>
      <c r="Z856"/>
      <c r="AA856"/>
      <c r="AB856"/>
      <c r="AL856"/>
      <c r="AM856"/>
      <c r="AN856"/>
      <c r="AO856"/>
    </row>
    <row r="857" spans="1:41" s="2" customFormat="1" x14ac:dyDescent="0.2">
      <c r="A857"/>
      <c r="B857"/>
      <c r="C857"/>
      <c r="D857"/>
      <c r="E857"/>
      <c r="F857"/>
      <c r="G857"/>
      <c r="U857"/>
      <c r="V857"/>
      <c r="W857"/>
      <c r="X857"/>
      <c r="Y857"/>
      <c r="Z857"/>
      <c r="AA857"/>
      <c r="AB857"/>
      <c r="AL857"/>
      <c r="AM857"/>
      <c r="AN857"/>
      <c r="AO857"/>
    </row>
    <row r="858" spans="1:41" s="2" customFormat="1" x14ac:dyDescent="0.2">
      <c r="A858"/>
      <c r="B858"/>
      <c r="C858"/>
      <c r="D858"/>
      <c r="E858"/>
      <c r="F858"/>
      <c r="G858"/>
      <c r="U858"/>
      <c r="V858"/>
      <c r="W858"/>
      <c r="X858"/>
      <c r="Y858"/>
      <c r="Z858"/>
      <c r="AA858"/>
      <c r="AB858"/>
      <c r="AL858"/>
      <c r="AM858"/>
      <c r="AN858"/>
      <c r="AO858"/>
    </row>
    <row r="859" spans="1:41" s="2" customFormat="1" x14ac:dyDescent="0.2">
      <c r="A859"/>
      <c r="B859"/>
      <c r="C859"/>
      <c r="D859"/>
      <c r="E859"/>
      <c r="F859"/>
      <c r="G859"/>
      <c r="U859"/>
      <c r="V859"/>
      <c r="W859"/>
      <c r="X859"/>
      <c r="Y859"/>
      <c r="Z859"/>
      <c r="AA859"/>
      <c r="AB859"/>
      <c r="AL859"/>
      <c r="AM859"/>
      <c r="AN859"/>
      <c r="AO859"/>
    </row>
    <row r="860" spans="1:41" s="2" customFormat="1" x14ac:dyDescent="0.2">
      <c r="A860"/>
      <c r="B860"/>
      <c r="C860"/>
      <c r="D860"/>
      <c r="E860"/>
      <c r="F860"/>
      <c r="G860"/>
      <c r="U860"/>
      <c r="V860"/>
      <c r="W860"/>
      <c r="X860"/>
      <c r="Y860"/>
      <c r="Z860"/>
      <c r="AA860"/>
      <c r="AB860"/>
      <c r="AL860"/>
      <c r="AM860"/>
      <c r="AN860"/>
      <c r="AO860"/>
    </row>
    <row r="861" spans="1:41" s="2" customFormat="1" x14ac:dyDescent="0.2">
      <c r="A861"/>
      <c r="B861"/>
      <c r="C861"/>
      <c r="D861"/>
      <c r="E861"/>
      <c r="F861"/>
      <c r="G861"/>
      <c r="U861"/>
      <c r="V861"/>
      <c r="W861"/>
      <c r="X861"/>
      <c r="Y861"/>
      <c r="Z861"/>
      <c r="AA861"/>
      <c r="AB861"/>
      <c r="AL861"/>
      <c r="AM861"/>
      <c r="AN861"/>
      <c r="AO861"/>
    </row>
    <row r="862" spans="1:41" s="2" customFormat="1" x14ac:dyDescent="0.2">
      <c r="A862"/>
      <c r="B862"/>
      <c r="C862"/>
      <c r="D862"/>
      <c r="E862"/>
      <c r="F862"/>
      <c r="G862"/>
      <c r="U862"/>
      <c r="V862"/>
      <c r="W862"/>
      <c r="X862"/>
      <c r="Y862"/>
      <c r="Z862"/>
      <c r="AA862"/>
      <c r="AB862"/>
      <c r="AL862"/>
      <c r="AM862"/>
      <c r="AN862"/>
      <c r="AO862"/>
    </row>
    <row r="863" spans="1:41" s="2" customFormat="1" x14ac:dyDescent="0.2">
      <c r="A863"/>
      <c r="B863"/>
      <c r="C863"/>
      <c r="D863"/>
      <c r="E863"/>
      <c r="F863"/>
      <c r="G863"/>
      <c r="U863"/>
      <c r="V863"/>
      <c r="W863"/>
      <c r="X863"/>
      <c r="Y863"/>
      <c r="Z863"/>
      <c r="AA863"/>
      <c r="AB863"/>
      <c r="AL863"/>
      <c r="AM863"/>
      <c r="AN863"/>
      <c r="AO863"/>
    </row>
    <row r="864" spans="1:41" s="2" customFormat="1" x14ac:dyDescent="0.2">
      <c r="A864"/>
      <c r="B864"/>
      <c r="C864"/>
      <c r="D864"/>
      <c r="E864"/>
      <c r="F864"/>
      <c r="G864"/>
      <c r="U864"/>
      <c r="V864"/>
      <c r="W864"/>
      <c r="X864"/>
      <c r="Y864"/>
      <c r="Z864"/>
      <c r="AA864"/>
      <c r="AB864"/>
      <c r="AL864"/>
      <c r="AM864"/>
      <c r="AN864"/>
      <c r="AO864"/>
    </row>
    <row r="865" spans="1:41" s="2" customFormat="1" x14ac:dyDescent="0.2">
      <c r="A865"/>
      <c r="B865"/>
      <c r="C865"/>
      <c r="D865"/>
      <c r="E865"/>
      <c r="F865"/>
      <c r="G865"/>
      <c r="U865"/>
      <c r="V865"/>
      <c r="W865"/>
      <c r="X865"/>
      <c r="Y865"/>
      <c r="Z865"/>
      <c r="AA865"/>
      <c r="AB865"/>
      <c r="AL865"/>
      <c r="AM865"/>
      <c r="AN865"/>
      <c r="AO865"/>
    </row>
    <row r="866" spans="1:41" s="2" customFormat="1" x14ac:dyDescent="0.2">
      <c r="A866"/>
      <c r="B866"/>
      <c r="C866"/>
      <c r="D866"/>
      <c r="E866"/>
      <c r="F866"/>
      <c r="G866"/>
      <c r="U866"/>
      <c r="V866"/>
      <c r="W866"/>
      <c r="X866"/>
      <c r="Y866"/>
      <c r="Z866"/>
      <c r="AA866"/>
      <c r="AB866"/>
      <c r="AL866"/>
      <c r="AM866"/>
      <c r="AN866"/>
      <c r="AO866"/>
    </row>
    <row r="867" spans="1:41" s="2" customFormat="1" x14ac:dyDescent="0.2">
      <c r="A867"/>
      <c r="B867"/>
      <c r="C867"/>
      <c r="D867"/>
      <c r="E867"/>
      <c r="F867"/>
      <c r="G867"/>
      <c r="U867"/>
      <c r="V867"/>
      <c r="W867"/>
      <c r="X867"/>
      <c r="Y867"/>
      <c r="Z867"/>
      <c r="AA867"/>
      <c r="AB867"/>
      <c r="AL867"/>
      <c r="AM867"/>
      <c r="AN867"/>
      <c r="AO867"/>
    </row>
    <row r="868" spans="1:41" s="2" customFormat="1" x14ac:dyDescent="0.2">
      <c r="A868"/>
      <c r="B868"/>
      <c r="C868"/>
      <c r="D868"/>
      <c r="E868"/>
      <c r="F868"/>
      <c r="G868"/>
      <c r="U868"/>
      <c r="V868"/>
      <c r="W868"/>
      <c r="X868"/>
      <c r="Y868"/>
      <c r="Z868"/>
      <c r="AA868"/>
      <c r="AB868"/>
      <c r="AL868"/>
      <c r="AM868"/>
      <c r="AN868"/>
      <c r="AO868"/>
    </row>
    <row r="869" spans="1:41" s="2" customFormat="1" x14ac:dyDescent="0.2">
      <c r="A869"/>
      <c r="B869"/>
      <c r="C869"/>
      <c r="D869"/>
      <c r="E869"/>
      <c r="F869"/>
      <c r="G869"/>
      <c r="U869"/>
      <c r="V869"/>
      <c r="W869"/>
      <c r="X869"/>
      <c r="Y869"/>
      <c r="Z869"/>
      <c r="AA869"/>
      <c r="AB869"/>
      <c r="AL869"/>
      <c r="AM869"/>
      <c r="AN869"/>
      <c r="AO869"/>
    </row>
    <row r="870" spans="1:41" s="2" customFormat="1" x14ac:dyDescent="0.2">
      <c r="A870"/>
      <c r="B870"/>
      <c r="C870"/>
      <c r="D870"/>
      <c r="E870"/>
      <c r="F870"/>
      <c r="G870"/>
      <c r="U870"/>
      <c r="V870"/>
      <c r="W870"/>
      <c r="X870"/>
      <c r="Y870"/>
      <c r="Z870"/>
      <c r="AA870"/>
      <c r="AB870"/>
      <c r="AL870"/>
      <c r="AM870"/>
      <c r="AN870"/>
      <c r="AO870"/>
    </row>
    <row r="871" spans="1:41" s="2" customFormat="1" x14ac:dyDescent="0.2">
      <c r="A871"/>
      <c r="B871"/>
      <c r="C871"/>
      <c r="D871"/>
      <c r="E871"/>
      <c r="F871"/>
      <c r="G871"/>
      <c r="U871"/>
      <c r="V871"/>
      <c r="W871"/>
      <c r="X871"/>
      <c r="Y871"/>
      <c r="Z871"/>
      <c r="AA871"/>
      <c r="AB871"/>
      <c r="AL871"/>
      <c r="AM871"/>
      <c r="AN871"/>
      <c r="AO871"/>
    </row>
    <row r="872" spans="1:41" s="2" customFormat="1" x14ac:dyDescent="0.2">
      <c r="A872"/>
      <c r="B872"/>
      <c r="C872"/>
      <c r="D872"/>
      <c r="E872"/>
      <c r="F872"/>
      <c r="G872"/>
      <c r="U872"/>
      <c r="V872"/>
      <c r="W872"/>
      <c r="X872"/>
      <c r="Y872"/>
      <c r="Z872"/>
      <c r="AA872"/>
      <c r="AB872"/>
      <c r="AL872"/>
      <c r="AM872"/>
      <c r="AN872"/>
      <c r="AO872"/>
    </row>
    <row r="873" spans="1:41" s="2" customFormat="1" x14ac:dyDescent="0.2">
      <c r="A873"/>
      <c r="B873"/>
      <c r="C873"/>
      <c r="D873"/>
      <c r="E873"/>
      <c r="F873"/>
      <c r="G873"/>
      <c r="U873"/>
      <c r="V873"/>
      <c r="W873"/>
      <c r="X873"/>
      <c r="Y873"/>
      <c r="Z873"/>
      <c r="AA873"/>
      <c r="AB873"/>
      <c r="AL873"/>
      <c r="AM873"/>
      <c r="AN873"/>
      <c r="AO873"/>
    </row>
    <row r="874" spans="1:41" s="2" customFormat="1" x14ac:dyDescent="0.2">
      <c r="A874"/>
      <c r="B874"/>
      <c r="C874"/>
      <c r="D874"/>
      <c r="E874"/>
      <c r="F874"/>
      <c r="G874"/>
      <c r="U874"/>
      <c r="V874"/>
      <c r="W874"/>
      <c r="X874"/>
      <c r="Y874"/>
      <c r="Z874"/>
      <c r="AA874"/>
      <c r="AB874"/>
      <c r="AL874"/>
      <c r="AM874"/>
      <c r="AN874"/>
      <c r="AO874"/>
    </row>
    <row r="875" spans="1:41" s="2" customFormat="1" x14ac:dyDescent="0.2">
      <c r="A875"/>
      <c r="B875"/>
      <c r="C875"/>
      <c r="D875"/>
      <c r="E875"/>
      <c r="F875"/>
      <c r="G875"/>
      <c r="U875"/>
      <c r="V875"/>
      <c r="W875"/>
      <c r="X875"/>
      <c r="Y875"/>
      <c r="Z875"/>
      <c r="AA875"/>
      <c r="AB875"/>
      <c r="AL875"/>
      <c r="AM875"/>
      <c r="AN875"/>
      <c r="AO875"/>
    </row>
    <row r="876" spans="1:41" s="2" customFormat="1" x14ac:dyDescent="0.2">
      <c r="A876"/>
      <c r="B876"/>
      <c r="C876"/>
      <c r="D876"/>
      <c r="E876"/>
      <c r="F876"/>
      <c r="G876"/>
      <c r="U876"/>
      <c r="V876"/>
      <c r="W876"/>
      <c r="X876"/>
      <c r="Y876"/>
      <c r="Z876"/>
      <c r="AA876"/>
      <c r="AB876"/>
      <c r="AL876"/>
      <c r="AM876"/>
      <c r="AN876"/>
      <c r="AO876"/>
    </row>
    <row r="877" spans="1:41" s="2" customFormat="1" x14ac:dyDescent="0.2">
      <c r="A877"/>
      <c r="B877"/>
      <c r="C877"/>
      <c r="D877"/>
      <c r="E877"/>
      <c r="F877"/>
      <c r="G877"/>
      <c r="U877"/>
      <c r="V877"/>
      <c r="W877"/>
      <c r="X877"/>
      <c r="Y877"/>
      <c r="Z877"/>
      <c r="AA877"/>
      <c r="AB877"/>
      <c r="AL877"/>
      <c r="AM877"/>
      <c r="AN877"/>
      <c r="AO877"/>
    </row>
    <row r="878" spans="1:41" s="2" customFormat="1" x14ac:dyDescent="0.2">
      <c r="A878"/>
      <c r="B878"/>
      <c r="C878"/>
      <c r="D878"/>
      <c r="E878"/>
      <c r="F878"/>
      <c r="G878"/>
      <c r="U878"/>
      <c r="V878"/>
      <c r="W878"/>
      <c r="X878"/>
      <c r="Y878"/>
      <c r="Z878"/>
      <c r="AA878"/>
      <c r="AB878"/>
      <c r="AL878"/>
      <c r="AM878"/>
      <c r="AN878"/>
      <c r="AO878"/>
    </row>
    <row r="879" spans="1:41" s="2" customFormat="1" x14ac:dyDescent="0.2">
      <c r="A879"/>
      <c r="B879"/>
      <c r="C879"/>
      <c r="D879"/>
      <c r="E879"/>
      <c r="F879"/>
      <c r="G879"/>
      <c r="U879"/>
      <c r="V879"/>
      <c r="W879"/>
      <c r="X879"/>
      <c r="Y879"/>
      <c r="Z879"/>
      <c r="AA879"/>
      <c r="AB879"/>
      <c r="AL879"/>
      <c r="AM879"/>
      <c r="AN879"/>
      <c r="AO879"/>
    </row>
    <row r="880" spans="1:41" s="2" customFormat="1" x14ac:dyDescent="0.2">
      <c r="A880"/>
      <c r="B880"/>
      <c r="C880"/>
      <c r="D880"/>
      <c r="E880"/>
      <c r="F880"/>
      <c r="G880"/>
      <c r="U880"/>
      <c r="V880"/>
      <c r="W880"/>
      <c r="X880"/>
      <c r="Y880"/>
      <c r="Z880"/>
      <c r="AA880"/>
      <c r="AB880"/>
      <c r="AL880"/>
      <c r="AM880"/>
      <c r="AN880"/>
      <c r="AO880"/>
    </row>
    <row r="881" spans="1:41" s="2" customFormat="1" x14ac:dyDescent="0.2">
      <c r="A881"/>
      <c r="B881"/>
      <c r="C881"/>
      <c r="D881"/>
      <c r="E881"/>
      <c r="F881"/>
      <c r="G881"/>
      <c r="U881"/>
      <c r="V881"/>
      <c r="W881"/>
      <c r="X881"/>
      <c r="Y881"/>
      <c r="Z881"/>
      <c r="AA881"/>
      <c r="AB881"/>
      <c r="AL881"/>
      <c r="AM881"/>
      <c r="AN881"/>
      <c r="AO881"/>
    </row>
    <row r="882" spans="1:41" s="2" customFormat="1" x14ac:dyDescent="0.2">
      <c r="A882"/>
      <c r="B882"/>
      <c r="C882"/>
      <c r="D882"/>
      <c r="E882"/>
      <c r="F882"/>
      <c r="G882"/>
      <c r="U882"/>
      <c r="V882"/>
      <c r="W882"/>
      <c r="X882"/>
      <c r="Y882"/>
      <c r="Z882"/>
      <c r="AA882"/>
      <c r="AB882"/>
      <c r="AL882"/>
      <c r="AM882"/>
      <c r="AN882"/>
      <c r="AO882"/>
    </row>
    <row r="883" spans="1:41" s="2" customFormat="1" x14ac:dyDescent="0.2">
      <c r="A883"/>
      <c r="B883"/>
      <c r="C883"/>
      <c r="D883"/>
      <c r="E883"/>
      <c r="F883"/>
      <c r="G883"/>
      <c r="U883"/>
      <c r="V883"/>
      <c r="W883"/>
      <c r="X883"/>
      <c r="Y883"/>
      <c r="Z883"/>
      <c r="AA883"/>
      <c r="AB883"/>
      <c r="AL883"/>
      <c r="AM883"/>
      <c r="AN883"/>
      <c r="AO883"/>
    </row>
    <row r="884" spans="1:41" s="2" customFormat="1" x14ac:dyDescent="0.2">
      <c r="A884"/>
      <c r="B884"/>
      <c r="C884"/>
      <c r="D884"/>
      <c r="E884"/>
      <c r="F884"/>
      <c r="G884"/>
      <c r="U884"/>
      <c r="V884"/>
      <c r="W884"/>
      <c r="X884"/>
      <c r="Y884"/>
      <c r="Z884"/>
      <c r="AA884"/>
      <c r="AB884"/>
      <c r="AL884"/>
      <c r="AM884"/>
      <c r="AN884"/>
      <c r="AO884"/>
    </row>
    <row r="885" spans="1:41" s="2" customFormat="1" x14ac:dyDescent="0.2">
      <c r="A885"/>
      <c r="B885"/>
      <c r="C885"/>
      <c r="D885"/>
      <c r="E885"/>
      <c r="F885"/>
      <c r="G885"/>
      <c r="U885"/>
      <c r="V885"/>
      <c r="W885"/>
      <c r="X885"/>
      <c r="Y885"/>
      <c r="Z885"/>
      <c r="AA885"/>
      <c r="AB885"/>
      <c r="AL885"/>
      <c r="AM885"/>
      <c r="AN885"/>
      <c r="AO885"/>
    </row>
    <row r="886" spans="1:41" s="2" customFormat="1" x14ac:dyDescent="0.2">
      <c r="A886"/>
      <c r="B886"/>
      <c r="C886"/>
      <c r="D886"/>
      <c r="E886"/>
      <c r="F886"/>
      <c r="G886"/>
      <c r="U886"/>
      <c r="V886"/>
      <c r="W886"/>
      <c r="X886"/>
      <c r="Y886"/>
      <c r="Z886"/>
      <c r="AA886"/>
      <c r="AB886"/>
      <c r="AL886"/>
      <c r="AM886"/>
      <c r="AN886"/>
      <c r="AO886"/>
    </row>
    <row r="887" spans="1:41" s="2" customFormat="1" x14ac:dyDescent="0.2">
      <c r="A887"/>
      <c r="B887"/>
      <c r="C887"/>
      <c r="D887"/>
      <c r="E887"/>
      <c r="F887"/>
      <c r="G887"/>
      <c r="U887"/>
      <c r="V887"/>
      <c r="W887"/>
      <c r="X887"/>
      <c r="Y887"/>
      <c r="Z887"/>
      <c r="AA887"/>
      <c r="AB887"/>
      <c r="AL887"/>
      <c r="AM887"/>
      <c r="AN887"/>
      <c r="AO887"/>
    </row>
    <row r="888" spans="1:41" s="2" customFormat="1" x14ac:dyDescent="0.2">
      <c r="A888"/>
      <c r="B888"/>
      <c r="C888"/>
      <c r="D888"/>
      <c r="E888"/>
      <c r="F888"/>
      <c r="G888"/>
      <c r="U888"/>
      <c r="V888"/>
      <c r="W888"/>
      <c r="X888"/>
      <c r="Y888"/>
      <c r="Z888"/>
      <c r="AA888"/>
      <c r="AB888"/>
      <c r="AL888"/>
      <c r="AM888"/>
      <c r="AN888"/>
      <c r="AO888"/>
    </row>
    <row r="889" spans="1:41" s="2" customFormat="1" x14ac:dyDescent="0.2">
      <c r="A889"/>
      <c r="B889"/>
      <c r="C889"/>
      <c r="D889"/>
      <c r="E889"/>
      <c r="F889"/>
      <c r="G889"/>
      <c r="U889"/>
      <c r="V889"/>
      <c r="W889"/>
      <c r="X889"/>
      <c r="Y889"/>
      <c r="Z889"/>
      <c r="AA889"/>
      <c r="AB889"/>
      <c r="AL889"/>
      <c r="AM889"/>
      <c r="AN889"/>
      <c r="AO889"/>
    </row>
    <row r="890" spans="1:41" s="2" customFormat="1" x14ac:dyDescent="0.2">
      <c r="A890"/>
      <c r="B890"/>
      <c r="C890"/>
      <c r="D890"/>
      <c r="E890"/>
      <c r="F890"/>
      <c r="G890"/>
      <c r="U890"/>
      <c r="V890"/>
      <c r="W890"/>
      <c r="X890"/>
      <c r="Y890"/>
      <c r="Z890"/>
      <c r="AA890"/>
      <c r="AB890"/>
      <c r="AL890"/>
      <c r="AM890"/>
      <c r="AN890"/>
      <c r="AO890"/>
    </row>
    <row r="891" spans="1:41" s="2" customFormat="1" x14ac:dyDescent="0.2">
      <c r="A891"/>
      <c r="B891"/>
      <c r="C891"/>
      <c r="D891"/>
      <c r="E891"/>
      <c r="F891"/>
      <c r="G891"/>
      <c r="U891"/>
      <c r="V891"/>
      <c r="W891"/>
      <c r="X891"/>
      <c r="Y891"/>
      <c r="Z891"/>
      <c r="AA891"/>
      <c r="AB891"/>
      <c r="AL891"/>
      <c r="AM891"/>
      <c r="AN891"/>
      <c r="AO891"/>
    </row>
    <row r="892" spans="1:41" s="2" customFormat="1" x14ac:dyDescent="0.2">
      <c r="A892"/>
      <c r="B892"/>
      <c r="C892"/>
      <c r="D892"/>
      <c r="E892"/>
      <c r="F892"/>
      <c r="G892"/>
      <c r="U892"/>
      <c r="V892"/>
      <c r="W892"/>
      <c r="X892"/>
      <c r="Y892"/>
      <c r="Z892"/>
      <c r="AA892"/>
      <c r="AB892"/>
      <c r="AL892"/>
      <c r="AM892"/>
      <c r="AN892"/>
      <c r="AO892"/>
    </row>
    <row r="893" spans="1:41" s="2" customFormat="1" x14ac:dyDescent="0.2">
      <c r="A893"/>
      <c r="B893"/>
      <c r="C893"/>
      <c r="D893"/>
      <c r="E893"/>
      <c r="F893"/>
      <c r="G893"/>
      <c r="U893"/>
      <c r="V893"/>
      <c r="W893"/>
      <c r="X893"/>
      <c r="Y893"/>
      <c r="Z893"/>
      <c r="AA893"/>
      <c r="AB893"/>
      <c r="AL893"/>
      <c r="AM893"/>
      <c r="AN893"/>
      <c r="AO893"/>
    </row>
    <row r="894" spans="1:41" s="2" customFormat="1" x14ac:dyDescent="0.2">
      <c r="A894"/>
      <c r="B894"/>
      <c r="C894"/>
      <c r="D894"/>
      <c r="E894"/>
      <c r="F894"/>
      <c r="G894"/>
      <c r="U894"/>
      <c r="V894"/>
      <c r="W894"/>
      <c r="X894"/>
      <c r="Y894"/>
      <c r="Z894"/>
      <c r="AA894"/>
      <c r="AB894"/>
      <c r="AL894"/>
      <c r="AM894"/>
      <c r="AN894"/>
      <c r="AO894"/>
    </row>
    <row r="895" spans="1:41" s="2" customFormat="1" x14ac:dyDescent="0.2">
      <c r="A895"/>
      <c r="B895"/>
      <c r="C895"/>
      <c r="D895"/>
      <c r="E895"/>
      <c r="F895"/>
      <c r="G895"/>
      <c r="U895"/>
      <c r="V895"/>
      <c r="W895"/>
      <c r="X895"/>
      <c r="Y895"/>
      <c r="Z895"/>
      <c r="AA895"/>
      <c r="AB895"/>
      <c r="AL895"/>
      <c r="AM895"/>
      <c r="AN895"/>
      <c r="AO895"/>
    </row>
    <row r="896" spans="1:41" s="2" customFormat="1" x14ac:dyDescent="0.2">
      <c r="A896"/>
      <c r="B896"/>
      <c r="C896"/>
      <c r="D896"/>
      <c r="E896"/>
      <c r="F896"/>
      <c r="G896"/>
      <c r="U896"/>
      <c r="V896"/>
      <c r="W896"/>
      <c r="X896"/>
      <c r="Y896"/>
      <c r="Z896"/>
      <c r="AA896"/>
      <c r="AB896"/>
      <c r="AL896"/>
      <c r="AM896"/>
      <c r="AN896"/>
      <c r="AO896"/>
    </row>
    <row r="897" spans="1:41" s="2" customFormat="1" x14ac:dyDescent="0.2">
      <c r="A897"/>
      <c r="B897"/>
      <c r="C897"/>
      <c r="D897"/>
      <c r="E897"/>
      <c r="F897"/>
      <c r="G897"/>
      <c r="U897"/>
      <c r="V897"/>
      <c r="W897"/>
      <c r="X897"/>
      <c r="Y897"/>
      <c r="Z897"/>
      <c r="AA897"/>
      <c r="AB897"/>
      <c r="AL897"/>
      <c r="AM897"/>
      <c r="AN897"/>
      <c r="AO897"/>
    </row>
    <row r="898" spans="1:41" s="2" customFormat="1" x14ac:dyDescent="0.2">
      <c r="A898"/>
      <c r="B898"/>
      <c r="C898"/>
      <c r="D898"/>
      <c r="E898"/>
      <c r="F898"/>
      <c r="G898"/>
      <c r="U898"/>
      <c r="V898"/>
      <c r="W898"/>
      <c r="X898"/>
      <c r="Y898"/>
      <c r="Z898"/>
      <c r="AA898"/>
      <c r="AB898"/>
      <c r="AL898"/>
      <c r="AM898"/>
      <c r="AN898"/>
      <c r="AO898"/>
    </row>
    <row r="899" spans="1:41" s="2" customFormat="1" x14ac:dyDescent="0.2">
      <c r="A899"/>
      <c r="B899"/>
      <c r="C899"/>
      <c r="D899"/>
      <c r="E899"/>
      <c r="F899"/>
      <c r="G899"/>
      <c r="U899"/>
      <c r="V899"/>
      <c r="W899"/>
      <c r="X899"/>
      <c r="Y899"/>
      <c r="Z899"/>
      <c r="AA899"/>
      <c r="AB899"/>
      <c r="AL899"/>
      <c r="AM899"/>
      <c r="AN899"/>
      <c r="AO899"/>
    </row>
    <row r="900" spans="1:41" s="2" customFormat="1" x14ac:dyDescent="0.2">
      <c r="A900"/>
      <c r="B900"/>
      <c r="C900"/>
      <c r="D900"/>
      <c r="E900"/>
      <c r="F900"/>
      <c r="G900"/>
      <c r="U900"/>
      <c r="V900"/>
      <c r="W900"/>
      <c r="X900"/>
      <c r="Y900"/>
      <c r="Z900"/>
      <c r="AA900"/>
      <c r="AB900"/>
      <c r="AL900"/>
      <c r="AM900"/>
      <c r="AN900"/>
      <c r="AO900"/>
    </row>
    <row r="901" spans="1:41" s="2" customFormat="1" x14ac:dyDescent="0.2">
      <c r="A901"/>
      <c r="B901"/>
      <c r="C901"/>
      <c r="D901"/>
      <c r="E901"/>
      <c r="F901"/>
      <c r="G901"/>
      <c r="U901"/>
      <c r="V901"/>
      <c r="W901"/>
      <c r="X901"/>
      <c r="Y901"/>
      <c r="Z901"/>
      <c r="AA901"/>
      <c r="AB901"/>
      <c r="AL901"/>
      <c r="AM901"/>
      <c r="AN901"/>
      <c r="AO901"/>
    </row>
    <row r="902" spans="1:41" s="2" customFormat="1" x14ac:dyDescent="0.2">
      <c r="A902"/>
      <c r="B902"/>
      <c r="C902"/>
      <c r="D902"/>
      <c r="E902"/>
      <c r="F902"/>
      <c r="G902"/>
      <c r="U902"/>
      <c r="V902"/>
      <c r="W902"/>
      <c r="X902"/>
      <c r="Y902"/>
      <c r="Z902"/>
      <c r="AA902"/>
      <c r="AB902"/>
      <c r="AL902"/>
      <c r="AM902"/>
      <c r="AN902"/>
      <c r="AO902"/>
    </row>
    <row r="903" spans="1:41" s="2" customFormat="1" x14ac:dyDescent="0.2">
      <c r="A903"/>
      <c r="B903"/>
      <c r="C903"/>
      <c r="D903"/>
      <c r="E903"/>
      <c r="F903"/>
      <c r="G903"/>
      <c r="U903"/>
      <c r="V903"/>
      <c r="W903"/>
      <c r="X903"/>
      <c r="Y903"/>
      <c r="Z903"/>
      <c r="AA903"/>
      <c r="AB903"/>
      <c r="AL903"/>
      <c r="AM903"/>
      <c r="AN903"/>
      <c r="AO903"/>
    </row>
    <row r="904" spans="1:41" s="2" customFormat="1" x14ac:dyDescent="0.2">
      <c r="A904"/>
      <c r="B904"/>
      <c r="C904"/>
      <c r="D904"/>
      <c r="E904"/>
      <c r="F904"/>
      <c r="G904"/>
      <c r="U904"/>
      <c r="V904"/>
      <c r="W904"/>
      <c r="X904"/>
      <c r="Y904"/>
      <c r="Z904"/>
      <c r="AA904"/>
      <c r="AB904"/>
      <c r="AL904"/>
      <c r="AM904"/>
      <c r="AN904"/>
      <c r="AO904"/>
    </row>
    <row r="905" spans="1:41" s="2" customFormat="1" x14ac:dyDescent="0.2">
      <c r="A905"/>
      <c r="B905"/>
      <c r="C905"/>
      <c r="D905"/>
      <c r="E905"/>
      <c r="F905"/>
      <c r="G905"/>
      <c r="U905"/>
      <c r="V905"/>
      <c r="W905"/>
      <c r="X905"/>
      <c r="Y905"/>
      <c r="Z905"/>
      <c r="AA905"/>
      <c r="AB905"/>
      <c r="AL905"/>
      <c r="AM905"/>
      <c r="AN905"/>
      <c r="AO905"/>
    </row>
    <row r="906" spans="1:41" s="2" customFormat="1" x14ac:dyDescent="0.2">
      <c r="A906"/>
      <c r="B906"/>
      <c r="C906"/>
      <c r="D906"/>
      <c r="E906"/>
      <c r="F906"/>
      <c r="G906"/>
      <c r="U906"/>
      <c r="V906"/>
      <c r="W906"/>
      <c r="X906"/>
      <c r="Y906"/>
      <c r="Z906"/>
      <c r="AA906"/>
      <c r="AB906"/>
      <c r="AL906"/>
      <c r="AM906"/>
      <c r="AN906"/>
      <c r="AO906"/>
    </row>
    <row r="907" spans="1:41" s="2" customFormat="1" x14ac:dyDescent="0.2">
      <c r="A907"/>
      <c r="B907"/>
      <c r="C907"/>
      <c r="D907"/>
      <c r="E907"/>
      <c r="F907"/>
      <c r="G907"/>
      <c r="U907"/>
      <c r="V907"/>
      <c r="W907"/>
      <c r="X907"/>
      <c r="Y907"/>
      <c r="Z907"/>
      <c r="AA907"/>
      <c r="AB907"/>
      <c r="AL907"/>
      <c r="AM907"/>
      <c r="AN907"/>
      <c r="AO907"/>
    </row>
    <row r="908" spans="1:41" s="2" customFormat="1" x14ac:dyDescent="0.2">
      <c r="A908"/>
      <c r="B908"/>
      <c r="C908"/>
      <c r="D908"/>
      <c r="E908"/>
      <c r="F908"/>
      <c r="G908"/>
      <c r="U908"/>
      <c r="V908"/>
      <c r="W908"/>
      <c r="X908"/>
      <c r="Y908"/>
      <c r="Z908"/>
      <c r="AA908"/>
      <c r="AB908"/>
      <c r="AL908"/>
      <c r="AM908"/>
      <c r="AN908"/>
      <c r="AO908"/>
    </row>
    <row r="909" spans="1:41" s="2" customFormat="1" x14ac:dyDescent="0.2">
      <c r="A909"/>
      <c r="B909"/>
      <c r="C909"/>
      <c r="D909"/>
      <c r="E909"/>
      <c r="F909"/>
      <c r="G909"/>
      <c r="U909"/>
      <c r="V909"/>
      <c r="W909"/>
      <c r="X909"/>
      <c r="Y909"/>
      <c r="Z909"/>
      <c r="AA909"/>
      <c r="AB909"/>
      <c r="AL909"/>
      <c r="AM909"/>
      <c r="AN909"/>
      <c r="AO909"/>
    </row>
    <row r="910" spans="1:41" s="2" customFormat="1" x14ac:dyDescent="0.2">
      <c r="A910"/>
      <c r="B910"/>
      <c r="C910"/>
      <c r="D910"/>
      <c r="E910"/>
      <c r="F910"/>
      <c r="G910"/>
      <c r="U910"/>
      <c r="V910"/>
      <c r="W910"/>
      <c r="X910"/>
      <c r="Y910"/>
      <c r="Z910"/>
      <c r="AA910"/>
      <c r="AB910"/>
      <c r="AL910"/>
      <c r="AM910"/>
      <c r="AN910"/>
      <c r="AO910"/>
    </row>
    <row r="911" spans="1:41" s="2" customFormat="1" x14ac:dyDescent="0.2">
      <c r="A911"/>
      <c r="B911"/>
      <c r="C911"/>
      <c r="D911"/>
      <c r="E911"/>
      <c r="F911"/>
      <c r="G911"/>
      <c r="U911"/>
      <c r="V911"/>
      <c r="W911"/>
      <c r="X911"/>
      <c r="Y911"/>
      <c r="Z911"/>
      <c r="AA911"/>
      <c r="AB911"/>
      <c r="AL911"/>
      <c r="AM911"/>
      <c r="AN911"/>
      <c r="AO911"/>
    </row>
    <row r="912" spans="1:41" s="2" customFormat="1" x14ac:dyDescent="0.2">
      <c r="A912"/>
      <c r="B912"/>
      <c r="C912"/>
      <c r="D912"/>
      <c r="E912"/>
      <c r="F912"/>
      <c r="G912"/>
      <c r="U912"/>
      <c r="V912"/>
      <c r="W912"/>
      <c r="X912"/>
      <c r="Y912"/>
      <c r="Z912"/>
      <c r="AA912"/>
      <c r="AB912"/>
      <c r="AL912"/>
      <c r="AM912"/>
      <c r="AN912"/>
      <c r="AO912"/>
    </row>
    <row r="913" spans="1:41" s="2" customFormat="1" x14ac:dyDescent="0.2">
      <c r="A913"/>
      <c r="B913"/>
      <c r="C913"/>
      <c r="D913"/>
      <c r="E913"/>
      <c r="F913"/>
      <c r="G913"/>
      <c r="U913"/>
      <c r="V913"/>
      <c r="W913"/>
      <c r="X913"/>
      <c r="Y913"/>
      <c r="Z913"/>
      <c r="AA913"/>
      <c r="AB913"/>
      <c r="AL913"/>
      <c r="AM913"/>
      <c r="AN913"/>
      <c r="AO913"/>
    </row>
    <row r="914" spans="1:41" s="2" customFormat="1" x14ac:dyDescent="0.2">
      <c r="A914"/>
      <c r="B914"/>
      <c r="C914"/>
      <c r="D914"/>
      <c r="E914"/>
      <c r="F914"/>
      <c r="G914"/>
      <c r="U914"/>
      <c r="V914"/>
      <c r="W914"/>
      <c r="X914"/>
      <c r="Y914"/>
      <c r="Z914"/>
      <c r="AA914"/>
      <c r="AB914"/>
      <c r="AL914"/>
      <c r="AM914"/>
      <c r="AN914"/>
      <c r="AO914"/>
    </row>
    <row r="915" spans="1:41" s="2" customFormat="1" x14ac:dyDescent="0.2">
      <c r="A915"/>
      <c r="B915"/>
      <c r="C915"/>
      <c r="D915"/>
      <c r="E915"/>
      <c r="F915"/>
      <c r="G915"/>
      <c r="U915"/>
      <c r="V915"/>
      <c r="W915"/>
      <c r="X915"/>
      <c r="Y915"/>
      <c r="Z915"/>
      <c r="AA915"/>
      <c r="AB915"/>
      <c r="AL915"/>
      <c r="AM915"/>
      <c r="AN915"/>
      <c r="AO915"/>
    </row>
    <row r="916" spans="1:41" s="2" customFormat="1" x14ac:dyDescent="0.2">
      <c r="A916"/>
      <c r="B916"/>
      <c r="C916"/>
      <c r="D916"/>
      <c r="E916"/>
      <c r="F916"/>
      <c r="G916"/>
      <c r="U916"/>
      <c r="V916"/>
      <c r="W916"/>
      <c r="X916"/>
      <c r="Y916"/>
      <c r="Z916"/>
      <c r="AA916"/>
      <c r="AB916"/>
      <c r="AL916"/>
      <c r="AM916"/>
      <c r="AN916"/>
      <c r="AO916"/>
    </row>
    <row r="917" spans="1:41" s="2" customFormat="1" x14ac:dyDescent="0.2">
      <c r="A917"/>
      <c r="B917"/>
      <c r="C917"/>
      <c r="D917"/>
      <c r="E917"/>
      <c r="F917"/>
      <c r="G917"/>
      <c r="U917"/>
      <c r="V917"/>
      <c r="W917"/>
      <c r="X917"/>
      <c r="Y917"/>
      <c r="Z917"/>
      <c r="AA917"/>
      <c r="AB917"/>
      <c r="AL917"/>
      <c r="AM917"/>
      <c r="AN917"/>
      <c r="AO917"/>
    </row>
    <row r="918" spans="1:41" s="2" customFormat="1" x14ac:dyDescent="0.2">
      <c r="A918"/>
      <c r="B918"/>
      <c r="C918"/>
      <c r="D918"/>
      <c r="E918"/>
      <c r="F918"/>
      <c r="G918"/>
      <c r="U918"/>
      <c r="V918"/>
      <c r="W918"/>
      <c r="X918"/>
      <c r="Y918"/>
      <c r="Z918"/>
      <c r="AA918"/>
      <c r="AB918"/>
      <c r="AL918"/>
      <c r="AM918"/>
      <c r="AN918"/>
      <c r="AO918"/>
    </row>
    <row r="919" spans="1:41" s="2" customFormat="1" x14ac:dyDescent="0.2">
      <c r="A919"/>
      <c r="B919"/>
      <c r="C919"/>
      <c r="D919"/>
      <c r="E919"/>
      <c r="F919"/>
      <c r="G919"/>
      <c r="U919"/>
      <c r="V919"/>
      <c r="W919"/>
      <c r="X919"/>
      <c r="Y919"/>
      <c r="Z919"/>
      <c r="AA919"/>
      <c r="AB919"/>
      <c r="AL919"/>
      <c r="AM919"/>
      <c r="AN919"/>
      <c r="AO919"/>
    </row>
    <row r="920" spans="1:41" s="2" customFormat="1" x14ac:dyDescent="0.2">
      <c r="A920"/>
      <c r="B920"/>
      <c r="C920"/>
      <c r="D920"/>
      <c r="E920"/>
      <c r="F920"/>
      <c r="G920"/>
      <c r="U920"/>
      <c r="V920"/>
      <c r="W920"/>
      <c r="X920"/>
      <c r="Y920"/>
      <c r="Z920"/>
      <c r="AA920"/>
      <c r="AB920"/>
      <c r="AL920"/>
      <c r="AM920"/>
      <c r="AN920"/>
      <c r="AO920"/>
    </row>
    <row r="921" spans="1:41" s="2" customFormat="1" x14ac:dyDescent="0.2">
      <c r="A921"/>
      <c r="B921"/>
      <c r="C921"/>
      <c r="D921"/>
      <c r="E921"/>
      <c r="F921"/>
      <c r="G921"/>
      <c r="U921"/>
      <c r="V921"/>
      <c r="W921"/>
      <c r="X921"/>
      <c r="Y921"/>
      <c r="Z921"/>
      <c r="AA921"/>
      <c r="AB921"/>
      <c r="AL921"/>
      <c r="AM921"/>
      <c r="AN921"/>
      <c r="AO921"/>
    </row>
    <row r="922" spans="1:41" s="2" customFormat="1" x14ac:dyDescent="0.2">
      <c r="A922"/>
      <c r="B922"/>
      <c r="C922"/>
      <c r="D922"/>
      <c r="E922"/>
      <c r="F922"/>
      <c r="G922"/>
      <c r="U922"/>
      <c r="V922"/>
      <c r="W922"/>
      <c r="X922"/>
      <c r="Y922"/>
      <c r="Z922"/>
      <c r="AA922"/>
      <c r="AB922"/>
      <c r="AL922"/>
      <c r="AM922"/>
      <c r="AN922"/>
      <c r="AO922"/>
    </row>
    <row r="923" spans="1:41" s="2" customFormat="1" x14ac:dyDescent="0.2">
      <c r="A923"/>
      <c r="B923"/>
      <c r="C923"/>
      <c r="D923"/>
      <c r="E923"/>
      <c r="F923"/>
      <c r="G923"/>
      <c r="U923"/>
      <c r="V923"/>
      <c r="W923"/>
      <c r="X923"/>
      <c r="Y923"/>
      <c r="Z923"/>
      <c r="AA923"/>
      <c r="AB923"/>
      <c r="AL923"/>
      <c r="AM923"/>
      <c r="AN923"/>
      <c r="AO923"/>
    </row>
    <row r="924" spans="1:41" s="2" customFormat="1" x14ac:dyDescent="0.2">
      <c r="A924"/>
      <c r="B924"/>
      <c r="C924"/>
      <c r="D924"/>
      <c r="E924"/>
      <c r="F924"/>
      <c r="G924"/>
      <c r="U924"/>
      <c r="V924"/>
      <c r="W924"/>
      <c r="X924"/>
      <c r="Y924"/>
      <c r="Z924"/>
      <c r="AA924"/>
      <c r="AB924"/>
      <c r="AL924"/>
      <c r="AM924"/>
      <c r="AN924"/>
      <c r="AO924"/>
    </row>
    <row r="925" spans="1:41" s="2" customFormat="1" x14ac:dyDescent="0.2">
      <c r="A925"/>
      <c r="B925"/>
      <c r="C925"/>
      <c r="D925"/>
      <c r="E925"/>
      <c r="F925"/>
      <c r="G925"/>
      <c r="U925"/>
      <c r="V925"/>
      <c r="W925"/>
      <c r="X925"/>
      <c r="Y925"/>
      <c r="Z925"/>
      <c r="AA925"/>
      <c r="AB925"/>
      <c r="AL925"/>
      <c r="AM925"/>
      <c r="AN925"/>
      <c r="AO925"/>
    </row>
    <row r="926" spans="1:41" s="2" customFormat="1" x14ac:dyDescent="0.2">
      <c r="A926"/>
      <c r="B926"/>
      <c r="C926"/>
      <c r="D926"/>
      <c r="E926"/>
      <c r="F926"/>
      <c r="G926"/>
      <c r="U926"/>
      <c r="V926"/>
      <c r="W926"/>
      <c r="X926"/>
      <c r="Y926"/>
      <c r="Z926"/>
      <c r="AA926"/>
      <c r="AB926"/>
      <c r="AL926"/>
      <c r="AM926"/>
      <c r="AN926"/>
      <c r="AO926"/>
    </row>
    <row r="927" spans="1:41" s="2" customFormat="1" x14ac:dyDescent="0.2">
      <c r="A927"/>
      <c r="B927"/>
      <c r="C927"/>
      <c r="D927"/>
      <c r="E927"/>
      <c r="F927"/>
      <c r="G927"/>
      <c r="U927"/>
      <c r="V927"/>
      <c r="W927"/>
      <c r="X927"/>
      <c r="Y927"/>
      <c r="Z927"/>
      <c r="AA927"/>
      <c r="AB927"/>
      <c r="AL927"/>
      <c r="AM927"/>
      <c r="AN927"/>
      <c r="AO927"/>
    </row>
    <row r="928" spans="1:41" s="2" customFormat="1" x14ac:dyDescent="0.2">
      <c r="A928"/>
      <c r="B928"/>
      <c r="C928"/>
      <c r="D928"/>
      <c r="E928"/>
      <c r="F928"/>
      <c r="G928"/>
      <c r="U928"/>
      <c r="V928"/>
      <c r="W928"/>
      <c r="X928"/>
      <c r="Y928"/>
      <c r="Z928"/>
      <c r="AA928"/>
      <c r="AB928"/>
      <c r="AL928"/>
      <c r="AM928"/>
      <c r="AN928"/>
      <c r="AO928"/>
    </row>
    <row r="929" spans="1:41" s="2" customFormat="1" x14ac:dyDescent="0.2">
      <c r="A929"/>
      <c r="B929"/>
      <c r="C929"/>
      <c r="D929"/>
      <c r="E929"/>
      <c r="F929"/>
      <c r="G929"/>
      <c r="U929"/>
      <c r="V929"/>
      <c r="W929"/>
      <c r="X929"/>
      <c r="Y929"/>
      <c r="Z929"/>
      <c r="AA929"/>
      <c r="AB929"/>
      <c r="AL929"/>
      <c r="AM929"/>
      <c r="AN929"/>
      <c r="AO929"/>
    </row>
    <row r="930" spans="1:41" s="2" customFormat="1" x14ac:dyDescent="0.2">
      <c r="A930"/>
      <c r="B930"/>
      <c r="C930"/>
      <c r="D930"/>
      <c r="E930"/>
      <c r="F930"/>
      <c r="G930"/>
      <c r="U930"/>
      <c r="V930"/>
      <c r="W930"/>
      <c r="X930"/>
      <c r="Y930"/>
      <c r="Z930"/>
      <c r="AA930"/>
      <c r="AB930"/>
      <c r="AL930"/>
      <c r="AM930"/>
      <c r="AN930"/>
      <c r="AO930"/>
    </row>
    <row r="931" spans="1:41" s="2" customFormat="1" x14ac:dyDescent="0.2">
      <c r="A931"/>
      <c r="B931"/>
      <c r="C931"/>
      <c r="D931"/>
      <c r="E931"/>
      <c r="F931"/>
      <c r="G931"/>
      <c r="U931"/>
      <c r="V931"/>
      <c r="W931"/>
      <c r="X931"/>
      <c r="Y931"/>
      <c r="Z931"/>
      <c r="AA931"/>
      <c r="AB931"/>
      <c r="AL931"/>
      <c r="AM931"/>
      <c r="AN931"/>
      <c r="AO931"/>
    </row>
    <row r="932" spans="1:41" s="2" customFormat="1" x14ac:dyDescent="0.2">
      <c r="A932"/>
      <c r="B932"/>
      <c r="C932"/>
      <c r="D932"/>
      <c r="E932"/>
      <c r="F932"/>
      <c r="G932"/>
      <c r="U932"/>
      <c r="V932"/>
      <c r="W932"/>
      <c r="X932"/>
      <c r="Y932"/>
      <c r="Z932"/>
      <c r="AA932"/>
      <c r="AB932"/>
      <c r="AL932"/>
      <c r="AM932"/>
      <c r="AN932"/>
      <c r="AO932"/>
    </row>
    <row r="933" spans="1:41" s="2" customFormat="1" x14ac:dyDescent="0.2">
      <c r="A933"/>
      <c r="B933"/>
      <c r="C933"/>
      <c r="D933"/>
      <c r="E933"/>
      <c r="F933"/>
      <c r="G933"/>
      <c r="U933"/>
      <c r="V933"/>
      <c r="W933"/>
      <c r="X933"/>
      <c r="Y933"/>
      <c r="Z933"/>
      <c r="AA933"/>
      <c r="AB933"/>
      <c r="AL933"/>
      <c r="AM933"/>
      <c r="AN933"/>
      <c r="AO933"/>
    </row>
    <row r="934" spans="1:41" s="2" customFormat="1" x14ac:dyDescent="0.2">
      <c r="A934"/>
      <c r="B934"/>
      <c r="C934"/>
      <c r="D934"/>
      <c r="E934"/>
      <c r="F934"/>
      <c r="G934"/>
      <c r="U934"/>
      <c r="V934"/>
      <c r="W934"/>
      <c r="X934"/>
      <c r="Y934"/>
      <c r="Z934"/>
      <c r="AA934"/>
      <c r="AB934"/>
      <c r="AL934"/>
      <c r="AM934"/>
      <c r="AN934"/>
      <c r="AO934"/>
    </row>
    <row r="935" spans="1:41" s="2" customFormat="1" x14ac:dyDescent="0.2">
      <c r="A935"/>
      <c r="B935"/>
      <c r="C935"/>
      <c r="D935"/>
      <c r="E935"/>
      <c r="F935"/>
      <c r="G935"/>
      <c r="U935"/>
      <c r="V935"/>
      <c r="W935"/>
      <c r="X935"/>
      <c r="Y935"/>
      <c r="Z935"/>
      <c r="AA935"/>
      <c r="AB935"/>
      <c r="AL935"/>
      <c r="AM935"/>
      <c r="AN935"/>
      <c r="AO935"/>
    </row>
    <row r="936" spans="1:41" s="2" customFormat="1" x14ac:dyDescent="0.2">
      <c r="A936"/>
      <c r="B936"/>
      <c r="C936"/>
      <c r="D936"/>
      <c r="E936"/>
      <c r="F936"/>
      <c r="G936"/>
      <c r="U936"/>
      <c r="V936"/>
      <c r="W936"/>
      <c r="X936"/>
      <c r="Y936"/>
      <c r="Z936"/>
      <c r="AA936"/>
      <c r="AB936"/>
      <c r="AL936"/>
      <c r="AM936"/>
      <c r="AN936"/>
      <c r="AO936"/>
    </row>
    <row r="937" spans="1:41" s="2" customFormat="1" x14ac:dyDescent="0.2">
      <c r="A937"/>
      <c r="B937"/>
      <c r="C937"/>
      <c r="D937"/>
      <c r="E937"/>
      <c r="F937"/>
      <c r="G937"/>
      <c r="U937"/>
      <c r="V937"/>
      <c r="W937"/>
      <c r="X937"/>
      <c r="Y937"/>
      <c r="Z937"/>
      <c r="AA937"/>
      <c r="AB937"/>
      <c r="AL937"/>
      <c r="AM937"/>
      <c r="AN937"/>
      <c r="AO937"/>
    </row>
    <row r="938" spans="1:41" s="2" customFormat="1" x14ac:dyDescent="0.2">
      <c r="A938"/>
      <c r="B938"/>
      <c r="C938"/>
      <c r="D938"/>
      <c r="E938"/>
      <c r="F938"/>
      <c r="G938"/>
      <c r="U938"/>
      <c r="V938"/>
      <c r="W938"/>
      <c r="X938"/>
      <c r="Y938"/>
      <c r="Z938"/>
      <c r="AA938"/>
      <c r="AB938"/>
      <c r="AL938"/>
      <c r="AM938"/>
      <c r="AN938"/>
      <c r="AO938"/>
    </row>
    <row r="939" spans="1:41" s="2" customFormat="1" x14ac:dyDescent="0.2">
      <c r="A939"/>
      <c r="B939"/>
      <c r="C939"/>
      <c r="D939"/>
      <c r="E939"/>
      <c r="F939"/>
      <c r="G939"/>
      <c r="U939"/>
      <c r="V939"/>
      <c r="W939"/>
      <c r="X939"/>
      <c r="Y939"/>
      <c r="Z939"/>
      <c r="AA939"/>
      <c r="AB939"/>
      <c r="AL939"/>
      <c r="AM939"/>
      <c r="AN939"/>
      <c r="AO939"/>
    </row>
    <row r="940" spans="1:41" s="2" customFormat="1" x14ac:dyDescent="0.2">
      <c r="A940"/>
      <c r="B940"/>
      <c r="C940"/>
      <c r="D940"/>
      <c r="E940"/>
      <c r="F940"/>
      <c r="G940"/>
      <c r="U940"/>
      <c r="V940"/>
      <c r="W940"/>
      <c r="X940"/>
      <c r="Y940"/>
      <c r="Z940"/>
      <c r="AA940"/>
      <c r="AB940"/>
      <c r="AL940"/>
      <c r="AM940"/>
      <c r="AN940"/>
      <c r="AO940"/>
    </row>
    <row r="941" spans="1:41" s="2" customFormat="1" x14ac:dyDescent="0.2">
      <c r="A941"/>
      <c r="B941"/>
      <c r="C941"/>
      <c r="D941"/>
      <c r="E941"/>
      <c r="F941"/>
      <c r="G941"/>
      <c r="U941"/>
      <c r="V941"/>
      <c r="W941"/>
      <c r="X941"/>
      <c r="Y941"/>
      <c r="Z941"/>
      <c r="AA941"/>
      <c r="AB941"/>
      <c r="AL941"/>
      <c r="AM941"/>
      <c r="AN941"/>
      <c r="AO941"/>
    </row>
    <row r="942" spans="1:41" s="2" customFormat="1" x14ac:dyDescent="0.2">
      <c r="A942"/>
      <c r="B942"/>
      <c r="C942"/>
      <c r="D942"/>
      <c r="E942"/>
      <c r="F942"/>
      <c r="G942"/>
      <c r="U942"/>
      <c r="V942"/>
      <c r="W942"/>
      <c r="X942"/>
      <c r="Y942"/>
      <c r="Z942"/>
      <c r="AA942"/>
      <c r="AB942"/>
      <c r="AL942"/>
      <c r="AM942"/>
      <c r="AN942"/>
      <c r="AO942"/>
    </row>
    <row r="943" spans="1:41" s="2" customFormat="1" x14ac:dyDescent="0.2">
      <c r="A943"/>
      <c r="B943"/>
      <c r="C943"/>
      <c r="D943"/>
      <c r="E943"/>
      <c r="F943"/>
      <c r="G943"/>
      <c r="U943"/>
      <c r="V943"/>
      <c r="W943"/>
      <c r="X943"/>
      <c r="Y943"/>
      <c r="Z943"/>
      <c r="AA943"/>
      <c r="AB943"/>
      <c r="AL943"/>
      <c r="AM943"/>
      <c r="AN943"/>
      <c r="AO943"/>
    </row>
    <row r="944" spans="1:41" s="2" customFormat="1" x14ac:dyDescent="0.2">
      <c r="A944"/>
      <c r="B944"/>
      <c r="C944"/>
      <c r="D944"/>
      <c r="E944"/>
      <c r="F944"/>
      <c r="G944"/>
      <c r="U944"/>
      <c r="V944"/>
      <c r="W944"/>
      <c r="X944"/>
      <c r="Y944"/>
      <c r="Z944"/>
      <c r="AA944"/>
      <c r="AB944"/>
      <c r="AL944"/>
      <c r="AM944"/>
      <c r="AN944"/>
      <c r="AO944"/>
    </row>
    <row r="945" spans="1:41" s="2" customFormat="1" x14ac:dyDescent="0.2">
      <c r="A945"/>
      <c r="B945"/>
      <c r="C945"/>
      <c r="D945"/>
      <c r="E945"/>
      <c r="F945"/>
      <c r="G945"/>
      <c r="U945"/>
      <c r="V945"/>
      <c r="W945"/>
      <c r="X945"/>
      <c r="Y945"/>
      <c r="Z945"/>
      <c r="AA945"/>
      <c r="AB945"/>
      <c r="AL945"/>
      <c r="AM945"/>
      <c r="AN945"/>
      <c r="AO945"/>
    </row>
    <row r="946" spans="1:41" s="2" customFormat="1" x14ac:dyDescent="0.2">
      <c r="A946"/>
      <c r="B946"/>
      <c r="C946"/>
      <c r="D946"/>
      <c r="E946"/>
      <c r="F946"/>
      <c r="G946"/>
      <c r="U946"/>
      <c r="V946"/>
      <c r="W946"/>
      <c r="X946"/>
      <c r="Y946"/>
      <c r="Z946"/>
      <c r="AA946"/>
      <c r="AB946"/>
      <c r="AL946"/>
      <c r="AM946"/>
      <c r="AN946"/>
      <c r="AO946"/>
    </row>
    <row r="947" spans="1:41" s="2" customFormat="1" x14ac:dyDescent="0.2">
      <c r="A947"/>
      <c r="B947"/>
      <c r="C947"/>
      <c r="D947"/>
      <c r="E947"/>
      <c r="F947"/>
      <c r="G947"/>
      <c r="U947"/>
      <c r="V947"/>
      <c r="W947"/>
      <c r="X947"/>
      <c r="Y947"/>
      <c r="Z947"/>
      <c r="AA947"/>
      <c r="AB947"/>
      <c r="AL947"/>
      <c r="AM947"/>
      <c r="AN947"/>
      <c r="AO947"/>
    </row>
    <row r="948" spans="1:41" s="2" customFormat="1" x14ac:dyDescent="0.2">
      <c r="A948"/>
      <c r="B948"/>
      <c r="C948"/>
      <c r="D948"/>
      <c r="E948"/>
      <c r="F948"/>
      <c r="G948"/>
      <c r="U948"/>
      <c r="V948"/>
      <c r="W948"/>
      <c r="X948"/>
      <c r="Y948"/>
      <c r="Z948"/>
      <c r="AA948"/>
      <c r="AB948"/>
      <c r="AL948"/>
      <c r="AM948"/>
      <c r="AN948"/>
      <c r="AO948"/>
    </row>
    <row r="949" spans="1:41" s="2" customFormat="1" x14ac:dyDescent="0.2">
      <c r="A949"/>
      <c r="B949"/>
      <c r="C949"/>
      <c r="D949"/>
      <c r="E949"/>
      <c r="F949"/>
      <c r="G949"/>
      <c r="U949"/>
      <c r="V949"/>
      <c r="W949"/>
      <c r="X949"/>
      <c r="Y949"/>
      <c r="Z949"/>
      <c r="AA949"/>
      <c r="AB949"/>
      <c r="AL949"/>
      <c r="AM949"/>
      <c r="AN949"/>
      <c r="AO949"/>
    </row>
    <row r="950" spans="1:41" s="2" customFormat="1" x14ac:dyDescent="0.2">
      <c r="A950"/>
      <c r="B950"/>
      <c r="C950"/>
      <c r="D950"/>
      <c r="E950"/>
      <c r="F950"/>
      <c r="G950"/>
      <c r="U950"/>
      <c r="V950"/>
      <c r="W950"/>
      <c r="X950"/>
      <c r="Y950"/>
      <c r="Z950"/>
      <c r="AA950"/>
      <c r="AB950"/>
      <c r="AL950"/>
      <c r="AM950"/>
      <c r="AN950"/>
      <c r="AO950"/>
    </row>
    <row r="951" spans="1:41" s="2" customFormat="1" x14ac:dyDescent="0.2">
      <c r="A951"/>
      <c r="B951"/>
      <c r="C951"/>
      <c r="D951"/>
      <c r="E951"/>
      <c r="F951"/>
      <c r="G951"/>
      <c r="U951"/>
      <c r="V951"/>
      <c r="W951"/>
      <c r="X951"/>
      <c r="Y951"/>
      <c r="Z951"/>
      <c r="AA951"/>
      <c r="AB951"/>
      <c r="AL951"/>
      <c r="AM951"/>
      <c r="AN951"/>
      <c r="AO951"/>
    </row>
    <row r="952" spans="1:41" s="2" customFormat="1" x14ac:dyDescent="0.2">
      <c r="A952"/>
      <c r="B952"/>
      <c r="C952"/>
      <c r="D952"/>
      <c r="E952"/>
      <c r="F952"/>
      <c r="G952"/>
      <c r="U952"/>
      <c r="V952"/>
      <c r="W952"/>
      <c r="X952"/>
      <c r="Y952"/>
      <c r="Z952"/>
      <c r="AA952"/>
      <c r="AB952"/>
      <c r="AL952"/>
      <c r="AM952"/>
      <c r="AN952"/>
      <c r="AO952"/>
    </row>
    <row r="953" spans="1:41" s="2" customFormat="1" x14ac:dyDescent="0.2">
      <c r="A953"/>
      <c r="B953"/>
      <c r="C953"/>
      <c r="D953"/>
      <c r="E953"/>
      <c r="F953"/>
      <c r="G953"/>
      <c r="U953"/>
      <c r="V953"/>
      <c r="W953"/>
      <c r="X953"/>
      <c r="Y953"/>
      <c r="Z953"/>
      <c r="AA953"/>
      <c r="AB953"/>
      <c r="AL953"/>
      <c r="AM953"/>
      <c r="AN953"/>
      <c r="AO953"/>
    </row>
    <row r="954" spans="1:41" s="2" customFormat="1" x14ac:dyDescent="0.2">
      <c r="A954"/>
      <c r="B954"/>
      <c r="C954"/>
      <c r="D954"/>
      <c r="E954"/>
      <c r="F954"/>
      <c r="G954"/>
      <c r="U954"/>
      <c r="V954"/>
      <c r="W954"/>
      <c r="X954"/>
      <c r="Y954"/>
      <c r="Z954"/>
      <c r="AA954"/>
      <c r="AB954"/>
      <c r="AL954"/>
      <c r="AM954"/>
      <c r="AN954"/>
      <c r="AO954"/>
    </row>
    <row r="955" spans="1:41" s="2" customFormat="1" x14ac:dyDescent="0.2">
      <c r="A955"/>
      <c r="B955"/>
      <c r="C955"/>
      <c r="D955"/>
      <c r="E955"/>
      <c r="F955"/>
      <c r="G955"/>
      <c r="U955"/>
      <c r="V955"/>
      <c r="W955"/>
      <c r="X955"/>
      <c r="Y955"/>
      <c r="Z955"/>
      <c r="AA955"/>
      <c r="AB955"/>
      <c r="AL955"/>
      <c r="AM955"/>
      <c r="AN955"/>
      <c r="AO955"/>
    </row>
    <row r="956" spans="1:41" s="2" customFormat="1" x14ac:dyDescent="0.2">
      <c r="A956"/>
      <c r="B956"/>
      <c r="C956"/>
      <c r="D956"/>
      <c r="E956"/>
      <c r="F956"/>
      <c r="G956"/>
      <c r="U956"/>
      <c r="V956"/>
      <c r="W956"/>
      <c r="X956"/>
      <c r="Y956"/>
      <c r="Z956"/>
      <c r="AA956"/>
      <c r="AB956"/>
      <c r="AL956"/>
      <c r="AM956"/>
      <c r="AN956"/>
      <c r="AO956"/>
    </row>
    <row r="957" spans="1:41" s="2" customFormat="1" x14ac:dyDescent="0.2">
      <c r="A957"/>
      <c r="B957"/>
      <c r="C957"/>
      <c r="D957"/>
      <c r="E957"/>
      <c r="F957"/>
      <c r="G957"/>
      <c r="U957"/>
      <c r="V957"/>
      <c r="W957"/>
      <c r="X957"/>
      <c r="Y957"/>
      <c r="Z957"/>
      <c r="AA957"/>
      <c r="AB957"/>
      <c r="AL957"/>
      <c r="AM957"/>
      <c r="AN957"/>
      <c r="AO957"/>
    </row>
    <row r="958" spans="1:41" s="2" customFormat="1" x14ac:dyDescent="0.2">
      <c r="A958"/>
      <c r="B958"/>
      <c r="C958"/>
      <c r="D958"/>
      <c r="E958"/>
      <c r="F958"/>
      <c r="G958"/>
      <c r="U958"/>
      <c r="V958"/>
      <c r="W958"/>
      <c r="X958"/>
      <c r="Y958"/>
      <c r="Z958"/>
      <c r="AA958"/>
      <c r="AB958"/>
      <c r="AL958"/>
      <c r="AM958"/>
      <c r="AN958"/>
      <c r="AO958"/>
    </row>
    <row r="959" spans="1:41" s="2" customFormat="1" x14ac:dyDescent="0.2">
      <c r="A959"/>
      <c r="B959"/>
      <c r="C959"/>
      <c r="D959"/>
      <c r="E959"/>
      <c r="F959"/>
      <c r="G959"/>
      <c r="U959"/>
      <c r="V959"/>
      <c r="W959"/>
      <c r="X959"/>
      <c r="Y959"/>
      <c r="Z959"/>
      <c r="AA959"/>
      <c r="AB959"/>
      <c r="AL959"/>
      <c r="AM959"/>
      <c r="AN959"/>
      <c r="AO959"/>
    </row>
    <row r="960" spans="1:41" s="2" customFormat="1" x14ac:dyDescent="0.2">
      <c r="A960"/>
      <c r="B960"/>
      <c r="C960"/>
      <c r="D960"/>
      <c r="E960"/>
      <c r="F960"/>
      <c r="G960"/>
      <c r="U960"/>
      <c r="V960"/>
      <c r="W960"/>
      <c r="X960"/>
      <c r="Y960"/>
      <c r="Z960"/>
      <c r="AA960"/>
      <c r="AB960"/>
      <c r="AL960"/>
      <c r="AM960"/>
      <c r="AN960"/>
      <c r="AO960"/>
    </row>
    <row r="961" spans="1:41" s="2" customFormat="1" x14ac:dyDescent="0.2">
      <c r="A961"/>
      <c r="B961"/>
      <c r="C961"/>
      <c r="D961"/>
      <c r="E961"/>
      <c r="F961"/>
      <c r="G961"/>
      <c r="U961"/>
      <c r="V961"/>
      <c r="W961"/>
      <c r="X961"/>
      <c r="Y961"/>
      <c r="Z961"/>
      <c r="AA961"/>
      <c r="AB961"/>
      <c r="AL961"/>
      <c r="AM961"/>
      <c r="AN961"/>
      <c r="AO961"/>
    </row>
    <row r="962" spans="1:41" s="2" customFormat="1" x14ac:dyDescent="0.2">
      <c r="A962"/>
      <c r="B962"/>
      <c r="C962"/>
      <c r="D962"/>
      <c r="E962"/>
      <c r="F962"/>
      <c r="G962"/>
      <c r="U962"/>
      <c r="V962"/>
      <c r="W962"/>
      <c r="X962"/>
      <c r="Y962"/>
      <c r="Z962"/>
      <c r="AA962"/>
      <c r="AB962"/>
      <c r="AL962"/>
      <c r="AM962"/>
      <c r="AN962"/>
      <c r="AO962"/>
    </row>
    <row r="963" spans="1:41" s="2" customFormat="1" x14ac:dyDescent="0.2">
      <c r="A963"/>
      <c r="B963"/>
      <c r="C963"/>
      <c r="D963"/>
      <c r="E963"/>
      <c r="F963"/>
      <c r="G963"/>
      <c r="U963"/>
      <c r="V963"/>
      <c r="W963"/>
      <c r="X963"/>
      <c r="Y963"/>
      <c r="Z963"/>
      <c r="AA963"/>
      <c r="AB963"/>
      <c r="AL963"/>
      <c r="AM963"/>
      <c r="AN963"/>
      <c r="AO963"/>
    </row>
    <row r="964" spans="1:41" s="2" customFormat="1" x14ac:dyDescent="0.2">
      <c r="A964"/>
      <c r="B964"/>
      <c r="C964"/>
      <c r="D964"/>
      <c r="E964"/>
      <c r="F964"/>
      <c r="G964"/>
      <c r="U964"/>
      <c r="V964"/>
      <c r="W964"/>
      <c r="X964"/>
      <c r="Y964"/>
      <c r="Z964"/>
      <c r="AA964"/>
      <c r="AB964"/>
      <c r="AL964"/>
      <c r="AM964"/>
      <c r="AN964"/>
      <c r="AO964"/>
    </row>
    <row r="965" spans="1:41" s="2" customFormat="1" x14ac:dyDescent="0.2">
      <c r="A965"/>
      <c r="B965"/>
      <c r="C965"/>
      <c r="D965"/>
      <c r="E965"/>
      <c r="F965"/>
      <c r="G965"/>
      <c r="U965"/>
      <c r="V965"/>
      <c r="W965"/>
      <c r="X965"/>
      <c r="Y965"/>
      <c r="Z965"/>
      <c r="AA965"/>
      <c r="AB965"/>
      <c r="AL965"/>
      <c r="AM965"/>
      <c r="AN965"/>
      <c r="AO965"/>
    </row>
    <row r="966" spans="1:41" s="2" customFormat="1" x14ac:dyDescent="0.2">
      <c r="A966"/>
      <c r="B966"/>
      <c r="C966"/>
      <c r="D966"/>
      <c r="E966"/>
      <c r="F966"/>
      <c r="G966"/>
      <c r="U966"/>
      <c r="V966"/>
      <c r="W966"/>
      <c r="X966"/>
      <c r="Y966"/>
      <c r="Z966"/>
      <c r="AA966"/>
      <c r="AB966"/>
      <c r="AL966"/>
      <c r="AM966"/>
      <c r="AN966"/>
      <c r="AO966"/>
    </row>
    <row r="967" spans="1:41" s="2" customFormat="1" x14ac:dyDescent="0.2">
      <c r="A967"/>
      <c r="B967"/>
      <c r="C967"/>
      <c r="D967"/>
      <c r="E967"/>
      <c r="F967"/>
      <c r="G967"/>
      <c r="U967"/>
      <c r="V967"/>
      <c r="W967"/>
      <c r="X967"/>
      <c r="Y967"/>
      <c r="Z967"/>
      <c r="AA967"/>
      <c r="AB967"/>
      <c r="AL967"/>
      <c r="AM967"/>
      <c r="AN967"/>
      <c r="AO967"/>
    </row>
    <row r="968" spans="1:41" s="2" customFormat="1" x14ac:dyDescent="0.2">
      <c r="A968"/>
      <c r="B968"/>
      <c r="C968"/>
      <c r="D968"/>
      <c r="E968"/>
      <c r="F968"/>
      <c r="G968"/>
      <c r="U968"/>
      <c r="V968"/>
      <c r="W968"/>
      <c r="X968"/>
      <c r="Y968"/>
      <c r="Z968"/>
      <c r="AA968"/>
      <c r="AB968"/>
      <c r="AL968"/>
      <c r="AM968"/>
      <c r="AN968"/>
      <c r="AO968"/>
    </row>
    <row r="969" spans="1:41" s="2" customFormat="1" x14ac:dyDescent="0.2">
      <c r="A969"/>
      <c r="B969"/>
      <c r="C969"/>
      <c r="D969"/>
      <c r="E969"/>
      <c r="F969"/>
      <c r="G969"/>
      <c r="U969"/>
      <c r="V969"/>
      <c r="W969"/>
      <c r="X969"/>
      <c r="Y969"/>
      <c r="Z969"/>
      <c r="AA969"/>
      <c r="AB969"/>
      <c r="AL969"/>
      <c r="AM969"/>
      <c r="AN969"/>
      <c r="AO969"/>
    </row>
    <row r="970" spans="1:41" s="2" customFormat="1" x14ac:dyDescent="0.2">
      <c r="A970"/>
      <c r="B970"/>
      <c r="C970"/>
      <c r="D970"/>
      <c r="E970"/>
      <c r="F970"/>
      <c r="G970"/>
      <c r="U970"/>
      <c r="V970"/>
      <c r="W970"/>
      <c r="X970"/>
      <c r="Y970"/>
      <c r="Z970"/>
      <c r="AA970"/>
      <c r="AB970"/>
      <c r="AL970"/>
      <c r="AM970"/>
      <c r="AN970"/>
      <c r="AO970"/>
    </row>
    <row r="971" spans="1:41" s="2" customFormat="1" x14ac:dyDescent="0.2">
      <c r="A971"/>
      <c r="B971"/>
      <c r="C971"/>
      <c r="D971"/>
      <c r="E971"/>
      <c r="F971"/>
      <c r="G971"/>
      <c r="U971"/>
      <c r="V971"/>
      <c r="W971"/>
      <c r="X971"/>
      <c r="Y971"/>
      <c r="Z971"/>
      <c r="AA971"/>
      <c r="AB971"/>
      <c r="AL971"/>
      <c r="AM971"/>
      <c r="AN971"/>
      <c r="AO971"/>
    </row>
    <row r="972" spans="1:41" s="2" customFormat="1" x14ac:dyDescent="0.2">
      <c r="A972"/>
      <c r="B972"/>
      <c r="C972"/>
      <c r="D972"/>
      <c r="E972"/>
      <c r="F972"/>
      <c r="G972"/>
      <c r="U972"/>
      <c r="V972"/>
      <c r="W972"/>
      <c r="X972"/>
      <c r="Y972"/>
      <c r="Z972"/>
      <c r="AA972"/>
      <c r="AB972"/>
      <c r="AL972"/>
      <c r="AM972"/>
      <c r="AN972"/>
      <c r="AO972"/>
    </row>
    <row r="973" spans="1:41" s="2" customFormat="1" x14ac:dyDescent="0.2">
      <c r="A973"/>
      <c r="B973"/>
      <c r="C973"/>
      <c r="D973"/>
      <c r="E973"/>
      <c r="F973"/>
      <c r="G973"/>
      <c r="U973"/>
      <c r="V973"/>
      <c r="W973"/>
      <c r="X973"/>
      <c r="Y973"/>
      <c r="Z973"/>
      <c r="AA973"/>
      <c r="AB973"/>
      <c r="AL973"/>
      <c r="AM973"/>
      <c r="AN973"/>
      <c r="AO973"/>
    </row>
    <row r="974" spans="1:41" s="2" customFormat="1" x14ac:dyDescent="0.2">
      <c r="A974"/>
      <c r="B974"/>
      <c r="C974"/>
      <c r="D974"/>
      <c r="E974"/>
      <c r="F974"/>
      <c r="G974"/>
      <c r="U974"/>
      <c r="V974"/>
      <c r="W974"/>
      <c r="X974"/>
      <c r="Y974"/>
      <c r="Z974"/>
      <c r="AA974"/>
      <c r="AB974"/>
      <c r="AL974"/>
      <c r="AM974"/>
      <c r="AN974"/>
      <c r="AO974"/>
    </row>
    <row r="975" spans="1:41" s="2" customFormat="1" x14ac:dyDescent="0.2">
      <c r="A975"/>
      <c r="B975"/>
      <c r="C975"/>
      <c r="D975"/>
      <c r="E975"/>
      <c r="F975"/>
      <c r="G975"/>
      <c r="U975"/>
      <c r="V975"/>
      <c r="W975"/>
      <c r="X975"/>
      <c r="Y975"/>
      <c r="Z975"/>
      <c r="AA975"/>
      <c r="AB975"/>
      <c r="AL975"/>
      <c r="AM975"/>
      <c r="AN975"/>
      <c r="AO975"/>
    </row>
    <row r="976" spans="1:41" s="2" customFormat="1" x14ac:dyDescent="0.2">
      <c r="A976"/>
      <c r="B976"/>
      <c r="C976"/>
      <c r="D976"/>
      <c r="E976"/>
      <c r="F976"/>
      <c r="G976"/>
      <c r="U976"/>
      <c r="V976"/>
      <c r="W976"/>
      <c r="X976"/>
      <c r="Y976"/>
      <c r="Z976"/>
      <c r="AA976"/>
      <c r="AB976"/>
      <c r="AL976"/>
      <c r="AM976"/>
      <c r="AN976"/>
      <c r="AO976"/>
    </row>
    <row r="977" spans="1:41" s="2" customFormat="1" x14ac:dyDescent="0.2">
      <c r="A977"/>
      <c r="B977"/>
      <c r="C977"/>
      <c r="D977"/>
      <c r="E977"/>
      <c r="F977"/>
      <c r="G977"/>
      <c r="U977"/>
      <c r="V977"/>
      <c r="W977"/>
      <c r="X977"/>
      <c r="Y977"/>
      <c r="Z977"/>
      <c r="AA977"/>
      <c r="AB977"/>
      <c r="AL977"/>
      <c r="AM977"/>
      <c r="AN977"/>
      <c r="AO977"/>
    </row>
    <row r="978" spans="1:41" s="2" customFormat="1" x14ac:dyDescent="0.2">
      <c r="A978"/>
      <c r="B978"/>
      <c r="C978"/>
      <c r="D978"/>
      <c r="E978"/>
      <c r="F978"/>
      <c r="G978"/>
      <c r="U978"/>
      <c r="V978"/>
      <c r="W978"/>
      <c r="X978"/>
      <c r="Y978"/>
      <c r="Z978"/>
      <c r="AA978"/>
      <c r="AB978"/>
      <c r="AL978"/>
      <c r="AM978"/>
      <c r="AN978"/>
      <c r="AO978"/>
    </row>
    <row r="979" spans="1:41" s="2" customFormat="1" x14ac:dyDescent="0.2">
      <c r="A979"/>
      <c r="B979"/>
      <c r="C979"/>
      <c r="D979"/>
      <c r="E979"/>
      <c r="F979"/>
      <c r="G979"/>
      <c r="U979"/>
      <c r="V979"/>
      <c r="W979"/>
      <c r="X979"/>
      <c r="Y979"/>
      <c r="Z979"/>
      <c r="AA979"/>
      <c r="AB979"/>
      <c r="AL979"/>
      <c r="AM979"/>
      <c r="AN979"/>
      <c r="AO979"/>
    </row>
    <row r="980" spans="1:41" s="2" customFormat="1" x14ac:dyDescent="0.2">
      <c r="A980"/>
      <c r="B980"/>
      <c r="C980"/>
      <c r="D980"/>
      <c r="E980"/>
      <c r="F980"/>
      <c r="G980"/>
      <c r="U980"/>
      <c r="V980"/>
      <c r="W980"/>
      <c r="X980"/>
      <c r="Y980"/>
      <c r="Z980"/>
      <c r="AA980"/>
      <c r="AB980"/>
      <c r="AL980"/>
      <c r="AM980"/>
      <c r="AN980"/>
      <c r="AO980"/>
    </row>
    <row r="981" spans="1:41" s="2" customFormat="1" x14ac:dyDescent="0.2">
      <c r="A981"/>
      <c r="B981"/>
      <c r="C981"/>
      <c r="D981"/>
      <c r="E981"/>
      <c r="F981"/>
      <c r="G981"/>
      <c r="U981"/>
      <c r="V981"/>
      <c r="W981"/>
      <c r="X981"/>
      <c r="Y981"/>
      <c r="Z981"/>
      <c r="AA981"/>
      <c r="AB981"/>
      <c r="AL981"/>
      <c r="AM981"/>
      <c r="AN981"/>
      <c r="AO981"/>
    </row>
    <row r="982" spans="1:41" s="2" customFormat="1" x14ac:dyDescent="0.2">
      <c r="A982"/>
      <c r="B982"/>
      <c r="C982"/>
      <c r="D982"/>
      <c r="E982"/>
      <c r="F982"/>
      <c r="G982"/>
      <c r="U982"/>
      <c r="V982"/>
      <c r="W982"/>
      <c r="X982"/>
      <c r="Y982"/>
      <c r="Z982"/>
      <c r="AA982"/>
      <c r="AB982"/>
      <c r="AL982"/>
      <c r="AM982"/>
      <c r="AN982"/>
      <c r="AO982"/>
    </row>
    <row r="983" spans="1:41" s="2" customFormat="1" x14ac:dyDescent="0.2">
      <c r="A983"/>
      <c r="B983"/>
      <c r="C983"/>
      <c r="D983"/>
      <c r="E983"/>
      <c r="F983"/>
      <c r="G983"/>
      <c r="U983"/>
      <c r="V983"/>
      <c r="W983"/>
      <c r="X983"/>
      <c r="Y983"/>
      <c r="Z983"/>
      <c r="AA983"/>
      <c r="AB983"/>
      <c r="AL983"/>
      <c r="AM983"/>
      <c r="AN983"/>
      <c r="AO983"/>
    </row>
    <row r="984" spans="1:41" s="2" customFormat="1" x14ac:dyDescent="0.2">
      <c r="A984"/>
      <c r="B984"/>
      <c r="C984"/>
      <c r="D984"/>
      <c r="E984"/>
      <c r="F984"/>
      <c r="G984"/>
      <c r="U984"/>
      <c r="V984"/>
      <c r="W984"/>
      <c r="X984"/>
      <c r="Y984"/>
      <c r="Z984"/>
      <c r="AA984"/>
      <c r="AB984"/>
      <c r="AL984"/>
      <c r="AM984"/>
      <c r="AN984"/>
      <c r="AO984"/>
    </row>
    <row r="985" spans="1:41" s="2" customFormat="1" x14ac:dyDescent="0.2">
      <c r="A985"/>
      <c r="B985"/>
      <c r="C985"/>
      <c r="D985"/>
      <c r="E985"/>
      <c r="F985"/>
      <c r="G985"/>
      <c r="U985"/>
      <c r="V985"/>
      <c r="W985"/>
      <c r="X985"/>
      <c r="Y985"/>
      <c r="Z985"/>
      <c r="AA985"/>
      <c r="AB985"/>
      <c r="AL985"/>
      <c r="AM985"/>
      <c r="AN985"/>
      <c r="AO985"/>
    </row>
    <row r="986" spans="1:41" s="2" customFormat="1" x14ac:dyDescent="0.2">
      <c r="A986"/>
      <c r="B986"/>
      <c r="C986"/>
      <c r="D986"/>
      <c r="E986"/>
      <c r="F986"/>
      <c r="G986"/>
      <c r="U986"/>
      <c r="V986"/>
      <c r="W986"/>
      <c r="X986"/>
      <c r="Y986"/>
      <c r="Z986"/>
      <c r="AA986"/>
      <c r="AB986"/>
      <c r="AL986"/>
      <c r="AM986"/>
      <c r="AN986"/>
      <c r="AO986"/>
    </row>
    <row r="987" spans="1:41" s="2" customFormat="1" x14ac:dyDescent="0.2">
      <c r="A987"/>
      <c r="B987"/>
      <c r="C987"/>
      <c r="D987"/>
      <c r="E987"/>
      <c r="F987"/>
      <c r="G987"/>
      <c r="U987"/>
      <c r="V987"/>
      <c r="W987"/>
      <c r="X987"/>
      <c r="Y987"/>
      <c r="Z987"/>
      <c r="AA987"/>
      <c r="AB987"/>
      <c r="AL987"/>
      <c r="AM987"/>
      <c r="AN987"/>
      <c r="AO987"/>
    </row>
    <row r="988" spans="1:41" s="2" customFormat="1" x14ac:dyDescent="0.2">
      <c r="A988"/>
      <c r="B988"/>
      <c r="C988"/>
      <c r="D988"/>
      <c r="E988"/>
      <c r="F988"/>
      <c r="G988"/>
      <c r="U988"/>
      <c r="V988"/>
      <c r="W988"/>
      <c r="X988"/>
      <c r="Y988"/>
      <c r="Z988"/>
      <c r="AA988"/>
      <c r="AB988"/>
      <c r="AL988"/>
      <c r="AM988"/>
      <c r="AN988"/>
      <c r="AO988"/>
    </row>
    <row r="989" spans="1:41" s="2" customFormat="1" x14ac:dyDescent="0.2">
      <c r="A989"/>
      <c r="B989"/>
      <c r="C989"/>
      <c r="D989"/>
      <c r="E989"/>
      <c r="F989"/>
      <c r="G989"/>
      <c r="U989"/>
      <c r="V989"/>
      <c r="W989"/>
      <c r="X989"/>
      <c r="Y989"/>
      <c r="Z989"/>
      <c r="AA989"/>
      <c r="AB989"/>
      <c r="AL989"/>
      <c r="AM989"/>
      <c r="AN989"/>
      <c r="AO989"/>
    </row>
    <row r="990" spans="1:41" s="2" customFormat="1" x14ac:dyDescent="0.2">
      <c r="A990"/>
      <c r="B990"/>
      <c r="C990"/>
      <c r="D990"/>
      <c r="E990"/>
      <c r="F990"/>
      <c r="G990"/>
      <c r="U990"/>
      <c r="V990"/>
      <c r="W990"/>
      <c r="X990"/>
      <c r="Y990"/>
      <c r="Z990"/>
      <c r="AA990"/>
      <c r="AB990"/>
      <c r="AL990"/>
      <c r="AM990"/>
      <c r="AN990"/>
      <c r="AO990"/>
    </row>
    <row r="991" spans="1:41" s="2" customFormat="1" x14ac:dyDescent="0.2">
      <c r="A991"/>
      <c r="B991"/>
      <c r="C991"/>
      <c r="D991"/>
      <c r="E991"/>
      <c r="F991"/>
      <c r="G991"/>
      <c r="U991"/>
      <c r="V991"/>
      <c r="W991"/>
      <c r="X991"/>
      <c r="Y991"/>
      <c r="Z991"/>
      <c r="AA991"/>
      <c r="AB991"/>
      <c r="AL991"/>
      <c r="AM991"/>
      <c r="AN991"/>
      <c r="AO991"/>
    </row>
    <row r="992" spans="1:41" s="2" customFormat="1" x14ac:dyDescent="0.2">
      <c r="A992"/>
      <c r="B992"/>
      <c r="C992"/>
      <c r="D992"/>
      <c r="E992"/>
      <c r="F992"/>
      <c r="G992"/>
      <c r="U992"/>
      <c r="V992"/>
      <c r="W992"/>
      <c r="X992"/>
      <c r="Y992"/>
      <c r="Z992"/>
      <c r="AA992"/>
      <c r="AB992"/>
      <c r="AL992"/>
      <c r="AM992"/>
      <c r="AN992"/>
      <c r="AO992"/>
    </row>
    <row r="993" spans="1:41" s="2" customFormat="1" x14ac:dyDescent="0.2">
      <c r="A993"/>
      <c r="B993"/>
      <c r="C993"/>
      <c r="D993"/>
      <c r="E993"/>
      <c r="F993"/>
      <c r="G993"/>
      <c r="U993"/>
      <c r="V993"/>
      <c r="W993"/>
      <c r="X993"/>
      <c r="Y993"/>
      <c r="Z993"/>
      <c r="AA993"/>
      <c r="AB993"/>
      <c r="AL993"/>
      <c r="AM993"/>
      <c r="AN993"/>
      <c r="AO993"/>
    </row>
    <row r="994" spans="1:41" s="2" customFormat="1" x14ac:dyDescent="0.2">
      <c r="A994"/>
      <c r="B994"/>
      <c r="C994"/>
      <c r="D994"/>
      <c r="E994"/>
      <c r="F994"/>
      <c r="G994"/>
      <c r="U994"/>
      <c r="V994"/>
      <c r="W994"/>
      <c r="X994"/>
      <c r="Y994"/>
      <c r="Z994"/>
      <c r="AA994"/>
      <c r="AB994"/>
      <c r="AL994"/>
      <c r="AM994"/>
      <c r="AN994"/>
      <c r="AO994"/>
    </row>
    <row r="995" spans="1:41" s="2" customFormat="1" x14ac:dyDescent="0.2">
      <c r="A995"/>
      <c r="B995"/>
      <c r="C995"/>
      <c r="D995"/>
      <c r="E995"/>
      <c r="F995"/>
      <c r="G995"/>
      <c r="U995"/>
      <c r="V995"/>
      <c r="W995"/>
      <c r="X995"/>
      <c r="Y995"/>
      <c r="Z995"/>
      <c r="AA995"/>
      <c r="AB995"/>
      <c r="AL995"/>
      <c r="AM995"/>
      <c r="AN995"/>
      <c r="AO995"/>
    </row>
    <row r="996" spans="1:41" s="2" customFormat="1" x14ac:dyDescent="0.2">
      <c r="A996"/>
      <c r="B996"/>
      <c r="C996"/>
      <c r="D996"/>
      <c r="E996"/>
      <c r="F996"/>
      <c r="G996"/>
      <c r="U996"/>
      <c r="V996"/>
      <c r="W996"/>
      <c r="X996"/>
      <c r="Y996"/>
      <c r="Z996"/>
      <c r="AA996"/>
      <c r="AB996"/>
      <c r="AL996"/>
      <c r="AM996"/>
      <c r="AN996"/>
      <c r="AO996"/>
    </row>
    <row r="997" spans="1:41" s="2" customFormat="1" x14ac:dyDescent="0.2">
      <c r="A997"/>
      <c r="B997"/>
      <c r="C997"/>
      <c r="D997"/>
      <c r="E997"/>
      <c r="F997"/>
      <c r="G997"/>
      <c r="U997"/>
      <c r="V997"/>
      <c r="W997"/>
      <c r="X997"/>
      <c r="Y997"/>
      <c r="Z997"/>
      <c r="AA997"/>
      <c r="AB997"/>
      <c r="AL997"/>
      <c r="AM997"/>
      <c r="AN997"/>
      <c r="AO997"/>
    </row>
    <row r="998" spans="1:41" s="2" customFormat="1" x14ac:dyDescent="0.2">
      <c r="A998"/>
      <c r="B998"/>
      <c r="C998"/>
      <c r="D998"/>
      <c r="E998"/>
      <c r="F998"/>
      <c r="G998"/>
      <c r="U998"/>
      <c r="V998"/>
      <c r="W998"/>
      <c r="X998"/>
      <c r="Y998"/>
      <c r="Z998"/>
      <c r="AA998"/>
      <c r="AB998"/>
      <c r="AL998"/>
      <c r="AM998"/>
      <c r="AN998"/>
      <c r="AO998"/>
    </row>
    <row r="999" spans="1:41" s="2" customFormat="1" x14ac:dyDescent="0.2">
      <c r="A999"/>
      <c r="B999"/>
      <c r="C999"/>
      <c r="D999"/>
      <c r="E999"/>
      <c r="F999"/>
      <c r="G999"/>
      <c r="U999"/>
      <c r="V999"/>
      <c r="W999"/>
      <c r="X999"/>
      <c r="Y999"/>
      <c r="Z999"/>
      <c r="AA999"/>
      <c r="AB999"/>
      <c r="AL999"/>
      <c r="AM999"/>
      <c r="AN999"/>
      <c r="AO999"/>
    </row>
    <row r="1000" spans="1:41" s="2" customFormat="1" x14ac:dyDescent="0.2">
      <c r="A1000"/>
      <c r="B1000"/>
      <c r="C1000"/>
      <c r="D1000"/>
      <c r="E1000"/>
      <c r="F1000"/>
      <c r="G1000"/>
      <c r="U1000"/>
      <c r="V1000"/>
      <c r="W1000"/>
      <c r="X1000"/>
      <c r="Y1000"/>
      <c r="Z1000"/>
      <c r="AA1000"/>
      <c r="AB1000"/>
      <c r="AL1000"/>
      <c r="AM1000"/>
      <c r="AN1000"/>
      <c r="AO1000"/>
    </row>
    <row r="1001" spans="1:41" s="2" customFormat="1" x14ac:dyDescent="0.2">
      <c r="A1001"/>
      <c r="B1001"/>
      <c r="C1001"/>
      <c r="D1001"/>
      <c r="E1001"/>
      <c r="F1001"/>
      <c r="G1001"/>
      <c r="U1001"/>
      <c r="V1001"/>
      <c r="W1001"/>
      <c r="X1001"/>
      <c r="Y1001"/>
      <c r="Z1001"/>
      <c r="AA1001"/>
      <c r="AB1001"/>
      <c r="AL1001"/>
      <c r="AM1001"/>
      <c r="AN1001"/>
      <c r="AO1001"/>
    </row>
    <row r="1002" spans="1:41" s="2" customFormat="1" x14ac:dyDescent="0.2">
      <c r="A1002"/>
      <c r="B1002"/>
      <c r="C1002"/>
      <c r="D1002"/>
      <c r="E1002"/>
      <c r="F1002"/>
      <c r="G1002"/>
      <c r="U1002"/>
      <c r="V1002"/>
      <c r="W1002"/>
      <c r="X1002"/>
      <c r="Y1002"/>
      <c r="Z1002"/>
      <c r="AA1002"/>
      <c r="AB1002"/>
      <c r="AL1002"/>
      <c r="AM1002"/>
      <c r="AN1002"/>
      <c r="AO1002"/>
    </row>
    <row r="1003" spans="1:41" s="2" customFormat="1" x14ac:dyDescent="0.2">
      <c r="A1003"/>
      <c r="B1003"/>
      <c r="C1003"/>
      <c r="D1003"/>
      <c r="E1003"/>
      <c r="F1003"/>
      <c r="G1003"/>
      <c r="U1003"/>
      <c r="V1003"/>
      <c r="W1003"/>
      <c r="X1003"/>
      <c r="Y1003"/>
      <c r="Z1003"/>
      <c r="AA1003"/>
      <c r="AB1003"/>
      <c r="AL1003"/>
      <c r="AM1003"/>
      <c r="AN1003"/>
      <c r="AO1003"/>
    </row>
    <row r="1004" spans="1:41" s="2" customFormat="1" x14ac:dyDescent="0.2">
      <c r="A1004"/>
      <c r="B1004"/>
      <c r="C1004"/>
      <c r="D1004"/>
      <c r="E1004"/>
      <c r="F1004"/>
      <c r="G1004"/>
      <c r="U1004"/>
      <c r="V1004"/>
      <c r="W1004"/>
      <c r="X1004"/>
      <c r="Y1004"/>
      <c r="Z1004"/>
      <c r="AA1004"/>
      <c r="AB1004"/>
      <c r="AL1004"/>
      <c r="AM1004"/>
      <c r="AN1004"/>
      <c r="AO1004"/>
    </row>
    <row r="1005" spans="1:41" s="2" customFormat="1" x14ac:dyDescent="0.2">
      <c r="A1005"/>
      <c r="B1005"/>
      <c r="C1005"/>
      <c r="D1005"/>
      <c r="E1005"/>
      <c r="F1005"/>
      <c r="G1005"/>
      <c r="U1005"/>
      <c r="V1005"/>
      <c r="W1005"/>
      <c r="X1005"/>
      <c r="Y1005"/>
      <c r="Z1005"/>
      <c r="AA1005"/>
      <c r="AB1005"/>
      <c r="AL1005"/>
      <c r="AM1005"/>
      <c r="AN1005"/>
      <c r="AO1005"/>
    </row>
    <row r="1006" spans="1:41" s="2" customFormat="1" x14ac:dyDescent="0.2">
      <c r="A1006"/>
      <c r="B1006"/>
      <c r="C1006"/>
      <c r="D1006"/>
      <c r="E1006"/>
      <c r="F1006"/>
      <c r="G1006"/>
      <c r="U1006"/>
      <c r="V1006"/>
      <c r="W1006"/>
      <c r="X1006"/>
      <c r="Y1006"/>
      <c r="Z1006"/>
      <c r="AA1006"/>
      <c r="AB1006"/>
      <c r="AL1006"/>
      <c r="AM1006"/>
      <c r="AN1006"/>
      <c r="AO1006"/>
    </row>
    <row r="1007" spans="1:41" s="2" customFormat="1" x14ac:dyDescent="0.2">
      <c r="A1007"/>
      <c r="B1007"/>
      <c r="C1007"/>
      <c r="D1007"/>
      <c r="E1007"/>
      <c r="F1007"/>
      <c r="G1007"/>
      <c r="U1007"/>
      <c r="V1007"/>
      <c r="W1007"/>
      <c r="X1007"/>
      <c r="Y1007"/>
      <c r="Z1007"/>
      <c r="AA1007"/>
      <c r="AB1007"/>
      <c r="AL1007"/>
      <c r="AM1007"/>
      <c r="AN1007"/>
      <c r="AO1007"/>
    </row>
    <row r="1008" spans="1:41" s="2" customFormat="1" x14ac:dyDescent="0.2">
      <c r="A1008"/>
      <c r="B1008"/>
      <c r="C1008"/>
      <c r="D1008"/>
      <c r="E1008"/>
      <c r="F1008"/>
      <c r="G1008"/>
      <c r="U1008"/>
      <c r="V1008"/>
      <c r="W1008"/>
      <c r="X1008"/>
      <c r="Y1008"/>
      <c r="Z1008"/>
      <c r="AA1008"/>
      <c r="AB1008"/>
      <c r="AL1008"/>
      <c r="AM1008"/>
      <c r="AN1008"/>
      <c r="AO1008"/>
    </row>
    <row r="1009" spans="1:41" s="2" customFormat="1" x14ac:dyDescent="0.2">
      <c r="A1009"/>
      <c r="B1009"/>
      <c r="C1009"/>
      <c r="D1009"/>
      <c r="E1009"/>
      <c r="F1009"/>
      <c r="G1009"/>
      <c r="U1009"/>
      <c r="V1009"/>
      <c r="W1009"/>
      <c r="X1009"/>
      <c r="Y1009"/>
      <c r="Z1009"/>
      <c r="AA1009"/>
      <c r="AB1009"/>
      <c r="AL1009"/>
      <c r="AM1009"/>
      <c r="AN1009"/>
      <c r="AO1009"/>
    </row>
    <row r="1010" spans="1:41" s="2" customFormat="1" x14ac:dyDescent="0.2">
      <c r="A1010"/>
      <c r="B1010"/>
      <c r="C1010"/>
      <c r="D1010"/>
      <c r="E1010"/>
      <c r="F1010"/>
      <c r="G1010"/>
      <c r="U1010"/>
      <c r="V1010"/>
      <c r="W1010"/>
      <c r="X1010"/>
      <c r="Y1010"/>
      <c r="Z1010"/>
      <c r="AA1010"/>
      <c r="AB1010"/>
      <c r="AL1010"/>
      <c r="AM1010"/>
      <c r="AN1010"/>
      <c r="AO1010"/>
    </row>
    <row r="1011" spans="1:41" s="2" customFormat="1" x14ac:dyDescent="0.2">
      <c r="A1011"/>
      <c r="B1011"/>
      <c r="C1011"/>
      <c r="D1011"/>
      <c r="E1011"/>
      <c r="F1011"/>
      <c r="G1011"/>
      <c r="U1011"/>
      <c r="V1011"/>
      <c r="W1011"/>
      <c r="X1011"/>
      <c r="Y1011"/>
      <c r="Z1011"/>
      <c r="AA1011"/>
      <c r="AB1011"/>
      <c r="AL1011"/>
      <c r="AM1011"/>
      <c r="AN1011"/>
      <c r="AO1011"/>
    </row>
    <row r="1012" spans="1:41" s="2" customFormat="1" x14ac:dyDescent="0.2">
      <c r="A1012"/>
      <c r="B1012"/>
      <c r="C1012"/>
      <c r="D1012"/>
      <c r="E1012"/>
      <c r="F1012"/>
      <c r="G1012"/>
      <c r="U1012"/>
      <c r="V1012"/>
      <c r="W1012"/>
      <c r="X1012"/>
      <c r="Y1012"/>
      <c r="Z1012"/>
      <c r="AA1012"/>
      <c r="AB1012"/>
      <c r="AL1012"/>
      <c r="AM1012"/>
      <c r="AN1012"/>
      <c r="AO1012"/>
    </row>
    <row r="1013" spans="1:41" s="2" customFormat="1" x14ac:dyDescent="0.2">
      <c r="A1013"/>
      <c r="B1013"/>
      <c r="C1013"/>
      <c r="D1013"/>
      <c r="E1013"/>
      <c r="F1013"/>
      <c r="G1013"/>
      <c r="U1013"/>
      <c r="V1013"/>
      <c r="W1013"/>
      <c r="X1013"/>
      <c r="Y1013"/>
      <c r="Z1013"/>
      <c r="AA1013"/>
      <c r="AB1013"/>
      <c r="AL1013"/>
      <c r="AM1013"/>
      <c r="AN1013"/>
      <c r="AO1013"/>
    </row>
    <row r="1014" spans="1:41" s="2" customFormat="1" x14ac:dyDescent="0.2">
      <c r="A1014"/>
      <c r="B1014"/>
      <c r="C1014"/>
      <c r="D1014"/>
      <c r="E1014"/>
      <c r="F1014"/>
      <c r="G1014"/>
      <c r="U1014"/>
      <c r="V1014"/>
      <c r="W1014"/>
      <c r="X1014"/>
      <c r="Y1014"/>
      <c r="Z1014"/>
      <c r="AA1014"/>
      <c r="AB1014"/>
      <c r="AL1014"/>
      <c r="AM1014"/>
      <c r="AN1014"/>
      <c r="AO1014"/>
    </row>
    <row r="1015" spans="1:41" s="2" customFormat="1" x14ac:dyDescent="0.2">
      <c r="A1015"/>
      <c r="B1015"/>
      <c r="C1015"/>
      <c r="D1015"/>
      <c r="E1015"/>
      <c r="F1015"/>
      <c r="G1015"/>
      <c r="U1015"/>
      <c r="V1015"/>
      <c r="W1015"/>
      <c r="X1015"/>
      <c r="Y1015"/>
      <c r="Z1015"/>
      <c r="AA1015"/>
      <c r="AB1015"/>
      <c r="AL1015"/>
      <c r="AM1015"/>
      <c r="AN1015"/>
      <c r="AO1015"/>
    </row>
    <row r="1016" spans="1:41" s="2" customFormat="1" x14ac:dyDescent="0.2">
      <c r="A1016"/>
      <c r="B1016"/>
      <c r="C1016"/>
      <c r="D1016"/>
      <c r="E1016"/>
      <c r="F1016"/>
      <c r="G1016"/>
      <c r="U1016"/>
      <c r="V1016"/>
      <c r="W1016"/>
      <c r="X1016"/>
      <c r="Y1016"/>
      <c r="Z1016"/>
      <c r="AA1016"/>
      <c r="AB1016"/>
      <c r="AL1016"/>
      <c r="AM1016"/>
      <c r="AN1016"/>
      <c r="AO1016"/>
    </row>
    <row r="1017" spans="1:41" s="2" customFormat="1" x14ac:dyDescent="0.2">
      <c r="A1017"/>
      <c r="B1017"/>
      <c r="C1017"/>
      <c r="D1017"/>
      <c r="E1017"/>
      <c r="F1017"/>
      <c r="G1017"/>
      <c r="U1017"/>
      <c r="V1017"/>
      <c r="W1017"/>
      <c r="X1017"/>
      <c r="Y1017"/>
      <c r="Z1017"/>
      <c r="AA1017"/>
      <c r="AB1017"/>
      <c r="AL1017"/>
      <c r="AM1017"/>
      <c r="AN1017"/>
      <c r="AO1017"/>
    </row>
    <row r="1018" spans="1:41" s="2" customFormat="1" x14ac:dyDescent="0.2">
      <c r="A1018"/>
      <c r="B1018"/>
      <c r="C1018"/>
      <c r="D1018"/>
      <c r="E1018"/>
      <c r="F1018"/>
      <c r="G1018"/>
      <c r="U1018"/>
      <c r="V1018"/>
      <c r="W1018"/>
      <c r="X1018"/>
      <c r="Y1018"/>
      <c r="Z1018"/>
      <c r="AA1018"/>
      <c r="AB1018"/>
      <c r="AL1018"/>
      <c r="AM1018"/>
      <c r="AN1018"/>
      <c r="AO1018"/>
    </row>
    <row r="1019" spans="1:41" s="2" customFormat="1" x14ac:dyDescent="0.2">
      <c r="A1019"/>
      <c r="B1019"/>
      <c r="C1019"/>
      <c r="D1019"/>
      <c r="E1019"/>
      <c r="F1019"/>
      <c r="G1019"/>
      <c r="U1019"/>
      <c r="V1019"/>
      <c r="W1019"/>
      <c r="X1019"/>
      <c r="Y1019"/>
      <c r="Z1019"/>
      <c r="AA1019"/>
      <c r="AB1019"/>
      <c r="AL1019"/>
      <c r="AM1019"/>
      <c r="AN1019"/>
      <c r="AO1019"/>
    </row>
    <row r="1020" spans="1:41" s="2" customFormat="1" x14ac:dyDescent="0.2">
      <c r="A1020"/>
      <c r="B1020"/>
      <c r="C1020"/>
      <c r="D1020"/>
      <c r="E1020"/>
      <c r="F1020"/>
      <c r="G1020"/>
      <c r="U1020"/>
      <c r="V1020"/>
      <c r="W1020"/>
      <c r="X1020"/>
      <c r="Y1020"/>
      <c r="Z1020"/>
      <c r="AA1020"/>
      <c r="AB1020"/>
      <c r="AL1020"/>
      <c r="AM1020"/>
      <c r="AN1020"/>
      <c r="AO1020"/>
    </row>
    <row r="1021" spans="1:41" s="2" customFormat="1" x14ac:dyDescent="0.2">
      <c r="A1021"/>
      <c r="B1021"/>
      <c r="C1021"/>
      <c r="D1021"/>
      <c r="E1021"/>
      <c r="F1021"/>
      <c r="G1021"/>
      <c r="U1021"/>
      <c r="V1021"/>
      <c r="W1021"/>
      <c r="X1021"/>
      <c r="Y1021"/>
      <c r="Z1021"/>
      <c r="AA1021"/>
      <c r="AB1021"/>
      <c r="AL1021"/>
      <c r="AM1021"/>
      <c r="AN1021"/>
      <c r="AO1021"/>
    </row>
    <row r="1022" spans="1:41" s="2" customFormat="1" x14ac:dyDescent="0.2">
      <c r="A1022"/>
      <c r="B1022"/>
      <c r="C1022"/>
      <c r="D1022"/>
      <c r="E1022"/>
      <c r="F1022"/>
      <c r="G1022"/>
      <c r="U1022"/>
      <c r="V1022"/>
      <c r="W1022"/>
      <c r="X1022"/>
      <c r="Y1022"/>
      <c r="Z1022"/>
      <c r="AA1022"/>
      <c r="AB1022"/>
      <c r="AL1022"/>
      <c r="AM1022"/>
      <c r="AN1022"/>
      <c r="AO1022"/>
    </row>
    <row r="1023" spans="1:41" s="2" customFormat="1" x14ac:dyDescent="0.2">
      <c r="A1023"/>
      <c r="B1023"/>
      <c r="C1023"/>
      <c r="D1023"/>
      <c r="E1023"/>
      <c r="F1023"/>
      <c r="G1023"/>
      <c r="U1023"/>
      <c r="V1023"/>
      <c r="W1023"/>
      <c r="X1023"/>
      <c r="Y1023"/>
      <c r="Z1023"/>
      <c r="AA1023"/>
      <c r="AB1023"/>
      <c r="AL1023"/>
      <c r="AM1023"/>
      <c r="AN1023"/>
      <c r="AO1023"/>
    </row>
    <row r="1024" spans="1:41" s="2" customFormat="1" x14ac:dyDescent="0.2">
      <c r="A1024"/>
      <c r="B1024"/>
      <c r="C1024"/>
      <c r="D1024"/>
      <c r="E1024"/>
      <c r="F1024"/>
      <c r="G1024"/>
      <c r="U1024"/>
      <c r="V1024"/>
      <c r="W1024"/>
      <c r="X1024"/>
      <c r="Y1024"/>
      <c r="Z1024"/>
      <c r="AA1024"/>
      <c r="AB1024"/>
      <c r="AL1024"/>
      <c r="AM1024"/>
      <c r="AN1024"/>
      <c r="AO1024"/>
    </row>
    <row r="1025" spans="1:41" s="2" customFormat="1" x14ac:dyDescent="0.2">
      <c r="A1025"/>
      <c r="B1025"/>
      <c r="C1025"/>
      <c r="D1025"/>
      <c r="E1025"/>
      <c r="F1025"/>
      <c r="G1025"/>
      <c r="U1025"/>
      <c r="V1025"/>
      <c r="W1025"/>
      <c r="X1025"/>
      <c r="Y1025"/>
      <c r="Z1025"/>
      <c r="AA1025"/>
      <c r="AB1025"/>
      <c r="AL1025"/>
      <c r="AM1025"/>
      <c r="AN1025"/>
      <c r="AO1025"/>
    </row>
    <row r="1026" spans="1:41" s="2" customFormat="1" x14ac:dyDescent="0.2">
      <c r="A1026"/>
      <c r="B1026"/>
      <c r="C1026"/>
      <c r="D1026"/>
      <c r="E1026"/>
      <c r="F1026"/>
      <c r="G1026"/>
      <c r="U1026"/>
      <c r="V1026"/>
      <c r="W1026"/>
      <c r="X1026"/>
      <c r="Y1026"/>
      <c r="Z1026"/>
      <c r="AA1026"/>
      <c r="AB1026"/>
      <c r="AL1026"/>
      <c r="AM1026"/>
      <c r="AN1026"/>
      <c r="AO1026"/>
    </row>
    <row r="1027" spans="1:41" s="2" customFormat="1" x14ac:dyDescent="0.2">
      <c r="A1027"/>
      <c r="B1027"/>
      <c r="C1027"/>
      <c r="D1027"/>
      <c r="E1027"/>
      <c r="F1027"/>
      <c r="G1027"/>
      <c r="U1027"/>
      <c r="V1027"/>
      <c r="W1027"/>
      <c r="X1027"/>
      <c r="Y1027"/>
      <c r="Z1027"/>
      <c r="AA1027"/>
      <c r="AB1027"/>
      <c r="AL1027"/>
      <c r="AM1027"/>
      <c r="AN1027"/>
      <c r="AO1027"/>
    </row>
    <row r="1028" spans="1:41" s="2" customFormat="1" x14ac:dyDescent="0.2">
      <c r="A1028"/>
      <c r="B1028"/>
      <c r="C1028"/>
      <c r="D1028"/>
      <c r="E1028"/>
      <c r="F1028"/>
      <c r="G1028"/>
      <c r="U1028"/>
      <c r="V1028"/>
      <c r="W1028"/>
      <c r="X1028"/>
      <c r="Y1028"/>
      <c r="Z1028"/>
      <c r="AA1028"/>
      <c r="AB1028"/>
      <c r="AL1028"/>
      <c r="AM1028"/>
      <c r="AN1028"/>
      <c r="AO1028"/>
    </row>
    <row r="1029" spans="1:41" s="2" customFormat="1" x14ac:dyDescent="0.2">
      <c r="A1029"/>
      <c r="B1029"/>
      <c r="C1029"/>
      <c r="D1029"/>
      <c r="E1029"/>
      <c r="F1029"/>
      <c r="G1029"/>
      <c r="U1029"/>
      <c r="V1029"/>
      <c r="W1029"/>
      <c r="X1029"/>
      <c r="Y1029"/>
      <c r="Z1029"/>
      <c r="AA1029"/>
      <c r="AB1029"/>
      <c r="AL1029"/>
      <c r="AM1029"/>
      <c r="AN1029"/>
      <c r="AO1029"/>
    </row>
    <row r="1030" spans="1:41" s="2" customFormat="1" x14ac:dyDescent="0.2">
      <c r="A1030"/>
      <c r="B1030"/>
      <c r="C1030"/>
      <c r="D1030"/>
      <c r="E1030"/>
      <c r="F1030"/>
      <c r="G1030"/>
      <c r="U1030"/>
      <c r="V1030"/>
      <c r="W1030"/>
      <c r="X1030"/>
      <c r="Y1030"/>
      <c r="Z1030"/>
      <c r="AA1030"/>
      <c r="AB1030"/>
      <c r="AL1030"/>
      <c r="AM1030"/>
      <c r="AN1030"/>
      <c r="AO1030"/>
    </row>
    <row r="1031" spans="1:41" s="2" customFormat="1" x14ac:dyDescent="0.2">
      <c r="A1031"/>
      <c r="B1031"/>
      <c r="C1031"/>
      <c r="D1031"/>
      <c r="E1031"/>
      <c r="F1031"/>
      <c r="G1031"/>
      <c r="U1031"/>
      <c r="V1031"/>
      <c r="W1031"/>
      <c r="X1031"/>
      <c r="Y1031"/>
      <c r="Z1031"/>
      <c r="AA1031"/>
      <c r="AB1031"/>
      <c r="AL1031"/>
      <c r="AM1031"/>
      <c r="AN1031"/>
      <c r="AO1031"/>
    </row>
    <row r="1032" spans="1:41" s="2" customFormat="1" x14ac:dyDescent="0.2">
      <c r="A1032"/>
      <c r="B1032"/>
      <c r="C1032"/>
      <c r="D1032"/>
      <c r="E1032"/>
      <c r="F1032"/>
      <c r="G1032"/>
      <c r="U1032"/>
      <c r="V1032"/>
      <c r="W1032"/>
      <c r="X1032"/>
      <c r="Y1032"/>
      <c r="Z1032"/>
      <c r="AA1032"/>
      <c r="AB1032"/>
      <c r="AL1032"/>
      <c r="AM1032"/>
      <c r="AN1032"/>
      <c r="AO1032"/>
    </row>
    <row r="1033" spans="1:41" s="2" customFormat="1" x14ac:dyDescent="0.2">
      <c r="A1033"/>
      <c r="B1033"/>
      <c r="C1033"/>
      <c r="D1033"/>
      <c r="E1033"/>
      <c r="F1033"/>
      <c r="G1033"/>
      <c r="U1033"/>
      <c r="V1033"/>
      <c r="W1033"/>
      <c r="X1033"/>
      <c r="Y1033"/>
      <c r="Z1033"/>
      <c r="AA1033"/>
      <c r="AB1033"/>
      <c r="AL1033"/>
      <c r="AM1033"/>
      <c r="AN1033"/>
      <c r="AO1033"/>
    </row>
    <row r="1034" spans="1:41" s="2" customFormat="1" x14ac:dyDescent="0.2">
      <c r="A1034"/>
      <c r="B1034"/>
      <c r="C1034"/>
      <c r="D1034"/>
      <c r="E1034"/>
      <c r="F1034"/>
      <c r="G1034"/>
      <c r="U1034"/>
      <c r="V1034"/>
      <c r="W1034"/>
      <c r="X1034"/>
      <c r="Y1034"/>
      <c r="Z1034"/>
      <c r="AA1034"/>
      <c r="AB1034"/>
      <c r="AL1034"/>
      <c r="AM1034"/>
      <c r="AN1034"/>
      <c r="AO1034"/>
    </row>
    <row r="1035" spans="1:41" s="2" customFormat="1" x14ac:dyDescent="0.2">
      <c r="A1035"/>
      <c r="B1035"/>
      <c r="C1035"/>
      <c r="D1035"/>
      <c r="E1035"/>
      <c r="F1035"/>
      <c r="G1035"/>
      <c r="U1035"/>
      <c r="V1035"/>
      <c r="W1035"/>
      <c r="X1035"/>
      <c r="Y1035"/>
      <c r="Z1035"/>
      <c r="AA1035"/>
      <c r="AB1035"/>
      <c r="AL1035"/>
      <c r="AM1035"/>
      <c r="AN1035"/>
      <c r="AO1035"/>
    </row>
    <row r="1036" spans="1:41" s="2" customFormat="1" x14ac:dyDescent="0.2">
      <c r="A1036"/>
      <c r="B1036"/>
      <c r="C1036"/>
      <c r="D1036"/>
      <c r="E1036"/>
      <c r="F1036"/>
      <c r="G1036"/>
      <c r="U1036"/>
      <c r="V1036"/>
      <c r="W1036"/>
      <c r="X1036"/>
      <c r="Y1036"/>
      <c r="Z1036"/>
      <c r="AA1036"/>
      <c r="AB1036"/>
      <c r="AL1036"/>
      <c r="AM1036"/>
      <c r="AN1036"/>
      <c r="AO1036"/>
    </row>
    <row r="1037" spans="1:41" s="2" customFormat="1" x14ac:dyDescent="0.2">
      <c r="A1037"/>
      <c r="B1037"/>
      <c r="C1037"/>
      <c r="D1037"/>
      <c r="E1037"/>
      <c r="F1037"/>
      <c r="G1037"/>
      <c r="U1037"/>
      <c r="V1037"/>
      <c r="W1037"/>
      <c r="X1037"/>
      <c r="Y1037"/>
      <c r="Z1037"/>
      <c r="AA1037"/>
      <c r="AB1037"/>
      <c r="AL1037"/>
      <c r="AM1037"/>
      <c r="AN1037"/>
      <c r="AO1037"/>
    </row>
    <row r="1038" spans="1:41" s="2" customFormat="1" x14ac:dyDescent="0.2">
      <c r="A1038"/>
      <c r="B1038"/>
      <c r="C1038"/>
      <c r="D1038"/>
      <c r="E1038"/>
      <c r="F1038"/>
      <c r="G1038"/>
      <c r="U1038"/>
      <c r="V1038"/>
      <c r="W1038"/>
      <c r="X1038"/>
      <c r="Y1038"/>
      <c r="Z1038"/>
      <c r="AA1038"/>
      <c r="AB1038"/>
      <c r="AL1038"/>
      <c r="AM1038"/>
      <c r="AN1038"/>
      <c r="AO1038"/>
    </row>
    <row r="1039" spans="1:41" s="2" customFormat="1" x14ac:dyDescent="0.2">
      <c r="A1039"/>
      <c r="B1039"/>
      <c r="C1039"/>
      <c r="D1039"/>
      <c r="E1039"/>
      <c r="F1039"/>
      <c r="G1039"/>
      <c r="U1039"/>
      <c r="V1039"/>
      <c r="W1039"/>
      <c r="X1039"/>
      <c r="Y1039"/>
      <c r="Z1039"/>
      <c r="AA1039"/>
      <c r="AB1039"/>
      <c r="AL1039"/>
      <c r="AM1039"/>
      <c r="AN1039"/>
      <c r="AO1039"/>
    </row>
    <row r="1040" spans="1:41" s="2" customFormat="1" x14ac:dyDescent="0.2">
      <c r="A1040"/>
      <c r="B1040"/>
      <c r="C1040"/>
      <c r="D1040"/>
      <c r="E1040"/>
      <c r="F1040"/>
      <c r="G1040"/>
      <c r="U1040"/>
      <c r="V1040"/>
      <c r="W1040"/>
      <c r="X1040"/>
      <c r="Y1040"/>
      <c r="Z1040"/>
      <c r="AA1040"/>
      <c r="AB1040"/>
      <c r="AL1040"/>
      <c r="AM1040"/>
      <c r="AN1040"/>
      <c r="AO1040"/>
    </row>
    <row r="1041" spans="1:41" s="2" customFormat="1" x14ac:dyDescent="0.2">
      <c r="A1041"/>
      <c r="B1041"/>
      <c r="C1041"/>
      <c r="D1041"/>
      <c r="E1041"/>
      <c r="F1041"/>
      <c r="G1041"/>
      <c r="U1041"/>
      <c r="V1041"/>
      <c r="W1041"/>
      <c r="X1041"/>
      <c r="Y1041"/>
      <c r="Z1041"/>
      <c r="AA1041"/>
      <c r="AB1041"/>
      <c r="AL1041"/>
      <c r="AM1041"/>
      <c r="AN1041"/>
      <c r="AO1041"/>
    </row>
    <row r="1042" spans="1:41" s="2" customFormat="1" x14ac:dyDescent="0.2">
      <c r="A1042"/>
      <c r="B1042"/>
      <c r="C1042"/>
      <c r="D1042"/>
      <c r="E1042"/>
      <c r="F1042"/>
      <c r="G1042"/>
      <c r="U1042"/>
      <c r="V1042"/>
      <c r="W1042"/>
      <c r="X1042"/>
      <c r="Y1042"/>
      <c r="Z1042"/>
      <c r="AA1042"/>
      <c r="AB1042"/>
      <c r="AL1042"/>
      <c r="AM1042"/>
      <c r="AN1042"/>
      <c r="AO1042"/>
    </row>
    <row r="1043" spans="1:41" s="2" customFormat="1" x14ac:dyDescent="0.2">
      <c r="A1043"/>
      <c r="B1043"/>
      <c r="C1043"/>
      <c r="D1043"/>
      <c r="E1043"/>
      <c r="F1043"/>
      <c r="G1043"/>
      <c r="U1043"/>
      <c r="V1043"/>
      <c r="W1043"/>
      <c r="X1043"/>
      <c r="Y1043"/>
      <c r="Z1043"/>
      <c r="AA1043"/>
      <c r="AB1043"/>
      <c r="AL1043"/>
      <c r="AM1043"/>
      <c r="AN1043"/>
      <c r="AO1043"/>
    </row>
    <row r="1044" spans="1:41" s="2" customFormat="1" x14ac:dyDescent="0.2">
      <c r="A1044"/>
      <c r="B1044"/>
      <c r="C1044"/>
      <c r="D1044"/>
      <c r="E1044"/>
      <c r="F1044"/>
      <c r="G1044"/>
      <c r="U1044"/>
      <c r="V1044"/>
      <c r="W1044"/>
      <c r="X1044"/>
      <c r="Y1044"/>
      <c r="Z1044"/>
      <c r="AA1044"/>
      <c r="AB1044"/>
      <c r="AL1044"/>
      <c r="AM1044"/>
      <c r="AN1044"/>
      <c r="AO1044"/>
    </row>
    <row r="1045" spans="1:41" s="2" customFormat="1" x14ac:dyDescent="0.2">
      <c r="A1045"/>
      <c r="B1045"/>
      <c r="C1045"/>
      <c r="D1045"/>
      <c r="E1045"/>
      <c r="F1045"/>
      <c r="G1045"/>
      <c r="U1045"/>
      <c r="V1045"/>
      <c r="W1045"/>
      <c r="X1045"/>
      <c r="Y1045"/>
      <c r="Z1045"/>
      <c r="AA1045"/>
      <c r="AB1045"/>
      <c r="AL1045"/>
      <c r="AM1045"/>
      <c r="AN1045"/>
      <c r="AO1045"/>
    </row>
    <row r="1046" spans="1:41" s="2" customFormat="1" x14ac:dyDescent="0.2">
      <c r="A1046"/>
      <c r="B1046"/>
      <c r="C1046"/>
      <c r="D1046"/>
      <c r="E1046"/>
      <c r="F1046"/>
      <c r="G1046"/>
      <c r="U1046"/>
      <c r="V1046"/>
      <c r="W1046"/>
      <c r="X1046"/>
      <c r="Y1046"/>
      <c r="Z1046"/>
      <c r="AA1046"/>
      <c r="AB1046"/>
      <c r="AL1046"/>
      <c r="AM1046"/>
      <c r="AN1046"/>
      <c r="AO1046"/>
    </row>
    <row r="1047" spans="1:41" s="2" customFormat="1" x14ac:dyDescent="0.2">
      <c r="A1047"/>
      <c r="B1047"/>
      <c r="C1047"/>
      <c r="D1047"/>
      <c r="E1047"/>
      <c r="F1047"/>
      <c r="G1047"/>
      <c r="U1047"/>
      <c r="V1047"/>
      <c r="W1047"/>
      <c r="X1047"/>
      <c r="Y1047"/>
      <c r="Z1047"/>
      <c r="AA1047"/>
      <c r="AB1047"/>
      <c r="AL1047"/>
      <c r="AM1047"/>
      <c r="AN1047"/>
      <c r="AO1047"/>
    </row>
    <row r="1048" spans="1:41" s="2" customFormat="1" x14ac:dyDescent="0.2">
      <c r="A1048"/>
      <c r="B1048"/>
      <c r="C1048"/>
      <c r="D1048"/>
      <c r="E1048"/>
      <c r="F1048"/>
      <c r="G1048"/>
      <c r="U1048"/>
      <c r="V1048"/>
      <c r="W1048"/>
      <c r="X1048"/>
      <c r="Y1048"/>
      <c r="Z1048"/>
      <c r="AA1048"/>
      <c r="AB1048"/>
      <c r="AL1048"/>
      <c r="AM1048"/>
      <c r="AN1048"/>
      <c r="AO1048"/>
    </row>
    <row r="1049" spans="1:41" s="2" customFormat="1" x14ac:dyDescent="0.2">
      <c r="A1049"/>
      <c r="B1049"/>
      <c r="C1049"/>
      <c r="D1049"/>
      <c r="E1049"/>
      <c r="F1049"/>
      <c r="G1049"/>
      <c r="U1049"/>
      <c r="V1049"/>
      <c r="W1049"/>
      <c r="X1049"/>
      <c r="Y1049"/>
      <c r="Z1049"/>
      <c r="AA1049"/>
      <c r="AB1049"/>
      <c r="AL1049"/>
      <c r="AM1049"/>
      <c r="AN1049"/>
      <c r="AO1049"/>
    </row>
    <row r="1050" spans="1:41" s="2" customFormat="1" x14ac:dyDescent="0.2">
      <c r="A1050"/>
      <c r="B1050"/>
      <c r="C1050"/>
      <c r="D1050"/>
      <c r="E1050"/>
      <c r="F1050"/>
      <c r="G1050"/>
      <c r="U1050"/>
      <c r="V1050"/>
      <c r="W1050"/>
      <c r="X1050"/>
      <c r="Y1050"/>
      <c r="Z1050"/>
      <c r="AA1050"/>
      <c r="AB1050"/>
      <c r="AL1050"/>
      <c r="AM1050"/>
      <c r="AN1050"/>
      <c r="AO1050"/>
    </row>
    <row r="1051" spans="1:41" s="2" customFormat="1" x14ac:dyDescent="0.2">
      <c r="A1051"/>
      <c r="B1051"/>
      <c r="C1051"/>
      <c r="D1051"/>
      <c r="E1051"/>
      <c r="F1051"/>
      <c r="G1051"/>
      <c r="U1051"/>
      <c r="V1051"/>
      <c r="W1051"/>
      <c r="X1051"/>
      <c r="Y1051"/>
      <c r="Z1051"/>
      <c r="AA1051"/>
      <c r="AB1051"/>
      <c r="AL1051"/>
      <c r="AM1051"/>
      <c r="AN1051"/>
      <c r="AO1051"/>
    </row>
    <row r="1052" spans="1:41" s="2" customFormat="1" x14ac:dyDescent="0.2">
      <c r="A1052"/>
      <c r="B1052"/>
      <c r="C1052"/>
      <c r="D1052"/>
      <c r="E1052"/>
      <c r="F1052"/>
      <c r="G1052"/>
      <c r="U1052"/>
      <c r="V1052"/>
      <c r="W1052"/>
      <c r="X1052"/>
      <c r="Y1052"/>
      <c r="Z1052"/>
      <c r="AA1052"/>
      <c r="AB1052"/>
      <c r="AL1052"/>
      <c r="AM1052"/>
      <c r="AN1052"/>
      <c r="AO1052"/>
    </row>
    <row r="1053" spans="1:41" s="2" customFormat="1" x14ac:dyDescent="0.2">
      <c r="A1053"/>
      <c r="B1053"/>
      <c r="C1053"/>
      <c r="D1053"/>
      <c r="E1053"/>
      <c r="F1053"/>
      <c r="G1053"/>
      <c r="U1053"/>
      <c r="V1053"/>
      <c r="W1053"/>
      <c r="X1053"/>
      <c r="Y1053"/>
      <c r="Z1053"/>
      <c r="AA1053"/>
      <c r="AB1053"/>
      <c r="AL1053"/>
      <c r="AM1053"/>
      <c r="AN1053"/>
      <c r="AO1053"/>
    </row>
    <row r="1054" spans="1:41" s="2" customFormat="1" x14ac:dyDescent="0.2">
      <c r="A1054"/>
      <c r="B1054"/>
      <c r="C1054"/>
      <c r="D1054"/>
      <c r="E1054"/>
      <c r="F1054"/>
      <c r="G1054"/>
      <c r="U1054"/>
      <c r="V1054"/>
      <c r="W1054"/>
      <c r="X1054"/>
      <c r="Y1054"/>
      <c r="Z1054"/>
      <c r="AA1054"/>
      <c r="AB1054"/>
      <c r="AL1054"/>
      <c r="AM1054"/>
      <c r="AN1054"/>
      <c r="AO1054"/>
    </row>
    <row r="1055" spans="1:41" s="2" customFormat="1" x14ac:dyDescent="0.2">
      <c r="A1055"/>
      <c r="B1055"/>
      <c r="C1055"/>
      <c r="D1055"/>
      <c r="E1055"/>
      <c r="F1055"/>
      <c r="G1055"/>
      <c r="U1055"/>
      <c r="V1055"/>
      <c r="W1055"/>
      <c r="X1055"/>
      <c r="Y1055"/>
      <c r="Z1055"/>
      <c r="AA1055"/>
      <c r="AB1055"/>
      <c r="AL1055"/>
      <c r="AM1055"/>
      <c r="AN1055"/>
      <c r="AO1055"/>
    </row>
    <row r="1056" spans="1:41" s="2" customFormat="1" x14ac:dyDescent="0.2">
      <c r="A1056"/>
      <c r="B1056"/>
      <c r="C1056"/>
      <c r="D1056"/>
      <c r="E1056"/>
      <c r="F1056"/>
      <c r="G1056"/>
      <c r="U1056"/>
      <c r="V1056"/>
      <c r="W1056"/>
      <c r="X1056"/>
      <c r="Y1056"/>
      <c r="Z1056"/>
      <c r="AA1056"/>
      <c r="AB1056"/>
      <c r="AL1056"/>
      <c r="AM1056"/>
      <c r="AN1056"/>
      <c r="AO1056"/>
    </row>
    <row r="1057" spans="1:41" s="2" customFormat="1" x14ac:dyDescent="0.2">
      <c r="A1057"/>
      <c r="B1057"/>
      <c r="C1057"/>
      <c r="D1057"/>
      <c r="E1057"/>
      <c r="F1057"/>
      <c r="G1057"/>
      <c r="U1057"/>
      <c r="V1057"/>
      <c r="W1057"/>
      <c r="X1057"/>
      <c r="Y1057"/>
      <c r="Z1057"/>
      <c r="AA1057"/>
      <c r="AB1057"/>
      <c r="AL1057"/>
      <c r="AM1057"/>
      <c r="AN1057"/>
      <c r="AO1057"/>
    </row>
    <row r="1058" spans="1:41" s="2" customFormat="1" x14ac:dyDescent="0.2">
      <c r="A1058"/>
      <c r="B1058"/>
      <c r="C1058"/>
      <c r="D1058"/>
      <c r="E1058"/>
      <c r="F1058"/>
      <c r="G1058"/>
      <c r="U1058"/>
      <c r="V1058"/>
      <c r="W1058"/>
      <c r="X1058"/>
      <c r="Y1058"/>
      <c r="Z1058"/>
      <c r="AA1058"/>
      <c r="AB1058"/>
      <c r="AL1058"/>
      <c r="AM1058"/>
      <c r="AN1058"/>
      <c r="AO1058"/>
    </row>
    <row r="1059" spans="1:41" s="2" customFormat="1" x14ac:dyDescent="0.2">
      <c r="A1059"/>
      <c r="B1059"/>
      <c r="C1059"/>
      <c r="D1059"/>
      <c r="E1059"/>
      <c r="F1059"/>
      <c r="G1059"/>
      <c r="U1059"/>
      <c r="V1059"/>
      <c r="W1059"/>
      <c r="X1059"/>
      <c r="Y1059"/>
      <c r="Z1059"/>
      <c r="AA1059"/>
      <c r="AB1059"/>
      <c r="AL1059"/>
      <c r="AM1059"/>
      <c r="AN1059"/>
      <c r="AO1059"/>
    </row>
    <row r="1060" spans="1:41" s="2" customFormat="1" x14ac:dyDescent="0.2">
      <c r="A1060"/>
      <c r="B1060"/>
      <c r="C1060"/>
      <c r="D1060"/>
      <c r="E1060"/>
      <c r="F1060"/>
      <c r="G1060"/>
      <c r="U1060"/>
      <c r="V1060"/>
      <c r="W1060"/>
      <c r="X1060"/>
      <c r="Y1060"/>
      <c r="Z1060"/>
      <c r="AA1060"/>
      <c r="AB1060"/>
      <c r="AL1060"/>
      <c r="AM1060"/>
      <c r="AN1060"/>
      <c r="AO1060"/>
    </row>
    <row r="1061" spans="1:41" s="2" customFormat="1" x14ac:dyDescent="0.2">
      <c r="A1061"/>
      <c r="B1061"/>
      <c r="C1061"/>
      <c r="D1061"/>
      <c r="E1061"/>
      <c r="F1061"/>
      <c r="G1061"/>
      <c r="U1061"/>
      <c r="V1061"/>
      <c r="W1061"/>
      <c r="X1061"/>
      <c r="Y1061"/>
      <c r="Z1061"/>
      <c r="AA1061"/>
      <c r="AB1061"/>
      <c r="AL1061"/>
      <c r="AM1061"/>
      <c r="AN1061"/>
      <c r="AO1061"/>
    </row>
    <row r="1062" spans="1:41" s="2" customFormat="1" x14ac:dyDescent="0.2">
      <c r="A1062"/>
      <c r="B1062"/>
      <c r="C1062"/>
      <c r="D1062"/>
      <c r="E1062"/>
      <c r="F1062"/>
      <c r="G1062"/>
      <c r="U1062"/>
      <c r="V1062"/>
      <c r="W1062"/>
      <c r="X1062"/>
      <c r="Y1062"/>
      <c r="Z1062"/>
      <c r="AA1062"/>
      <c r="AB1062"/>
      <c r="AL1062"/>
      <c r="AM1062"/>
      <c r="AN1062"/>
      <c r="AO1062"/>
    </row>
    <row r="1063" spans="1:41" s="2" customFormat="1" x14ac:dyDescent="0.2">
      <c r="A1063"/>
      <c r="B1063"/>
      <c r="C1063"/>
      <c r="D1063"/>
      <c r="E1063"/>
      <c r="F1063"/>
      <c r="G1063"/>
      <c r="U1063"/>
      <c r="V1063"/>
      <c r="W1063"/>
      <c r="X1063"/>
      <c r="Y1063"/>
      <c r="Z1063"/>
      <c r="AA1063"/>
      <c r="AB1063"/>
      <c r="AL1063"/>
      <c r="AM1063"/>
      <c r="AN1063"/>
      <c r="AO1063"/>
    </row>
    <row r="1064" spans="1:41" s="2" customFormat="1" x14ac:dyDescent="0.2">
      <c r="A1064"/>
      <c r="B1064"/>
      <c r="C1064"/>
      <c r="D1064"/>
      <c r="E1064"/>
      <c r="F1064"/>
      <c r="G1064"/>
      <c r="U1064"/>
      <c r="V1064"/>
      <c r="W1064"/>
      <c r="X1064"/>
      <c r="Y1064"/>
      <c r="Z1064"/>
      <c r="AA1064"/>
      <c r="AB1064"/>
      <c r="AL1064"/>
      <c r="AM1064"/>
      <c r="AN1064"/>
      <c r="AO1064"/>
    </row>
    <row r="1065" spans="1:41" s="2" customFormat="1" x14ac:dyDescent="0.2">
      <c r="A1065"/>
      <c r="B1065"/>
      <c r="C1065"/>
      <c r="D1065"/>
      <c r="E1065"/>
      <c r="F1065"/>
      <c r="G1065"/>
      <c r="U1065"/>
      <c r="V1065"/>
      <c r="W1065"/>
      <c r="X1065"/>
      <c r="Y1065"/>
      <c r="Z1065"/>
      <c r="AA1065"/>
      <c r="AB1065"/>
      <c r="AL1065"/>
      <c r="AM1065"/>
      <c r="AN1065"/>
      <c r="AO1065"/>
    </row>
    <row r="1066" spans="1:41" s="2" customFormat="1" x14ac:dyDescent="0.2">
      <c r="A1066"/>
      <c r="B1066"/>
      <c r="C1066"/>
      <c r="D1066"/>
      <c r="E1066"/>
      <c r="F1066"/>
      <c r="G1066"/>
      <c r="U1066"/>
      <c r="V1066"/>
      <c r="W1066"/>
      <c r="X1066"/>
      <c r="Y1066"/>
      <c r="Z1066"/>
      <c r="AA1066"/>
      <c r="AB1066"/>
      <c r="AL1066"/>
      <c r="AM1066"/>
      <c r="AN1066"/>
      <c r="AO1066"/>
    </row>
    <row r="1067" spans="1:41" s="2" customFormat="1" x14ac:dyDescent="0.2">
      <c r="A1067"/>
      <c r="B1067"/>
      <c r="C1067"/>
      <c r="D1067"/>
      <c r="E1067"/>
      <c r="F1067"/>
      <c r="G1067"/>
      <c r="U1067"/>
      <c r="V1067"/>
      <c r="W1067"/>
      <c r="X1067"/>
      <c r="Y1067"/>
      <c r="Z1067"/>
      <c r="AA1067"/>
      <c r="AB1067"/>
      <c r="AL1067"/>
      <c r="AM1067"/>
      <c r="AN1067"/>
      <c r="AO1067"/>
    </row>
    <row r="1068" spans="1:41" s="2" customFormat="1" x14ac:dyDescent="0.2">
      <c r="A1068"/>
      <c r="B1068"/>
      <c r="C1068"/>
      <c r="D1068"/>
      <c r="E1068"/>
      <c r="F1068"/>
      <c r="G1068"/>
      <c r="U1068"/>
      <c r="V1068"/>
      <c r="W1068"/>
      <c r="X1068"/>
      <c r="Y1068"/>
      <c r="Z1068"/>
      <c r="AA1068"/>
      <c r="AB1068"/>
      <c r="AL1068"/>
      <c r="AM1068"/>
      <c r="AN1068"/>
      <c r="AO1068"/>
    </row>
    <row r="1069" spans="1:41" s="2" customFormat="1" x14ac:dyDescent="0.2">
      <c r="A1069"/>
      <c r="B1069"/>
      <c r="C1069"/>
      <c r="D1069"/>
      <c r="E1069"/>
      <c r="F1069"/>
      <c r="G1069"/>
      <c r="U1069"/>
      <c r="V1069"/>
      <c r="W1069"/>
      <c r="X1069"/>
      <c r="Y1069"/>
      <c r="Z1069"/>
      <c r="AA1069"/>
      <c r="AB1069"/>
      <c r="AL1069"/>
      <c r="AM1069"/>
      <c r="AN1069"/>
      <c r="AO1069"/>
    </row>
    <row r="1070" spans="1:41" s="2" customFormat="1" x14ac:dyDescent="0.2">
      <c r="A1070"/>
      <c r="B1070"/>
      <c r="C1070"/>
      <c r="D1070"/>
      <c r="E1070"/>
      <c r="F1070"/>
      <c r="G1070"/>
      <c r="U1070"/>
      <c r="V1070"/>
      <c r="W1070"/>
      <c r="X1070"/>
      <c r="Y1070"/>
      <c r="Z1070"/>
      <c r="AA1070"/>
      <c r="AB1070"/>
      <c r="AL1070"/>
      <c r="AM1070"/>
      <c r="AN1070"/>
      <c r="AO1070"/>
    </row>
    <row r="1071" spans="1:41" s="2" customFormat="1" x14ac:dyDescent="0.2">
      <c r="A1071"/>
      <c r="B1071"/>
      <c r="C1071"/>
      <c r="D1071"/>
      <c r="E1071"/>
      <c r="F1071"/>
      <c r="G1071"/>
      <c r="U1071"/>
      <c r="V1071"/>
      <c r="W1071"/>
      <c r="X1071"/>
      <c r="Y1071"/>
      <c r="Z1071"/>
      <c r="AA1071"/>
      <c r="AB1071"/>
      <c r="AL1071"/>
      <c r="AM1071"/>
      <c r="AN1071"/>
      <c r="AO1071"/>
    </row>
    <row r="1072" spans="1:41" s="2" customFormat="1" x14ac:dyDescent="0.2">
      <c r="A1072"/>
      <c r="B1072"/>
      <c r="C1072"/>
      <c r="D1072"/>
      <c r="E1072"/>
      <c r="F1072"/>
      <c r="G1072"/>
      <c r="U1072"/>
      <c r="V1072"/>
      <c r="W1072"/>
      <c r="X1072"/>
      <c r="Y1072"/>
      <c r="Z1072"/>
      <c r="AA1072"/>
      <c r="AB1072"/>
      <c r="AL1072"/>
      <c r="AM1072"/>
      <c r="AN1072"/>
      <c r="AO1072"/>
    </row>
    <row r="1073" spans="1:41" s="2" customFormat="1" x14ac:dyDescent="0.2">
      <c r="A1073"/>
      <c r="B1073"/>
      <c r="C1073"/>
      <c r="D1073"/>
      <c r="E1073"/>
      <c r="F1073"/>
      <c r="G1073"/>
      <c r="U1073"/>
      <c r="V1073"/>
      <c r="W1073"/>
      <c r="X1073"/>
      <c r="Y1073"/>
      <c r="Z1073"/>
      <c r="AA1073"/>
      <c r="AB1073"/>
      <c r="AL1073"/>
      <c r="AM1073"/>
      <c r="AN1073"/>
      <c r="AO1073"/>
    </row>
    <row r="1074" spans="1:41" s="2" customFormat="1" x14ac:dyDescent="0.2">
      <c r="A1074"/>
      <c r="B1074"/>
      <c r="C1074"/>
      <c r="D1074"/>
      <c r="E1074"/>
      <c r="F1074"/>
      <c r="G1074"/>
      <c r="U1074"/>
      <c r="V1074"/>
      <c r="W1074"/>
      <c r="X1074"/>
      <c r="Y1074"/>
      <c r="Z1074"/>
      <c r="AA1074"/>
      <c r="AB1074"/>
      <c r="AL1074"/>
      <c r="AM1074"/>
      <c r="AN1074"/>
      <c r="AO1074"/>
    </row>
    <row r="1075" spans="1:41" s="2" customFormat="1" x14ac:dyDescent="0.2">
      <c r="A1075"/>
      <c r="B1075"/>
      <c r="C1075"/>
      <c r="D1075"/>
      <c r="E1075"/>
      <c r="F1075"/>
      <c r="G1075"/>
      <c r="U1075"/>
      <c r="V1075"/>
      <c r="W1075"/>
      <c r="X1075"/>
      <c r="Y1075"/>
      <c r="Z1075"/>
      <c r="AA1075"/>
      <c r="AB1075"/>
      <c r="AL1075"/>
      <c r="AM1075"/>
      <c r="AN1075"/>
      <c r="AO1075"/>
    </row>
    <row r="1076" spans="1:41" s="2" customFormat="1" x14ac:dyDescent="0.2">
      <c r="A1076"/>
      <c r="B1076"/>
      <c r="C1076"/>
      <c r="D1076"/>
      <c r="E1076"/>
      <c r="F1076"/>
      <c r="G1076"/>
      <c r="U1076"/>
      <c r="V1076"/>
      <c r="W1076"/>
      <c r="X1076"/>
      <c r="Y1076"/>
      <c r="Z1076"/>
      <c r="AA1076"/>
      <c r="AB1076"/>
      <c r="AL1076"/>
      <c r="AM1076"/>
      <c r="AN1076"/>
      <c r="AO1076"/>
    </row>
    <row r="1077" spans="1:41" s="2" customFormat="1" x14ac:dyDescent="0.2">
      <c r="A1077"/>
      <c r="B1077"/>
      <c r="C1077"/>
      <c r="D1077"/>
      <c r="E1077"/>
      <c r="F1077"/>
      <c r="G1077"/>
      <c r="U1077"/>
      <c r="V1077"/>
      <c r="W1077"/>
      <c r="X1077"/>
      <c r="Y1077"/>
      <c r="Z1077"/>
      <c r="AA1077"/>
      <c r="AB1077"/>
      <c r="AL1077"/>
      <c r="AM1077"/>
      <c r="AN1077"/>
      <c r="AO1077"/>
    </row>
    <row r="1078" spans="1:41" s="2" customFormat="1" x14ac:dyDescent="0.2">
      <c r="A1078"/>
      <c r="B1078"/>
      <c r="C1078"/>
      <c r="D1078"/>
      <c r="E1078"/>
      <c r="F1078"/>
      <c r="G1078"/>
      <c r="U1078"/>
      <c r="V1078"/>
      <c r="W1078"/>
      <c r="X1078"/>
      <c r="Y1078"/>
      <c r="Z1078"/>
      <c r="AA1078"/>
      <c r="AB1078"/>
      <c r="AL1078"/>
      <c r="AM1078"/>
      <c r="AN1078"/>
      <c r="AO1078"/>
    </row>
    <row r="1079" spans="1:41" s="2" customFormat="1" x14ac:dyDescent="0.2">
      <c r="A1079"/>
      <c r="B1079"/>
      <c r="C1079"/>
      <c r="D1079"/>
      <c r="E1079"/>
      <c r="F1079"/>
      <c r="G1079"/>
      <c r="U1079"/>
      <c r="V1079"/>
      <c r="W1079"/>
      <c r="X1079"/>
      <c r="Y1079"/>
      <c r="Z1079"/>
      <c r="AA1079"/>
      <c r="AB1079"/>
      <c r="AL1079"/>
      <c r="AM1079"/>
      <c r="AN1079"/>
      <c r="AO1079"/>
    </row>
    <row r="1080" spans="1:41" s="2" customFormat="1" x14ac:dyDescent="0.2">
      <c r="A1080"/>
      <c r="B1080"/>
      <c r="C1080"/>
      <c r="D1080"/>
      <c r="E1080"/>
      <c r="F1080"/>
      <c r="G1080"/>
      <c r="U1080"/>
      <c r="V1080"/>
      <c r="W1080"/>
      <c r="X1080"/>
      <c r="Y1080"/>
      <c r="Z1080"/>
      <c r="AA1080"/>
      <c r="AB1080"/>
      <c r="AL1080"/>
      <c r="AM1080"/>
      <c r="AN1080"/>
      <c r="AO1080"/>
    </row>
    <row r="1081" spans="1:41" s="2" customFormat="1" x14ac:dyDescent="0.2">
      <c r="A1081"/>
      <c r="B1081"/>
      <c r="C1081"/>
      <c r="D1081"/>
      <c r="E1081"/>
      <c r="F1081"/>
      <c r="G1081"/>
      <c r="U1081"/>
      <c r="V1081"/>
      <c r="W1081"/>
      <c r="X1081"/>
      <c r="Y1081"/>
      <c r="Z1081"/>
      <c r="AA1081"/>
      <c r="AB1081"/>
      <c r="AL1081"/>
      <c r="AM1081"/>
      <c r="AN1081"/>
      <c r="AO1081"/>
    </row>
    <row r="1082" spans="1:41" s="2" customFormat="1" x14ac:dyDescent="0.2">
      <c r="A1082"/>
      <c r="B1082"/>
      <c r="C1082"/>
      <c r="D1082"/>
      <c r="E1082"/>
      <c r="F1082"/>
      <c r="G1082"/>
      <c r="U1082"/>
      <c r="V1082"/>
      <c r="W1082"/>
      <c r="X1082"/>
      <c r="Y1082"/>
      <c r="Z1082"/>
      <c r="AA1082"/>
      <c r="AB1082"/>
      <c r="AL1082"/>
      <c r="AM1082"/>
      <c r="AN1082"/>
      <c r="AO1082"/>
    </row>
    <row r="1083" spans="1:41" s="2" customFormat="1" x14ac:dyDescent="0.2">
      <c r="A1083"/>
      <c r="B1083"/>
      <c r="C1083"/>
      <c r="D1083"/>
      <c r="E1083"/>
      <c r="F1083"/>
      <c r="G1083"/>
      <c r="U1083"/>
      <c r="V1083"/>
      <c r="W1083"/>
      <c r="X1083"/>
      <c r="Y1083"/>
      <c r="Z1083"/>
      <c r="AA1083"/>
      <c r="AB1083"/>
      <c r="AL1083"/>
      <c r="AM1083"/>
      <c r="AN1083"/>
      <c r="AO1083"/>
    </row>
    <row r="1084" spans="1:41" s="2" customFormat="1" x14ac:dyDescent="0.2">
      <c r="A1084"/>
      <c r="B1084"/>
      <c r="C1084"/>
      <c r="D1084"/>
      <c r="E1084"/>
      <c r="F1084"/>
      <c r="G1084"/>
      <c r="U1084"/>
      <c r="V1084"/>
      <c r="W1084"/>
      <c r="X1084"/>
      <c r="Y1084"/>
      <c r="Z1084"/>
      <c r="AA1084"/>
      <c r="AB1084"/>
      <c r="AL1084"/>
      <c r="AM1084"/>
      <c r="AN1084"/>
      <c r="AO1084"/>
    </row>
    <row r="1085" spans="1:41" s="2" customFormat="1" x14ac:dyDescent="0.2">
      <c r="A1085"/>
      <c r="B1085"/>
      <c r="C1085"/>
      <c r="D1085"/>
      <c r="E1085"/>
      <c r="F1085"/>
      <c r="G1085"/>
      <c r="U1085"/>
      <c r="V1085"/>
      <c r="W1085"/>
      <c r="X1085"/>
      <c r="Y1085"/>
      <c r="Z1085"/>
      <c r="AA1085"/>
      <c r="AB1085"/>
      <c r="AL1085"/>
      <c r="AM1085"/>
      <c r="AN1085"/>
      <c r="AO1085"/>
    </row>
    <row r="1086" spans="1:41" s="2" customFormat="1" x14ac:dyDescent="0.2">
      <c r="A1086"/>
      <c r="B1086"/>
      <c r="C1086"/>
      <c r="D1086"/>
      <c r="E1086"/>
      <c r="F1086"/>
      <c r="G1086"/>
      <c r="U1086"/>
      <c r="V1086"/>
      <c r="W1086"/>
      <c r="X1086"/>
      <c r="Y1086"/>
      <c r="Z1086"/>
      <c r="AA1086"/>
      <c r="AB1086"/>
      <c r="AL1086"/>
      <c r="AM1086"/>
      <c r="AN1086"/>
      <c r="AO1086"/>
    </row>
    <row r="1087" spans="1:41" s="2" customFormat="1" x14ac:dyDescent="0.2">
      <c r="A1087"/>
      <c r="B1087"/>
      <c r="C1087"/>
      <c r="D1087"/>
      <c r="E1087"/>
      <c r="F1087"/>
      <c r="G1087"/>
      <c r="U1087"/>
      <c r="V1087"/>
      <c r="W1087"/>
      <c r="X1087"/>
      <c r="Y1087"/>
      <c r="Z1087"/>
      <c r="AA1087"/>
      <c r="AB1087"/>
      <c r="AL1087"/>
      <c r="AM1087"/>
      <c r="AN1087"/>
      <c r="AO1087"/>
    </row>
    <row r="1088" spans="1:41" s="2" customFormat="1" x14ac:dyDescent="0.2">
      <c r="A1088"/>
      <c r="B1088"/>
      <c r="C1088"/>
      <c r="D1088"/>
      <c r="E1088"/>
      <c r="F1088"/>
      <c r="G1088"/>
      <c r="U1088"/>
      <c r="V1088"/>
      <c r="W1088"/>
      <c r="X1088"/>
      <c r="Y1088"/>
      <c r="Z1088"/>
      <c r="AA1088"/>
      <c r="AB1088"/>
      <c r="AL1088"/>
      <c r="AM1088"/>
      <c r="AN1088"/>
      <c r="AO1088"/>
    </row>
    <row r="1089" spans="1:41" s="2" customFormat="1" x14ac:dyDescent="0.2">
      <c r="A1089"/>
      <c r="B1089"/>
      <c r="C1089"/>
      <c r="D1089"/>
      <c r="E1089"/>
      <c r="F1089"/>
      <c r="G1089"/>
      <c r="U1089"/>
      <c r="V1089"/>
      <c r="W1089"/>
      <c r="X1089"/>
      <c r="Y1089"/>
      <c r="Z1089"/>
      <c r="AA1089"/>
      <c r="AB1089"/>
      <c r="AL1089"/>
      <c r="AM1089"/>
      <c r="AN1089"/>
      <c r="AO1089"/>
    </row>
    <row r="1090" spans="1:41" s="2" customFormat="1" x14ac:dyDescent="0.2">
      <c r="A1090"/>
      <c r="B1090"/>
      <c r="C1090"/>
      <c r="D1090"/>
      <c r="E1090"/>
      <c r="F1090"/>
      <c r="G1090"/>
      <c r="U1090"/>
      <c r="V1090"/>
      <c r="W1090"/>
      <c r="X1090"/>
      <c r="Y1090"/>
      <c r="Z1090"/>
      <c r="AA1090"/>
      <c r="AB1090"/>
      <c r="AL1090"/>
      <c r="AM1090"/>
      <c r="AN1090"/>
      <c r="AO1090"/>
    </row>
    <row r="1091" spans="1:41" s="2" customFormat="1" x14ac:dyDescent="0.2">
      <c r="A1091"/>
      <c r="B1091"/>
      <c r="C1091"/>
      <c r="D1091"/>
      <c r="E1091"/>
      <c r="F1091"/>
      <c r="G1091"/>
      <c r="U1091"/>
      <c r="V1091"/>
      <c r="W1091"/>
      <c r="X1091"/>
      <c r="Y1091"/>
      <c r="Z1091"/>
      <c r="AA1091"/>
      <c r="AB1091"/>
      <c r="AL1091"/>
      <c r="AM1091"/>
      <c r="AN1091"/>
      <c r="AO1091"/>
    </row>
    <row r="1092" spans="1:41" s="2" customFormat="1" x14ac:dyDescent="0.2">
      <c r="A1092"/>
      <c r="B1092"/>
      <c r="C1092"/>
      <c r="D1092"/>
      <c r="E1092"/>
      <c r="F1092"/>
      <c r="G1092"/>
      <c r="U1092"/>
      <c r="V1092"/>
      <c r="W1092"/>
      <c r="X1092"/>
      <c r="Y1092"/>
      <c r="Z1092"/>
      <c r="AA1092"/>
      <c r="AB1092"/>
      <c r="AL1092"/>
      <c r="AM1092"/>
      <c r="AN1092"/>
      <c r="AO1092"/>
    </row>
    <row r="1093" spans="1:41" s="2" customFormat="1" x14ac:dyDescent="0.2">
      <c r="A1093"/>
      <c r="B1093"/>
      <c r="C1093"/>
      <c r="D1093"/>
      <c r="E1093"/>
      <c r="F1093"/>
      <c r="G1093"/>
      <c r="U1093"/>
      <c r="V1093"/>
      <c r="W1093"/>
      <c r="X1093"/>
      <c r="Y1093"/>
      <c r="Z1093"/>
      <c r="AA1093"/>
      <c r="AB1093"/>
      <c r="AL1093"/>
      <c r="AM1093"/>
      <c r="AN1093"/>
      <c r="AO1093"/>
    </row>
    <row r="1094" spans="1:41" s="2" customFormat="1" x14ac:dyDescent="0.2">
      <c r="A1094"/>
      <c r="B1094"/>
      <c r="C1094"/>
      <c r="D1094"/>
      <c r="E1094"/>
      <c r="F1094"/>
      <c r="G1094"/>
      <c r="U1094"/>
      <c r="V1094"/>
      <c r="W1094"/>
      <c r="X1094"/>
      <c r="Y1094"/>
      <c r="Z1094"/>
      <c r="AA1094"/>
      <c r="AB1094"/>
      <c r="AL1094"/>
      <c r="AM1094"/>
      <c r="AN1094"/>
      <c r="AO1094"/>
    </row>
    <row r="1095" spans="1:41" s="2" customFormat="1" x14ac:dyDescent="0.2">
      <c r="A1095"/>
      <c r="B1095"/>
      <c r="C1095"/>
      <c r="D1095"/>
      <c r="E1095"/>
      <c r="F1095"/>
      <c r="G1095"/>
      <c r="U1095"/>
      <c r="V1095"/>
      <c r="W1095"/>
      <c r="X1095"/>
      <c r="Y1095"/>
      <c r="Z1095"/>
      <c r="AA1095"/>
      <c r="AB1095"/>
      <c r="AL1095"/>
      <c r="AM1095"/>
      <c r="AN1095"/>
      <c r="AO1095"/>
    </row>
    <row r="1096" spans="1:41" s="2" customFormat="1" x14ac:dyDescent="0.2">
      <c r="A1096"/>
      <c r="B1096"/>
      <c r="C1096"/>
      <c r="D1096"/>
      <c r="E1096"/>
      <c r="F1096"/>
      <c r="G1096"/>
      <c r="U1096"/>
      <c r="V1096"/>
      <c r="W1096"/>
      <c r="X1096"/>
      <c r="Y1096"/>
      <c r="Z1096"/>
      <c r="AA1096"/>
      <c r="AB1096"/>
      <c r="AL1096"/>
      <c r="AM1096"/>
      <c r="AN1096"/>
      <c r="AO1096"/>
    </row>
    <row r="1097" spans="1:41" s="2" customFormat="1" x14ac:dyDescent="0.2">
      <c r="A1097"/>
      <c r="B1097"/>
      <c r="C1097"/>
      <c r="D1097"/>
      <c r="E1097"/>
      <c r="F1097"/>
      <c r="G1097"/>
      <c r="U1097"/>
      <c r="V1097"/>
      <c r="W1097"/>
      <c r="X1097"/>
      <c r="Y1097"/>
      <c r="Z1097"/>
      <c r="AA1097"/>
      <c r="AB1097"/>
      <c r="AL1097"/>
      <c r="AM1097"/>
      <c r="AN1097"/>
      <c r="AO1097"/>
    </row>
    <row r="1098" spans="1:41" s="2" customFormat="1" x14ac:dyDescent="0.2">
      <c r="A1098"/>
      <c r="B1098"/>
      <c r="C1098"/>
      <c r="D1098"/>
      <c r="E1098"/>
      <c r="F1098"/>
      <c r="G1098"/>
      <c r="U1098"/>
      <c r="V1098"/>
      <c r="W1098"/>
      <c r="X1098"/>
      <c r="Y1098"/>
      <c r="Z1098"/>
      <c r="AA1098"/>
      <c r="AB1098"/>
      <c r="AL1098"/>
      <c r="AM1098"/>
      <c r="AN1098"/>
      <c r="AO1098"/>
    </row>
    <row r="1099" spans="1:41" s="2" customFormat="1" x14ac:dyDescent="0.2">
      <c r="A1099"/>
      <c r="B1099"/>
      <c r="C1099"/>
      <c r="D1099"/>
      <c r="E1099"/>
      <c r="F1099"/>
      <c r="G1099"/>
      <c r="U1099"/>
      <c r="V1099"/>
      <c r="W1099"/>
      <c r="X1099"/>
      <c r="Y1099"/>
      <c r="Z1099"/>
      <c r="AA1099"/>
      <c r="AB1099"/>
      <c r="AL1099"/>
      <c r="AM1099"/>
      <c r="AN1099"/>
      <c r="AO1099"/>
    </row>
    <row r="1100" spans="1:41" s="2" customFormat="1" x14ac:dyDescent="0.2">
      <c r="A1100"/>
      <c r="B1100"/>
      <c r="C1100"/>
      <c r="D1100"/>
      <c r="E1100"/>
      <c r="F1100"/>
      <c r="G1100"/>
      <c r="U1100"/>
      <c r="V1100"/>
      <c r="W1100"/>
      <c r="X1100"/>
      <c r="Y1100"/>
      <c r="Z1100"/>
      <c r="AA1100"/>
      <c r="AB1100"/>
      <c r="AL1100"/>
      <c r="AM1100"/>
      <c r="AN1100"/>
      <c r="AO1100"/>
    </row>
    <row r="1101" spans="1:41" s="2" customFormat="1" x14ac:dyDescent="0.2">
      <c r="A1101"/>
      <c r="B1101"/>
      <c r="C1101"/>
      <c r="D1101"/>
      <c r="E1101"/>
      <c r="F1101"/>
      <c r="G1101"/>
      <c r="U1101"/>
      <c r="V1101"/>
      <c r="W1101"/>
      <c r="X1101"/>
      <c r="Y1101"/>
      <c r="Z1101"/>
      <c r="AA1101"/>
      <c r="AB1101"/>
      <c r="AL1101"/>
      <c r="AM1101"/>
      <c r="AN1101"/>
      <c r="AO1101"/>
    </row>
    <row r="1102" spans="1:41" s="2" customFormat="1" x14ac:dyDescent="0.2">
      <c r="A1102"/>
      <c r="B1102"/>
      <c r="C1102"/>
      <c r="D1102"/>
      <c r="E1102"/>
      <c r="F1102"/>
      <c r="G1102"/>
      <c r="U1102"/>
      <c r="V1102"/>
      <c r="W1102"/>
      <c r="X1102"/>
      <c r="Y1102"/>
      <c r="Z1102"/>
      <c r="AA1102"/>
      <c r="AB1102"/>
      <c r="AL1102"/>
      <c r="AM1102"/>
      <c r="AN1102"/>
      <c r="AO1102"/>
    </row>
    <row r="1103" spans="1:41" s="2" customFormat="1" x14ac:dyDescent="0.2">
      <c r="A1103"/>
      <c r="B1103"/>
      <c r="C1103"/>
      <c r="D1103"/>
      <c r="E1103"/>
      <c r="F1103"/>
      <c r="G1103"/>
      <c r="U1103"/>
      <c r="V1103"/>
      <c r="W1103"/>
      <c r="X1103"/>
      <c r="Y1103"/>
      <c r="Z1103"/>
      <c r="AA1103"/>
      <c r="AB1103"/>
      <c r="AL1103"/>
      <c r="AM1103"/>
      <c r="AN1103"/>
      <c r="AO1103"/>
    </row>
    <row r="1104" spans="1:41" s="2" customFormat="1" x14ac:dyDescent="0.2">
      <c r="A1104"/>
      <c r="B1104"/>
      <c r="C1104"/>
      <c r="D1104"/>
      <c r="E1104"/>
      <c r="F1104"/>
      <c r="G1104"/>
      <c r="U1104"/>
      <c r="V1104"/>
      <c r="W1104"/>
      <c r="X1104"/>
      <c r="Y1104"/>
      <c r="Z1104"/>
      <c r="AA1104"/>
      <c r="AB1104"/>
      <c r="AL1104"/>
      <c r="AM1104"/>
      <c r="AN1104"/>
      <c r="AO1104"/>
    </row>
    <row r="1105" spans="1:41" s="2" customFormat="1" x14ac:dyDescent="0.2">
      <c r="A1105"/>
      <c r="B1105"/>
      <c r="C1105"/>
      <c r="D1105"/>
      <c r="E1105"/>
      <c r="F1105"/>
      <c r="G1105"/>
      <c r="U1105"/>
      <c r="V1105"/>
      <c r="W1105"/>
      <c r="X1105"/>
      <c r="Y1105"/>
      <c r="Z1105"/>
      <c r="AA1105"/>
      <c r="AB1105"/>
      <c r="AL1105"/>
      <c r="AM1105"/>
      <c r="AN1105"/>
      <c r="AO1105"/>
    </row>
    <row r="1106" spans="1:41" s="2" customFormat="1" x14ac:dyDescent="0.2">
      <c r="A1106"/>
      <c r="B1106"/>
      <c r="C1106"/>
      <c r="D1106"/>
      <c r="E1106"/>
      <c r="F1106"/>
      <c r="G1106"/>
      <c r="U1106"/>
      <c r="V1106"/>
      <c r="W1106"/>
      <c r="X1106"/>
      <c r="Y1106"/>
      <c r="Z1106"/>
      <c r="AA1106"/>
      <c r="AB1106"/>
      <c r="AL1106"/>
      <c r="AM1106"/>
      <c r="AN1106"/>
      <c r="AO1106"/>
    </row>
    <row r="1107" spans="1:41" s="2" customFormat="1" x14ac:dyDescent="0.2">
      <c r="A1107"/>
      <c r="B1107"/>
      <c r="C1107"/>
      <c r="D1107"/>
      <c r="E1107"/>
      <c r="F1107"/>
      <c r="G1107"/>
      <c r="U1107"/>
      <c r="V1107"/>
      <c r="W1107"/>
      <c r="X1107"/>
      <c r="Y1107"/>
      <c r="Z1107"/>
      <c r="AA1107"/>
      <c r="AB1107"/>
      <c r="AL1107"/>
      <c r="AM1107"/>
      <c r="AN1107"/>
      <c r="AO1107"/>
    </row>
    <row r="1108" spans="1:41" s="2" customFormat="1" x14ac:dyDescent="0.2">
      <c r="A1108"/>
      <c r="B1108"/>
      <c r="C1108"/>
      <c r="D1108"/>
      <c r="E1108"/>
      <c r="F1108"/>
      <c r="G1108"/>
      <c r="U1108"/>
      <c r="V1108"/>
      <c r="W1108"/>
      <c r="X1108"/>
      <c r="Y1108"/>
      <c r="Z1108"/>
      <c r="AA1108"/>
      <c r="AB1108"/>
      <c r="AL1108"/>
      <c r="AM1108"/>
      <c r="AN1108"/>
      <c r="AO1108"/>
    </row>
    <row r="1109" spans="1:41" s="2" customFormat="1" x14ac:dyDescent="0.2">
      <c r="A1109"/>
      <c r="B1109"/>
      <c r="C1109"/>
      <c r="D1109"/>
      <c r="E1109"/>
      <c r="F1109"/>
      <c r="G1109"/>
      <c r="U1109"/>
      <c r="V1109"/>
      <c r="W1109"/>
      <c r="X1109"/>
      <c r="Y1109"/>
      <c r="Z1109"/>
      <c r="AA1109"/>
      <c r="AB1109"/>
      <c r="AL1109"/>
      <c r="AM1109"/>
      <c r="AN1109"/>
      <c r="AO1109"/>
    </row>
    <row r="1110" spans="1:41" s="2" customFormat="1" x14ac:dyDescent="0.2">
      <c r="A1110"/>
      <c r="B1110"/>
      <c r="C1110"/>
      <c r="D1110"/>
      <c r="E1110"/>
      <c r="F1110"/>
      <c r="G1110"/>
      <c r="U1110"/>
      <c r="V1110"/>
      <c r="W1110"/>
      <c r="X1110"/>
      <c r="Y1110"/>
      <c r="Z1110"/>
      <c r="AA1110"/>
      <c r="AB1110"/>
      <c r="AL1110"/>
      <c r="AM1110"/>
      <c r="AN1110"/>
      <c r="AO1110"/>
    </row>
    <row r="1111" spans="1:41" s="2" customFormat="1" x14ac:dyDescent="0.2">
      <c r="A1111"/>
      <c r="B1111"/>
      <c r="C1111"/>
      <c r="D1111"/>
      <c r="E1111"/>
      <c r="F1111"/>
      <c r="G1111"/>
      <c r="U1111"/>
      <c r="V1111"/>
      <c r="W1111"/>
      <c r="X1111"/>
      <c r="Y1111"/>
      <c r="Z1111"/>
      <c r="AA1111"/>
      <c r="AB1111"/>
      <c r="AL1111"/>
      <c r="AM1111"/>
      <c r="AN1111"/>
      <c r="AO1111"/>
    </row>
    <row r="1112" spans="1:41" s="2" customFormat="1" x14ac:dyDescent="0.2">
      <c r="A1112"/>
      <c r="B1112"/>
      <c r="C1112"/>
      <c r="D1112"/>
      <c r="E1112"/>
      <c r="F1112"/>
      <c r="G1112"/>
      <c r="U1112"/>
      <c r="V1112"/>
      <c r="W1112"/>
      <c r="X1112"/>
      <c r="Y1112"/>
      <c r="Z1112"/>
      <c r="AA1112"/>
      <c r="AB1112"/>
      <c r="AL1112"/>
      <c r="AM1112"/>
      <c r="AN1112"/>
      <c r="AO1112"/>
    </row>
    <row r="1113" spans="1:41" s="2" customFormat="1" x14ac:dyDescent="0.2">
      <c r="A1113"/>
      <c r="B1113"/>
      <c r="C1113"/>
      <c r="D1113"/>
      <c r="E1113"/>
      <c r="F1113"/>
      <c r="G1113"/>
      <c r="U1113"/>
      <c r="V1113"/>
      <c r="W1113"/>
      <c r="X1113"/>
      <c r="Y1113"/>
      <c r="Z1113"/>
      <c r="AA1113"/>
      <c r="AB1113"/>
      <c r="AL1113"/>
      <c r="AM1113"/>
      <c r="AN1113"/>
      <c r="AO1113"/>
    </row>
    <row r="1114" spans="1:41" s="2" customFormat="1" x14ac:dyDescent="0.2">
      <c r="A1114"/>
      <c r="B1114"/>
      <c r="C1114"/>
      <c r="D1114"/>
      <c r="E1114"/>
      <c r="F1114"/>
      <c r="G1114"/>
      <c r="U1114"/>
      <c r="V1114"/>
      <c r="W1114"/>
      <c r="X1114"/>
      <c r="Y1114"/>
      <c r="Z1114"/>
      <c r="AA1114"/>
      <c r="AB1114"/>
      <c r="AL1114"/>
      <c r="AM1114"/>
      <c r="AN1114"/>
      <c r="AO1114"/>
    </row>
    <row r="1115" spans="1:41" s="2" customFormat="1" x14ac:dyDescent="0.2">
      <c r="A1115"/>
      <c r="B1115"/>
      <c r="C1115"/>
      <c r="D1115"/>
      <c r="E1115"/>
      <c r="F1115"/>
      <c r="G1115"/>
      <c r="U1115"/>
      <c r="V1115"/>
      <c r="W1115"/>
      <c r="X1115"/>
      <c r="Y1115"/>
      <c r="Z1115"/>
      <c r="AA1115"/>
      <c r="AB1115"/>
      <c r="AL1115"/>
      <c r="AM1115"/>
      <c r="AN1115"/>
      <c r="AO1115"/>
    </row>
    <row r="1116" spans="1:41" s="2" customFormat="1" x14ac:dyDescent="0.2">
      <c r="A1116"/>
      <c r="B1116"/>
      <c r="C1116"/>
      <c r="D1116"/>
      <c r="E1116"/>
      <c r="F1116"/>
      <c r="G1116"/>
      <c r="U1116"/>
      <c r="V1116"/>
      <c r="W1116"/>
      <c r="X1116"/>
      <c r="Y1116"/>
      <c r="Z1116"/>
      <c r="AA1116"/>
      <c r="AB1116"/>
      <c r="AL1116"/>
      <c r="AM1116"/>
      <c r="AN1116"/>
      <c r="AO1116"/>
    </row>
    <row r="1117" spans="1:41" s="2" customFormat="1" x14ac:dyDescent="0.2">
      <c r="A1117"/>
      <c r="B1117"/>
      <c r="C1117"/>
      <c r="D1117"/>
      <c r="E1117"/>
      <c r="F1117"/>
      <c r="G1117"/>
      <c r="U1117"/>
      <c r="V1117"/>
      <c r="W1117"/>
      <c r="X1117"/>
      <c r="Y1117"/>
      <c r="Z1117"/>
      <c r="AA1117"/>
      <c r="AB1117"/>
      <c r="AL1117"/>
      <c r="AM1117"/>
      <c r="AN1117"/>
      <c r="AO1117"/>
    </row>
    <row r="1118" spans="1:41" s="2" customFormat="1" x14ac:dyDescent="0.2">
      <c r="A1118"/>
      <c r="B1118"/>
      <c r="C1118"/>
      <c r="D1118"/>
      <c r="E1118"/>
      <c r="F1118"/>
      <c r="G1118"/>
      <c r="U1118"/>
      <c r="V1118"/>
      <c r="W1118"/>
      <c r="X1118"/>
      <c r="Y1118"/>
      <c r="Z1118"/>
      <c r="AA1118"/>
      <c r="AB1118"/>
      <c r="AL1118"/>
      <c r="AM1118"/>
      <c r="AN1118"/>
      <c r="AO1118"/>
    </row>
    <row r="1119" spans="1:41" s="2" customFormat="1" x14ac:dyDescent="0.2">
      <c r="A1119"/>
      <c r="B1119"/>
      <c r="C1119"/>
      <c r="D1119"/>
      <c r="E1119"/>
      <c r="F1119"/>
      <c r="G1119"/>
      <c r="U1119"/>
      <c r="V1119"/>
      <c r="W1119"/>
      <c r="X1119"/>
      <c r="Y1119"/>
      <c r="Z1119"/>
      <c r="AA1119"/>
      <c r="AB1119"/>
      <c r="AL1119"/>
      <c r="AM1119"/>
      <c r="AN1119"/>
      <c r="AO1119"/>
    </row>
    <row r="1120" spans="1:41" s="2" customFormat="1" x14ac:dyDescent="0.2">
      <c r="A1120"/>
      <c r="B1120"/>
      <c r="C1120"/>
      <c r="D1120"/>
      <c r="E1120"/>
      <c r="F1120"/>
      <c r="G1120"/>
      <c r="U1120"/>
      <c r="V1120"/>
      <c r="W1120"/>
      <c r="X1120"/>
      <c r="Y1120"/>
      <c r="Z1120"/>
      <c r="AA1120"/>
      <c r="AB1120"/>
      <c r="AL1120"/>
      <c r="AM1120"/>
      <c r="AN1120"/>
      <c r="AO1120"/>
    </row>
    <row r="1121" spans="1:41" s="2" customFormat="1" x14ac:dyDescent="0.2">
      <c r="A1121"/>
      <c r="B1121"/>
      <c r="C1121"/>
      <c r="D1121"/>
      <c r="E1121"/>
      <c r="F1121"/>
      <c r="G1121"/>
      <c r="U1121"/>
      <c r="V1121"/>
      <c r="W1121"/>
      <c r="X1121"/>
      <c r="Y1121"/>
      <c r="Z1121"/>
      <c r="AA1121"/>
      <c r="AB1121"/>
      <c r="AL1121"/>
      <c r="AM1121"/>
      <c r="AN1121"/>
      <c r="AO1121"/>
    </row>
    <row r="1122" spans="1:41" s="2" customFormat="1" x14ac:dyDescent="0.2">
      <c r="A1122"/>
      <c r="B1122"/>
      <c r="C1122"/>
      <c r="D1122"/>
      <c r="E1122"/>
      <c r="F1122"/>
      <c r="G1122"/>
      <c r="U1122"/>
      <c r="V1122"/>
      <c r="W1122"/>
      <c r="X1122"/>
      <c r="Y1122"/>
      <c r="Z1122"/>
      <c r="AA1122"/>
      <c r="AB1122"/>
      <c r="AL1122"/>
      <c r="AM1122"/>
      <c r="AN1122"/>
      <c r="AO1122"/>
    </row>
    <row r="1123" spans="1:41" s="2" customFormat="1" x14ac:dyDescent="0.2">
      <c r="A1123"/>
      <c r="B1123"/>
      <c r="C1123"/>
      <c r="D1123"/>
      <c r="E1123"/>
      <c r="F1123"/>
      <c r="G1123"/>
      <c r="U1123"/>
      <c r="V1123"/>
      <c r="W1123"/>
      <c r="X1123"/>
      <c r="Y1123"/>
      <c r="Z1123"/>
      <c r="AA1123"/>
      <c r="AB1123"/>
      <c r="AL1123"/>
      <c r="AM1123"/>
      <c r="AN1123"/>
      <c r="AO1123"/>
    </row>
    <row r="1124" spans="1:41" s="2" customFormat="1" x14ac:dyDescent="0.2">
      <c r="A1124"/>
      <c r="B1124"/>
      <c r="C1124"/>
      <c r="D1124"/>
      <c r="E1124"/>
      <c r="F1124"/>
      <c r="G1124"/>
      <c r="U1124"/>
      <c r="V1124"/>
      <c r="W1124"/>
      <c r="X1124"/>
      <c r="Y1124"/>
      <c r="Z1124"/>
      <c r="AA1124"/>
      <c r="AB1124"/>
      <c r="AL1124"/>
      <c r="AM1124"/>
      <c r="AN1124"/>
      <c r="AO1124"/>
    </row>
    <row r="1125" spans="1:41" s="2" customFormat="1" x14ac:dyDescent="0.2">
      <c r="A1125"/>
      <c r="B1125"/>
      <c r="C1125"/>
      <c r="D1125"/>
      <c r="E1125"/>
      <c r="F1125"/>
      <c r="G1125"/>
      <c r="U1125"/>
      <c r="V1125"/>
      <c r="W1125"/>
      <c r="X1125"/>
      <c r="Y1125"/>
      <c r="Z1125"/>
      <c r="AA1125"/>
      <c r="AB1125"/>
      <c r="AL1125"/>
      <c r="AM1125"/>
      <c r="AN1125"/>
      <c r="AO1125"/>
    </row>
    <row r="1126" spans="1:41" s="2" customFormat="1" x14ac:dyDescent="0.2">
      <c r="A1126"/>
      <c r="B1126"/>
      <c r="C1126"/>
      <c r="D1126"/>
      <c r="E1126"/>
      <c r="F1126"/>
      <c r="G1126"/>
      <c r="U1126"/>
      <c r="V1126"/>
      <c r="W1126"/>
      <c r="X1126"/>
      <c r="Y1126"/>
      <c r="Z1126"/>
      <c r="AA1126"/>
      <c r="AB1126"/>
      <c r="AL1126"/>
      <c r="AM1126"/>
      <c r="AN1126"/>
      <c r="AO1126"/>
    </row>
    <row r="1127" spans="1:41" s="2" customFormat="1" x14ac:dyDescent="0.2">
      <c r="A1127"/>
      <c r="B1127"/>
      <c r="C1127"/>
      <c r="D1127"/>
      <c r="E1127"/>
      <c r="F1127"/>
      <c r="G1127"/>
      <c r="U1127"/>
      <c r="V1127"/>
      <c r="W1127"/>
      <c r="X1127"/>
      <c r="Y1127"/>
      <c r="Z1127"/>
      <c r="AA1127"/>
      <c r="AB1127"/>
      <c r="AL1127"/>
      <c r="AM1127"/>
      <c r="AN1127"/>
      <c r="AO1127"/>
    </row>
    <row r="1128" spans="1:41" s="2" customFormat="1" x14ac:dyDescent="0.2">
      <c r="A1128"/>
      <c r="B1128"/>
      <c r="C1128"/>
      <c r="D1128"/>
      <c r="E1128"/>
      <c r="F1128"/>
      <c r="G1128"/>
      <c r="U1128"/>
      <c r="V1128"/>
      <c r="W1128"/>
      <c r="X1128"/>
      <c r="Y1128"/>
      <c r="Z1128"/>
      <c r="AA1128"/>
      <c r="AB1128"/>
      <c r="AL1128"/>
      <c r="AM1128"/>
      <c r="AN1128"/>
      <c r="AO1128"/>
    </row>
    <row r="1129" spans="1:41" s="2" customFormat="1" x14ac:dyDescent="0.2">
      <c r="A1129"/>
      <c r="B1129"/>
      <c r="C1129"/>
      <c r="D1129"/>
      <c r="E1129"/>
      <c r="F1129"/>
      <c r="G1129"/>
      <c r="U1129"/>
      <c r="V1129"/>
      <c r="W1129"/>
      <c r="X1129"/>
      <c r="Y1129"/>
      <c r="Z1129"/>
      <c r="AA1129"/>
      <c r="AB1129"/>
      <c r="AL1129"/>
      <c r="AM1129"/>
      <c r="AN1129"/>
      <c r="AO1129"/>
    </row>
    <row r="1130" spans="1:41" s="2" customFormat="1" x14ac:dyDescent="0.2">
      <c r="A1130"/>
      <c r="B1130"/>
      <c r="C1130"/>
      <c r="D1130"/>
      <c r="E1130"/>
      <c r="F1130"/>
      <c r="G1130"/>
      <c r="U1130"/>
      <c r="V1130"/>
      <c r="W1130"/>
      <c r="X1130"/>
      <c r="Y1130"/>
      <c r="Z1130"/>
      <c r="AA1130"/>
      <c r="AB1130"/>
      <c r="AL1130"/>
      <c r="AM1130"/>
      <c r="AN1130"/>
      <c r="AO1130"/>
    </row>
    <row r="1131" spans="1:41" s="2" customFormat="1" x14ac:dyDescent="0.2">
      <c r="A1131"/>
      <c r="B1131"/>
      <c r="C1131"/>
      <c r="D1131"/>
      <c r="E1131"/>
      <c r="F1131"/>
      <c r="G1131"/>
      <c r="U1131"/>
      <c r="V1131"/>
      <c r="W1131"/>
      <c r="X1131"/>
      <c r="Y1131"/>
      <c r="Z1131"/>
      <c r="AA1131"/>
      <c r="AB1131"/>
      <c r="AL1131"/>
      <c r="AM1131"/>
      <c r="AN1131"/>
      <c r="AO1131"/>
    </row>
    <row r="1132" spans="1:41" s="2" customFormat="1" x14ac:dyDescent="0.2">
      <c r="A1132"/>
      <c r="B1132"/>
      <c r="C1132"/>
      <c r="D1132"/>
      <c r="E1132"/>
      <c r="F1132"/>
      <c r="G1132"/>
      <c r="U1132"/>
      <c r="V1132"/>
      <c r="W1132"/>
      <c r="X1132"/>
      <c r="Y1132"/>
      <c r="Z1132"/>
      <c r="AA1132"/>
      <c r="AB1132"/>
      <c r="AL1132"/>
      <c r="AM1132"/>
      <c r="AN1132"/>
      <c r="AO1132"/>
    </row>
    <row r="1133" spans="1:41" s="2" customFormat="1" x14ac:dyDescent="0.2">
      <c r="A1133"/>
      <c r="B1133"/>
      <c r="C1133"/>
      <c r="D1133"/>
      <c r="E1133"/>
      <c r="F1133"/>
      <c r="G1133"/>
      <c r="U1133"/>
      <c r="V1133"/>
      <c r="W1133"/>
      <c r="X1133"/>
      <c r="Y1133"/>
      <c r="Z1133"/>
      <c r="AA1133"/>
      <c r="AB1133"/>
      <c r="AL1133"/>
      <c r="AM1133"/>
      <c r="AN1133"/>
      <c r="AO1133"/>
    </row>
    <row r="1134" spans="1:41" s="2" customFormat="1" x14ac:dyDescent="0.2">
      <c r="A1134"/>
      <c r="B1134"/>
      <c r="C1134"/>
      <c r="D1134"/>
      <c r="E1134"/>
      <c r="F1134"/>
      <c r="G1134"/>
      <c r="U1134"/>
      <c r="V1134"/>
      <c r="W1134"/>
      <c r="X1134"/>
      <c r="Y1134"/>
      <c r="Z1134"/>
      <c r="AA1134"/>
      <c r="AB1134"/>
      <c r="AL1134"/>
      <c r="AM1134"/>
      <c r="AN1134"/>
      <c r="AO1134"/>
    </row>
    <row r="1135" spans="1:41" s="2" customFormat="1" x14ac:dyDescent="0.2">
      <c r="A1135"/>
      <c r="B1135"/>
      <c r="C1135"/>
      <c r="D1135"/>
      <c r="E1135"/>
      <c r="F1135"/>
      <c r="G1135"/>
      <c r="U1135"/>
      <c r="V1135"/>
      <c r="W1135"/>
      <c r="X1135"/>
      <c r="Y1135"/>
      <c r="Z1135"/>
      <c r="AA1135"/>
      <c r="AB1135"/>
      <c r="AL1135"/>
      <c r="AM1135"/>
      <c r="AN1135"/>
      <c r="AO1135"/>
    </row>
    <row r="1136" spans="1:41" s="2" customFormat="1" x14ac:dyDescent="0.2">
      <c r="A1136"/>
      <c r="B1136"/>
      <c r="C1136"/>
      <c r="D1136"/>
      <c r="E1136"/>
      <c r="F1136"/>
      <c r="G1136"/>
      <c r="U1136"/>
      <c r="V1136"/>
      <c r="W1136"/>
      <c r="X1136"/>
      <c r="Y1136"/>
      <c r="Z1136"/>
      <c r="AA1136"/>
      <c r="AB1136"/>
      <c r="AL1136"/>
      <c r="AM1136"/>
      <c r="AN1136"/>
      <c r="AO1136"/>
    </row>
    <row r="1137" spans="1:41" s="2" customFormat="1" x14ac:dyDescent="0.2">
      <c r="A1137"/>
      <c r="B1137"/>
      <c r="C1137"/>
      <c r="D1137"/>
      <c r="E1137"/>
      <c r="F1137"/>
      <c r="G1137"/>
      <c r="U1137"/>
      <c r="V1137"/>
      <c r="W1137"/>
      <c r="X1137"/>
      <c r="Y1137"/>
      <c r="Z1137"/>
      <c r="AA1137"/>
      <c r="AB1137"/>
      <c r="AL1137"/>
      <c r="AM1137"/>
      <c r="AN1137"/>
      <c r="AO1137"/>
    </row>
    <row r="1138" spans="1:41" s="2" customFormat="1" x14ac:dyDescent="0.2">
      <c r="A1138"/>
      <c r="B1138"/>
      <c r="C1138"/>
      <c r="D1138"/>
      <c r="E1138"/>
      <c r="F1138"/>
      <c r="G1138"/>
      <c r="U1138"/>
      <c r="V1138"/>
      <c r="W1138"/>
      <c r="X1138"/>
      <c r="Y1138"/>
      <c r="Z1138"/>
      <c r="AA1138"/>
      <c r="AB1138"/>
      <c r="AL1138"/>
      <c r="AM1138"/>
      <c r="AN1138"/>
      <c r="AO1138"/>
    </row>
    <row r="1139" spans="1:41" s="2" customFormat="1" x14ac:dyDescent="0.2">
      <c r="A1139"/>
      <c r="B1139"/>
      <c r="C1139"/>
      <c r="D1139"/>
      <c r="E1139"/>
      <c r="F1139"/>
      <c r="G1139"/>
      <c r="U1139"/>
      <c r="V1139"/>
      <c r="W1139"/>
      <c r="X1139"/>
      <c r="Y1139"/>
      <c r="Z1139"/>
      <c r="AA1139"/>
      <c r="AB1139"/>
      <c r="AL1139"/>
      <c r="AM1139"/>
      <c r="AN1139"/>
      <c r="AO1139"/>
    </row>
    <row r="1140" spans="1:41" s="2" customFormat="1" x14ac:dyDescent="0.2">
      <c r="A1140"/>
      <c r="B1140"/>
      <c r="C1140"/>
      <c r="D1140"/>
      <c r="E1140"/>
      <c r="F1140"/>
      <c r="G1140"/>
      <c r="U1140"/>
      <c r="V1140"/>
      <c r="W1140"/>
      <c r="X1140"/>
      <c r="Y1140"/>
      <c r="Z1140"/>
      <c r="AA1140"/>
      <c r="AB1140"/>
      <c r="AL1140"/>
      <c r="AM1140"/>
      <c r="AN1140"/>
      <c r="AO1140"/>
    </row>
    <row r="1141" spans="1:41" s="2" customFormat="1" x14ac:dyDescent="0.2">
      <c r="A1141"/>
      <c r="B1141"/>
      <c r="C1141"/>
      <c r="D1141"/>
      <c r="E1141"/>
      <c r="F1141"/>
      <c r="G1141"/>
      <c r="U1141"/>
      <c r="V1141"/>
      <c r="W1141"/>
      <c r="X1141"/>
      <c r="Y1141"/>
      <c r="Z1141"/>
      <c r="AA1141"/>
      <c r="AB1141"/>
      <c r="AL1141"/>
      <c r="AM1141"/>
      <c r="AN1141"/>
      <c r="AO1141"/>
    </row>
    <row r="1142" spans="1:41" s="2" customFormat="1" x14ac:dyDescent="0.2">
      <c r="A1142"/>
      <c r="B1142"/>
      <c r="C1142"/>
      <c r="D1142"/>
      <c r="E1142"/>
      <c r="F1142"/>
      <c r="G1142"/>
      <c r="U1142"/>
      <c r="V1142"/>
      <c r="W1142"/>
      <c r="X1142"/>
      <c r="Y1142"/>
      <c r="Z1142"/>
      <c r="AA1142"/>
      <c r="AB1142"/>
      <c r="AL1142"/>
      <c r="AM1142"/>
      <c r="AN1142"/>
      <c r="AO1142"/>
    </row>
    <row r="1143" spans="1:41" s="2" customFormat="1" x14ac:dyDescent="0.2">
      <c r="A1143"/>
      <c r="B1143"/>
      <c r="C1143"/>
      <c r="D1143"/>
      <c r="E1143"/>
      <c r="F1143"/>
      <c r="G1143"/>
      <c r="U1143"/>
      <c r="V1143"/>
      <c r="W1143"/>
      <c r="X1143"/>
      <c r="Y1143"/>
      <c r="Z1143"/>
      <c r="AA1143"/>
      <c r="AB1143"/>
      <c r="AL1143"/>
      <c r="AM1143"/>
      <c r="AN1143"/>
      <c r="AO1143"/>
    </row>
    <row r="1144" spans="1:41" s="2" customFormat="1" x14ac:dyDescent="0.2">
      <c r="A1144"/>
      <c r="B1144"/>
      <c r="C1144"/>
      <c r="D1144"/>
      <c r="E1144"/>
      <c r="F1144"/>
      <c r="G1144"/>
      <c r="U1144"/>
      <c r="V1144"/>
      <c r="W1144"/>
      <c r="X1144"/>
      <c r="Y1144"/>
      <c r="Z1144"/>
      <c r="AA1144"/>
      <c r="AB1144"/>
      <c r="AL1144"/>
      <c r="AM1144"/>
      <c r="AN1144"/>
      <c r="AO1144"/>
    </row>
    <row r="1145" spans="1:41" s="2" customFormat="1" x14ac:dyDescent="0.2">
      <c r="A1145"/>
      <c r="B1145"/>
      <c r="C1145"/>
      <c r="D1145"/>
      <c r="E1145"/>
      <c r="F1145"/>
      <c r="G1145"/>
      <c r="U1145"/>
      <c r="V1145"/>
      <c r="W1145"/>
      <c r="X1145"/>
      <c r="Y1145"/>
      <c r="Z1145"/>
      <c r="AA1145"/>
      <c r="AB1145"/>
      <c r="AL1145"/>
      <c r="AM1145"/>
      <c r="AN1145"/>
      <c r="AO1145"/>
    </row>
    <row r="1146" spans="1:41" s="2" customFormat="1" x14ac:dyDescent="0.2">
      <c r="A1146"/>
      <c r="B1146"/>
      <c r="C1146"/>
      <c r="D1146"/>
      <c r="E1146"/>
      <c r="F1146"/>
      <c r="G1146"/>
      <c r="U1146"/>
      <c r="V1146"/>
      <c r="W1146"/>
      <c r="X1146"/>
      <c r="Y1146"/>
      <c r="Z1146"/>
      <c r="AA1146"/>
      <c r="AB1146"/>
      <c r="AL1146"/>
      <c r="AM1146"/>
      <c r="AN1146"/>
      <c r="AO1146"/>
    </row>
    <row r="1147" spans="1:41" s="2" customFormat="1" x14ac:dyDescent="0.2">
      <c r="A1147"/>
      <c r="B1147"/>
      <c r="C1147"/>
      <c r="D1147"/>
      <c r="E1147"/>
      <c r="F1147"/>
      <c r="G1147"/>
      <c r="U1147"/>
      <c r="V1147"/>
      <c r="W1147"/>
      <c r="X1147"/>
      <c r="Y1147"/>
      <c r="Z1147"/>
      <c r="AA1147"/>
      <c r="AB1147"/>
      <c r="AL1147"/>
      <c r="AM1147"/>
      <c r="AN1147"/>
      <c r="AO1147"/>
    </row>
    <row r="1148" spans="1:41" s="2" customFormat="1" x14ac:dyDescent="0.2">
      <c r="A1148"/>
      <c r="B1148"/>
      <c r="C1148"/>
      <c r="D1148"/>
      <c r="E1148"/>
      <c r="F1148"/>
      <c r="G1148"/>
      <c r="U1148"/>
      <c r="V1148"/>
      <c r="W1148"/>
      <c r="X1148"/>
      <c r="Y1148"/>
      <c r="Z1148"/>
      <c r="AA1148"/>
      <c r="AB1148"/>
      <c r="AL1148"/>
      <c r="AM1148"/>
      <c r="AN1148"/>
      <c r="AO1148"/>
    </row>
    <row r="1149" spans="1:41" s="2" customFormat="1" x14ac:dyDescent="0.2">
      <c r="A1149"/>
      <c r="B1149"/>
      <c r="C1149"/>
      <c r="D1149"/>
      <c r="E1149"/>
      <c r="F1149"/>
      <c r="G1149"/>
      <c r="U1149"/>
      <c r="V1149"/>
      <c r="W1149"/>
      <c r="X1149"/>
      <c r="Y1149"/>
      <c r="Z1149"/>
      <c r="AA1149"/>
      <c r="AB1149"/>
      <c r="AL1149"/>
      <c r="AM1149"/>
      <c r="AN1149"/>
      <c r="AO1149"/>
    </row>
    <row r="1150" spans="1:41" s="2" customFormat="1" x14ac:dyDescent="0.2">
      <c r="A1150"/>
      <c r="B1150"/>
      <c r="C1150"/>
      <c r="D1150"/>
      <c r="E1150"/>
      <c r="F1150"/>
      <c r="G1150"/>
      <c r="U1150"/>
      <c r="V1150"/>
      <c r="W1150"/>
      <c r="X1150"/>
      <c r="Y1150"/>
      <c r="Z1150"/>
      <c r="AA1150"/>
      <c r="AB1150"/>
      <c r="AL1150"/>
      <c r="AM1150"/>
      <c r="AN1150"/>
      <c r="AO1150"/>
    </row>
    <row r="1151" spans="1:41" s="2" customFormat="1" x14ac:dyDescent="0.2">
      <c r="A1151"/>
      <c r="B1151"/>
      <c r="C1151"/>
      <c r="D1151"/>
      <c r="E1151"/>
      <c r="F1151"/>
      <c r="G1151"/>
      <c r="U1151"/>
      <c r="V1151"/>
      <c r="W1151"/>
      <c r="X1151"/>
      <c r="Y1151"/>
      <c r="Z1151"/>
      <c r="AA1151"/>
      <c r="AB1151"/>
      <c r="AL1151"/>
      <c r="AM1151"/>
      <c r="AN1151"/>
      <c r="AO1151"/>
    </row>
    <row r="1152" spans="1:41" s="2" customFormat="1" x14ac:dyDescent="0.2">
      <c r="A1152"/>
      <c r="B1152"/>
      <c r="C1152"/>
      <c r="D1152"/>
      <c r="E1152"/>
      <c r="F1152"/>
      <c r="G1152"/>
      <c r="U1152"/>
      <c r="V1152"/>
      <c r="W1152"/>
      <c r="X1152"/>
      <c r="Y1152"/>
      <c r="Z1152"/>
      <c r="AA1152"/>
      <c r="AB1152"/>
      <c r="AL1152"/>
      <c r="AM1152"/>
      <c r="AN1152"/>
      <c r="AO1152"/>
    </row>
    <row r="1153" spans="1:41" s="2" customFormat="1" x14ac:dyDescent="0.2">
      <c r="A1153"/>
      <c r="B1153"/>
      <c r="C1153"/>
      <c r="D1153"/>
      <c r="E1153"/>
      <c r="F1153"/>
      <c r="G1153"/>
      <c r="U1153"/>
      <c r="V1153"/>
      <c r="W1153"/>
      <c r="X1153"/>
      <c r="Y1153"/>
      <c r="Z1153"/>
      <c r="AA1153"/>
      <c r="AB1153"/>
      <c r="AL1153"/>
      <c r="AM1153"/>
      <c r="AN1153"/>
      <c r="AO1153"/>
    </row>
    <row r="1154" spans="1:41" s="2" customFormat="1" x14ac:dyDescent="0.2">
      <c r="A1154"/>
      <c r="B1154"/>
      <c r="C1154"/>
      <c r="D1154"/>
      <c r="E1154"/>
      <c r="F1154"/>
      <c r="G1154"/>
      <c r="U1154"/>
      <c r="V1154"/>
      <c r="W1154"/>
      <c r="X1154"/>
      <c r="Y1154"/>
      <c r="Z1154"/>
      <c r="AA1154"/>
      <c r="AB1154"/>
      <c r="AL1154"/>
      <c r="AM1154"/>
      <c r="AN1154"/>
      <c r="AO1154"/>
    </row>
    <row r="1155" spans="1:41" s="2" customFormat="1" x14ac:dyDescent="0.2">
      <c r="A1155"/>
      <c r="B1155"/>
      <c r="C1155"/>
      <c r="D1155"/>
      <c r="E1155"/>
      <c r="F1155"/>
      <c r="G1155"/>
      <c r="U1155"/>
      <c r="V1155"/>
      <c r="W1155"/>
      <c r="X1155"/>
      <c r="Y1155"/>
      <c r="Z1155"/>
      <c r="AA1155"/>
      <c r="AB1155"/>
      <c r="AL1155"/>
      <c r="AM1155"/>
      <c r="AN1155"/>
      <c r="AO1155"/>
    </row>
    <row r="1156" spans="1:41" s="2" customFormat="1" x14ac:dyDescent="0.2">
      <c r="A1156"/>
      <c r="B1156"/>
      <c r="C1156"/>
      <c r="D1156"/>
      <c r="E1156"/>
      <c r="F1156"/>
      <c r="G1156"/>
      <c r="U1156"/>
      <c r="V1156"/>
      <c r="W1156"/>
      <c r="X1156"/>
      <c r="Y1156"/>
      <c r="Z1156"/>
      <c r="AA1156"/>
      <c r="AB1156"/>
      <c r="AL1156"/>
      <c r="AM1156"/>
      <c r="AN1156"/>
      <c r="AO1156"/>
    </row>
    <row r="1157" spans="1:41" s="2" customFormat="1" x14ac:dyDescent="0.2">
      <c r="A1157"/>
      <c r="B1157"/>
      <c r="C1157"/>
      <c r="D1157"/>
      <c r="E1157"/>
      <c r="F1157"/>
      <c r="G1157"/>
      <c r="U1157"/>
      <c r="V1157"/>
      <c r="W1157"/>
      <c r="X1157"/>
      <c r="Y1157"/>
      <c r="Z1157"/>
      <c r="AA1157"/>
      <c r="AB1157"/>
      <c r="AL1157"/>
      <c r="AM1157"/>
      <c r="AN1157"/>
      <c r="AO1157"/>
    </row>
    <row r="1158" spans="1:41" s="2" customFormat="1" x14ac:dyDescent="0.2">
      <c r="A1158"/>
      <c r="B1158"/>
      <c r="C1158"/>
      <c r="D1158"/>
      <c r="E1158"/>
      <c r="F1158"/>
      <c r="G1158"/>
      <c r="U1158"/>
      <c r="V1158"/>
      <c r="W1158"/>
      <c r="X1158"/>
      <c r="Y1158"/>
      <c r="Z1158"/>
      <c r="AA1158"/>
      <c r="AB1158"/>
      <c r="AL1158"/>
      <c r="AM1158"/>
      <c r="AN1158"/>
      <c r="AO1158"/>
    </row>
    <row r="1159" spans="1:41" s="2" customFormat="1" x14ac:dyDescent="0.2">
      <c r="A1159"/>
      <c r="B1159"/>
      <c r="C1159"/>
      <c r="D1159"/>
      <c r="E1159"/>
      <c r="F1159"/>
      <c r="G1159"/>
      <c r="U1159"/>
      <c r="V1159"/>
      <c r="W1159"/>
      <c r="X1159"/>
      <c r="Y1159"/>
      <c r="Z1159"/>
      <c r="AA1159"/>
      <c r="AB1159"/>
      <c r="AL1159"/>
      <c r="AM1159"/>
      <c r="AN1159"/>
      <c r="AO1159"/>
    </row>
    <row r="1160" spans="1:41" s="2" customFormat="1" x14ac:dyDescent="0.2">
      <c r="A1160"/>
      <c r="B1160"/>
      <c r="C1160"/>
      <c r="D1160"/>
      <c r="E1160"/>
      <c r="F1160"/>
      <c r="G1160"/>
      <c r="U1160"/>
      <c r="V1160"/>
      <c r="W1160"/>
      <c r="X1160"/>
      <c r="Y1160"/>
      <c r="Z1160"/>
      <c r="AA1160"/>
      <c r="AB1160"/>
      <c r="AL1160"/>
      <c r="AM1160"/>
      <c r="AN1160"/>
      <c r="AO1160"/>
    </row>
    <row r="1161" spans="1:41" s="2" customFormat="1" x14ac:dyDescent="0.2">
      <c r="A1161"/>
      <c r="B1161"/>
      <c r="C1161"/>
      <c r="D1161"/>
      <c r="E1161"/>
      <c r="F1161"/>
      <c r="G1161"/>
      <c r="U1161"/>
      <c r="V1161"/>
      <c r="W1161"/>
      <c r="X1161"/>
      <c r="Y1161"/>
      <c r="Z1161"/>
      <c r="AA1161"/>
      <c r="AB1161"/>
      <c r="AL1161"/>
      <c r="AM1161"/>
      <c r="AN1161"/>
      <c r="AO1161"/>
    </row>
    <row r="1162" spans="1:41" s="2" customFormat="1" x14ac:dyDescent="0.2">
      <c r="A1162"/>
      <c r="B1162"/>
      <c r="C1162"/>
      <c r="D1162"/>
      <c r="E1162"/>
      <c r="F1162"/>
      <c r="G1162"/>
      <c r="U1162"/>
      <c r="V1162"/>
      <c r="W1162"/>
      <c r="X1162"/>
      <c r="Y1162"/>
      <c r="Z1162"/>
      <c r="AA1162"/>
      <c r="AB1162"/>
      <c r="AL1162"/>
      <c r="AM1162"/>
      <c r="AN1162"/>
      <c r="AO1162"/>
    </row>
    <row r="1163" spans="1:41" s="2" customFormat="1" x14ac:dyDescent="0.2">
      <c r="A1163"/>
      <c r="B1163"/>
      <c r="C1163"/>
      <c r="D1163"/>
      <c r="E1163"/>
      <c r="F1163"/>
      <c r="G1163"/>
      <c r="U1163"/>
      <c r="V1163"/>
      <c r="W1163"/>
      <c r="X1163"/>
      <c r="Y1163"/>
      <c r="Z1163"/>
      <c r="AA1163"/>
      <c r="AB1163"/>
      <c r="AL1163"/>
      <c r="AM1163"/>
      <c r="AN1163"/>
      <c r="AO1163"/>
    </row>
    <row r="1164" spans="1:41" s="2" customFormat="1" x14ac:dyDescent="0.2">
      <c r="A1164"/>
      <c r="B1164"/>
      <c r="C1164"/>
      <c r="D1164"/>
      <c r="E1164"/>
      <c r="F1164"/>
      <c r="G1164"/>
      <c r="U1164"/>
      <c r="V1164"/>
      <c r="W1164"/>
      <c r="X1164"/>
      <c r="Y1164"/>
      <c r="Z1164"/>
      <c r="AA1164"/>
      <c r="AB1164"/>
      <c r="AL1164"/>
      <c r="AM1164"/>
      <c r="AN1164"/>
      <c r="AO1164"/>
    </row>
    <row r="1165" spans="1:41" s="2" customFormat="1" x14ac:dyDescent="0.2">
      <c r="A1165"/>
      <c r="B1165"/>
      <c r="C1165"/>
      <c r="D1165"/>
      <c r="E1165"/>
      <c r="F1165"/>
      <c r="G1165"/>
      <c r="U1165"/>
      <c r="V1165"/>
      <c r="W1165"/>
      <c r="X1165"/>
      <c r="Y1165"/>
      <c r="Z1165"/>
      <c r="AA1165"/>
      <c r="AB1165"/>
      <c r="AL1165"/>
      <c r="AM1165"/>
      <c r="AN1165"/>
      <c r="AO1165"/>
    </row>
    <row r="1166" spans="1:41" s="2" customFormat="1" x14ac:dyDescent="0.2">
      <c r="A1166"/>
      <c r="B1166"/>
      <c r="C1166"/>
      <c r="D1166"/>
      <c r="E1166"/>
      <c r="F1166"/>
      <c r="G1166"/>
      <c r="U1166"/>
      <c r="V1166"/>
      <c r="W1166"/>
      <c r="X1166"/>
      <c r="Y1166"/>
      <c r="Z1166"/>
      <c r="AA1166"/>
      <c r="AB1166"/>
      <c r="AL1166"/>
      <c r="AM1166"/>
      <c r="AN1166"/>
      <c r="AO1166"/>
    </row>
    <row r="1167" spans="1:41" s="2" customFormat="1" x14ac:dyDescent="0.2">
      <c r="A1167"/>
      <c r="B1167"/>
      <c r="C1167"/>
      <c r="D1167"/>
      <c r="E1167"/>
      <c r="F1167"/>
      <c r="G1167"/>
      <c r="U1167"/>
      <c r="V1167"/>
      <c r="W1167"/>
      <c r="X1167"/>
      <c r="Y1167"/>
      <c r="Z1167"/>
      <c r="AA1167"/>
      <c r="AB1167"/>
      <c r="AL1167"/>
      <c r="AM1167"/>
      <c r="AN1167"/>
      <c r="AO1167"/>
    </row>
    <row r="1168" spans="1:41" s="2" customFormat="1" x14ac:dyDescent="0.2">
      <c r="A1168"/>
      <c r="B1168"/>
      <c r="C1168"/>
      <c r="D1168"/>
      <c r="E1168"/>
      <c r="F1168"/>
      <c r="G1168"/>
      <c r="U1168"/>
      <c r="V1168"/>
      <c r="W1168"/>
      <c r="X1168"/>
      <c r="Y1168"/>
      <c r="Z1168"/>
      <c r="AA1168"/>
      <c r="AB1168"/>
      <c r="AL1168"/>
      <c r="AM1168"/>
      <c r="AN1168"/>
      <c r="AO1168"/>
    </row>
    <row r="1169" spans="1:41" s="2" customFormat="1" x14ac:dyDescent="0.2">
      <c r="A1169"/>
      <c r="B1169"/>
      <c r="C1169"/>
      <c r="D1169"/>
      <c r="E1169"/>
      <c r="F1169"/>
      <c r="G1169"/>
      <c r="U1169"/>
      <c r="V1169"/>
      <c r="W1169"/>
      <c r="X1169"/>
      <c r="Y1169"/>
      <c r="Z1169"/>
      <c r="AA1169"/>
      <c r="AB1169"/>
      <c r="AL1169"/>
      <c r="AM1169"/>
      <c r="AN1169"/>
      <c r="AO1169"/>
    </row>
    <row r="1170" spans="1:41" s="2" customFormat="1" x14ac:dyDescent="0.2">
      <c r="A1170"/>
      <c r="B1170"/>
      <c r="C1170"/>
      <c r="D1170"/>
      <c r="E1170"/>
      <c r="F1170"/>
      <c r="G1170"/>
      <c r="U1170"/>
      <c r="V1170"/>
      <c r="W1170"/>
      <c r="X1170"/>
      <c r="Y1170"/>
      <c r="Z1170"/>
      <c r="AA1170"/>
      <c r="AB1170"/>
      <c r="AL1170"/>
      <c r="AM1170"/>
      <c r="AN1170"/>
      <c r="AO1170"/>
    </row>
    <row r="1171" spans="1:41" s="2" customFormat="1" x14ac:dyDescent="0.2">
      <c r="A1171"/>
      <c r="B1171"/>
      <c r="C1171"/>
      <c r="D1171"/>
      <c r="E1171"/>
      <c r="F1171"/>
      <c r="G1171"/>
      <c r="U1171"/>
      <c r="V1171"/>
      <c r="W1171"/>
      <c r="X1171"/>
      <c r="Y1171"/>
      <c r="Z1171"/>
      <c r="AA1171"/>
      <c r="AB1171"/>
      <c r="AL1171"/>
      <c r="AM1171"/>
      <c r="AN1171"/>
      <c r="AO1171"/>
    </row>
    <row r="1172" spans="1:41" s="2" customFormat="1" x14ac:dyDescent="0.2">
      <c r="A1172"/>
      <c r="B1172"/>
      <c r="C1172"/>
      <c r="D1172"/>
      <c r="E1172"/>
      <c r="F1172"/>
      <c r="G1172"/>
      <c r="U1172"/>
      <c r="V1172"/>
      <c r="W1172"/>
      <c r="X1172"/>
      <c r="Y1172"/>
      <c r="Z1172"/>
      <c r="AA1172"/>
      <c r="AB1172"/>
      <c r="AL1172"/>
      <c r="AM1172"/>
      <c r="AN1172"/>
      <c r="AO1172"/>
    </row>
    <row r="1173" spans="1:41" s="2" customFormat="1" x14ac:dyDescent="0.2">
      <c r="A1173"/>
      <c r="B1173"/>
      <c r="C1173"/>
      <c r="D1173"/>
      <c r="E1173"/>
      <c r="F1173"/>
      <c r="G1173"/>
      <c r="U1173"/>
      <c r="V1173"/>
      <c r="W1173"/>
      <c r="X1173"/>
      <c r="Y1173"/>
      <c r="Z1173"/>
      <c r="AA1173"/>
      <c r="AB1173"/>
      <c r="AL1173"/>
      <c r="AM1173"/>
      <c r="AN1173"/>
      <c r="AO1173"/>
    </row>
    <row r="1174" spans="1:41" s="2" customFormat="1" x14ac:dyDescent="0.2">
      <c r="A1174"/>
      <c r="B1174"/>
      <c r="C1174"/>
      <c r="D1174"/>
      <c r="E1174"/>
      <c r="F1174"/>
      <c r="G1174"/>
      <c r="U1174"/>
      <c r="V1174"/>
      <c r="W1174"/>
      <c r="X1174"/>
      <c r="Y1174"/>
      <c r="Z1174"/>
      <c r="AA1174"/>
      <c r="AB1174"/>
      <c r="AL1174"/>
      <c r="AM1174"/>
      <c r="AN1174"/>
      <c r="AO1174"/>
    </row>
    <row r="1175" spans="1:41" s="2" customFormat="1" x14ac:dyDescent="0.2">
      <c r="A1175"/>
      <c r="B1175"/>
      <c r="C1175"/>
      <c r="D1175"/>
      <c r="E1175"/>
      <c r="F1175"/>
      <c r="G1175"/>
      <c r="U1175"/>
      <c r="V1175"/>
      <c r="W1175"/>
      <c r="X1175"/>
      <c r="Y1175"/>
      <c r="Z1175"/>
      <c r="AA1175"/>
      <c r="AB1175"/>
      <c r="AL1175"/>
      <c r="AM1175"/>
      <c r="AN1175"/>
      <c r="AO1175"/>
    </row>
    <row r="1176" spans="1:41" s="2" customFormat="1" x14ac:dyDescent="0.2">
      <c r="A1176"/>
      <c r="B1176"/>
      <c r="C1176"/>
      <c r="D1176"/>
      <c r="E1176"/>
      <c r="F1176"/>
      <c r="G1176"/>
      <c r="U1176"/>
      <c r="V1176"/>
      <c r="W1176"/>
      <c r="X1176"/>
      <c r="Y1176"/>
      <c r="Z1176"/>
      <c r="AA1176"/>
      <c r="AB1176"/>
      <c r="AL1176"/>
      <c r="AM1176"/>
      <c r="AN1176"/>
      <c r="AO1176"/>
    </row>
    <row r="1177" spans="1:41" s="2" customFormat="1" x14ac:dyDescent="0.2">
      <c r="A1177"/>
      <c r="B1177"/>
      <c r="C1177"/>
      <c r="D1177"/>
      <c r="E1177"/>
      <c r="F1177"/>
      <c r="G1177"/>
      <c r="U1177"/>
      <c r="V1177"/>
      <c r="W1177"/>
      <c r="X1177"/>
      <c r="Y1177"/>
      <c r="Z1177"/>
      <c r="AA1177"/>
      <c r="AB1177"/>
      <c r="AL1177"/>
      <c r="AM1177"/>
      <c r="AN1177"/>
      <c r="AO1177"/>
    </row>
    <row r="1178" spans="1:41" s="2" customFormat="1" x14ac:dyDescent="0.2">
      <c r="A1178"/>
      <c r="B1178"/>
      <c r="C1178"/>
      <c r="D1178"/>
      <c r="E1178"/>
      <c r="F1178"/>
      <c r="G1178"/>
      <c r="U1178"/>
      <c r="V1178"/>
      <c r="W1178"/>
      <c r="X1178"/>
      <c r="Y1178"/>
      <c r="Z1178"/>
      <c r="AA1178"/>
      <c r="AB1178"/>
      <c r="AL1178"/>
      <c r="AM1178"/>
      <c r="AN1178"/>
      <c r="AO1178"/>
    </row>
    <row r="1179" spans="1:41" s="2" customFormat="1" x14ac:dyDescent="0.2">
      <c r="A1179"/>
      <c r="B1179"/>
      <c r="C1179"/>
      <c r="D1179"/>
      <c r="E1179"/>
      <c r="F1179"/>
      <c r="G1179"/>
      <c r="U1179"/>
      <c r="V1179"/>
      <c r="W1179"/>
      <c r="X1179"/>
      <c r="Y1179"/>
      <c r="Z1179"/>
      <c r="AA1179"/>
      <c r="AB1179"/>
      <c r="AL1179"/>
      <c r="AM1179"/>
      <c r="AN1179"/>
      <c r="AO1179"/>
    </row>
    <row r="1180" spans="1:41" s="2" customFormat="1" x14ac:dyDescent="0.2">
      <c r="A1180"/>
      <c r="B1180"/>
      <c r="C1180"/>
      <c r="D1180"/>
      <c r="E1180"/>
      <c r="F1180"/>
      <c r="G1180"/>
      <c r="U1180"/>
      <c r="V1180"/>
      <c r="W1180"/>
      <c r="X1180"/>
      <c r="Y1180"/>
      <c r="Z1180"/>
      <c r="AA1180"/>
      <c r="AB1180"/>
      <c r="AL1180"/>
      <c r="AM1180"/>
      <c r="AN1180"/>
      <c r="AO1180"/>
    </row>
    <row r="1181" spans="1:41" s="2" customFormat="1" x14ac:dyDescent="0.2">
      <c r="A1181"/>
      <c r="B1181"/>
      <c r="C1181"/>
      <c r="D1181"/>
      <c r="E1181"/>
      <c r="F1181"/>
      <c r="G1181"/>
      <c r="U1181"/>
      <c r="V1181"/>
      <c r="W1181"/>
      <c r="X1181"/>
      <c r="Y1181"/>
      <c r="Z1181"/>
      <c r="AA1181"/>
      <c r="AB1181"/>
      <c r="AL1181"/>
      <c r="AM1181"/>
      <c r="AN1181"/>
      <c r="AO1181"/>
    </row>
    <row r="1182" spans="1:41" s="2" customFormat="1" x14ac:dyDescent="0.2">
      <c r="A1182"/>
      <c r="B1182"/>
      <c r="C1182"/>
      <c r="D1182"/>
      <c r="E1182"/>
      <c r="F1182"/>
      <c r="G1182"/>
      <c r="U1182"/>
      <c r="V1182"/>
      <c r="W1182"/>
      <c r="X1182"/>
      <c r="Y1182"/>
      <c r="Z1182"/>
      <c r="AA1182"/>
      <c r="AB1182"/>
      <c r="AL1182"/>
      <c r="AM1182"/>
      <c r="AN1182"/>
      <c r="AO1182"/>
    </row>
    <row r="1183" spans="1:41" s="2" customFormat="1" x14ac:dyDescent="0.2">
      <c r="A1183"/>
      <c r="B1183"/>
      <c r="C1183"/>
      <c r="D1183"/>
      <c r="E1183"/>
      <c r="F1183"/>
      <c r="G1183"/>
      <c r="U1183"/>
      <c r="V1183"/>
      <c r="W1183"/>
      <c r="X1183"/>
      <c r="Y1183"/>
      <c r="Z1183"/>
      <c r="AA1183"/>
      <c r="AB1183"/>
      <c r="AL1183"/>
      <c r="AM1183"/>
      <c r="AN1183"/>
      <c r="AO1183"/>
    </row>
    <row r="1184" spans="1:41" s="2" customFormat="1" x14ac:dyDescent="0.2">
      <c r="A1184"/>
      <c r="B1184"/>
      <c r="C1184"/>
      <c r="D1184"/>
      <c r="E1184"/>
      <c r="F1184"/>
      <c r="G1184"/>
      <c r="U1184"/>
      <c r="V1184"/>
      <c r="W1184"/>
      <c r="X1184"/>
      <c r="Y1184"/>
      <c r="Z1184"/>
      <c r="AA1184"/>
      <c r="AB1184"/>
      <c r="AL1184"/>
      <c r="AM1184"/>
      <c r="AN1184"/>
      <c r="AO1184"/>
    </row>
    <row r="1185" spans="1:41" s="2" customFormat="1" x14ac:dyDescent="0.2">
      <c r="A1185"/>
      <c r="B1185"/>
      <c r="C1185"/>
      <c r="D1185"/>
      <c r="E1185"/>
      <c r="F1185"/>
      <c r="G1185"/>
      <c r="U1185"/>
      <c r="V1185"/>
      <c r="W1185"/>
      <c r="X1185"/>
      <c r="Y1185"/>
      <c r="Z1185"/>
      <c r="AA1185"/>
      <c r="AB1185"/>
      <c r="AL1185"/>
      <c r="AM1185"/>
      <c r="AN1185"/>
      <c r="AO1185"/>
    </row>
    <row r="1186" spans="1:41" s="2" customFormat="1" x14ac:dyDescent="0.2">
      <c r="A1186"/>
      <c r="B1186"/>
      <c r="C1186"/>
      <c r="D1186"/>
      <c r="E1186"/>
      <c r="F1186"/>
      <c r="G1186"/>
      <c r="U1186"/>
      <c r="V1186"/>
      <c r="W1186"/>
      <c r="X1186"/>
      <c r="Y1186"/>
      <c r="Z1186"/>
      <c r="AA1186"/>
      <c r="AB1186"/>
      <c r="AL1186"/>
      <c r="AM1186"/>
      <c r="AN1186"/>
      <c r="AO1186"/>
    </row>
    <row r="1187" spans="1:41" s="2" customFormat="1" x14ac:dyDescent="0.2">
      <c r="A1187"/>
      <c r="B1187"/>
      <c r="C1187"/>
      <c r="D1187"/>
      <c r="E1187"/>
      <c r="F1187"/>
      <c r="G1187"/>
      <c r="U1187"/>
      <c r="V1187"/>
      <c r="W1187"/>
      <c r="X1187"/>
      <c r="Y1187"/>
      <c r="Z1187"/>
      <c r="AA1187"/>
      <c r="AB1187"/>
      <c r="AL1187"/>
      <c r="AM1187"/>
      <c r="AN1187"/>
      <c r="AO1187"/>
    </row>
    <row r="1188" spans="1:41" s="2" customFormat="1" x14ac:dyDescent="0.2">
      <c r="A1188"/>
      <c r="B1188"/>
      <c r="C1188"/>
      <c r="D1188"/>
      <c r="E1188"/>
      <c r="F1188"/>
      <c r="G1188"/>
      <c r="U1188"/>
      <c r="V1188"/>
      <c r="W1188"/>
      <c r="X1188"/>
      <c r="Y1188"/>
      <c r="Z1188"/>
      <c r="AA1188"/>
      <c r="AB1188"/>
      <c r="AL1188"/>
      <c r="AM1188"/>
      <c r="AN1188"/>
      <c r="AO1188"/>
    </row>
    <row r="1189" spans="1:41" s="2" customFormat="1" x14ac:dyDescent="0.2">
      <c r="A1189"/>
      <c r="B1189"/>
      <c r="C1189"/>
      <c r="D1189"/>
      <c r="E1189"/>
      <c r="F1189"/>
      <c r="G1189"/>
      <c r="U1189"/>
      <c r="V1189"/>
      <c r="W1189"/>
      <c r="X1189"/>
      <c r="Y1189"/>
      <c r="Z1189"/>
      <c r="AA1189"/>
      <c r="AB1189"/>
      <c r="AL1189"/>
      <c r="AM1189"/>
      <c r="AN1189"/>
      <c r="AO1189"/>
    </row>
    <row r="1190" spans="1:41" s="2" customFormat="1" x14ac:dyDescent="0.2">
      <c r="A1190"/>
      <c r="B1190"/>
      <c r="C1190"/>
      <c r="D1190"/>
      <c r="E1190"/>
      <c r="F1190"/>
      <c r="G1190"/>
      <c r="U1190"/>
      <c r="V1190"/>
      <c r="W1190"/>
      <c r="X1190"/>
      <c r="Y1190"/>
      <c r="Z1190"/>
      <c r="AA1190"/>
      <c r="AB1190"/>
      <c r="AL1190"/>
      <c r="AM1190"/>
      <c r="AN1190"/>
      <c r="AO1190"/>
    </row>
    <row r="1191" spans="1:41" s="2" customFormat="1" x14ac:dyDescent="0.2">
      <c r="A1191"/>
      <c r="B1191"/>
      <c r="C1191"/>
      <c r="D1191"/>
      <c r="E1191"/>
      <c r="F1191"/>
      <c r="G1191"/>
      <c r="U1191"/>
      <c r="V1191"/>
      <c r="W1191"/>
      <c r="X1191"/>
      <c r="Y1191"/>
      <c r="Z1191"/>
      <c r="AA1191"/>
      <c r="AB1191"/>
      <c r="AL1191"/>
      <c r="AM1191"/>
      <c r="AN1191"/>
      <c r="AO1191"/>
    </row>
    <row r="1192" spans="1:41" s="2" customFormat="1" x14ac:dyDescent="0.2">
      <c r="A1192"/>
      <c r="B1192"/>
      <c r="C1192"/>
      <c r="D1192"/>
      <c r="E1192"/>
      <c r="F1192"/>
      <c r="G1192"/>
      <c r="U1192"/>
      <c r="V1192"/>
      <c r="W1192"/>
      <c r="X1192"/>
      <c r="Y1192"/>
      <c r="Z1192"/>
      <c r="AA1192"/>
      <c r="AB1192"/>
      <c r="AL1192"/>
      <c r="AM1192"/>
      <c r="AN1192"/>
      <c r="AO1192"/>
    </row>
    <row r="1193" spans="1:41" s="2" customFormat="1" x14ac:dyDescent="0.2">
      <c r="A1193"/>
      <c r="B1193"/>
      <c r="C1193"/>
      <c r="D1193"/>
      <c r="E1193"/>
      <c r="F1193"/>
      <c r="G1193"/>
      <c r="U1193"/>
      <c r="V1193"/>
      <c r="W1193"/>
      <c r="X1193"/>
      <c r="Y1193"/>
      <c r="Z1193"/>
      <c r="AA1193"/>
      <c r="AB1193"/>
      <c r="AL1193"/>
      <c r="AM1193"/>
      <c r="AN1193"/>
      <c r="AO1193"/>
    </row>
    <row r="1194" spans="1:41" s="2" customFormat="1" x14ac:dyDescent="0.2">
      <c r="A1194"/>
      <c r="B1194"/>
      <c r="C1194"/>
      <c r="D1194"/>
      <c r="E1194"/>
      <c r="F1194"/>
      <c r="G1194"/>
      <c r="U1194"/>
      <c r="V1194"/>
      <c r="W1194"/>
      <c r="X1194"/>
      <c r="Y1194"/>
      <c r="Z1194"/>
      <c r="AA1194"/>
      <c r="AB1194"/>
      <c r="AL1194"/>
      <c r="AM1194"/>
      <c r="AN1194"/>
      <c r="AO1194"/>
    </row>
    <row r="1195" spans="1:41" s="2" customFormat="1" x14ac:dyDescent="0.2">
      <c r="A1195"/>
      <c r="B1195"/>
      <c r="C1195"/>
      <c r="D1195"/>
      <c r="E1195"/>
      <c r="F1195"/>
      <c r="G1195"/>
      <c r="U1195"/>
      <c r="V1195"/>
      <c r="W1195"/>
      <c r="X1195"/>
      <c r="Y1195"/>
      <c r="Z1195"/>
      <c r="AA1195"/>
      <c r="AB1195"/>
      <c r="AL1195"/>
      <c r="AM1195"/>
      <c r="AN1195"/>
      <c r="AO1195"/>
    </row>
    <row r="1196" spans="1:41" s="2" customFormat="1" x14ac:dyDescent="0.2">
      <c r="A1196"/>
      <c r="B1196"/>
      <c r="C1196"/>
      <c r="D1196"/>
      <c r="E1196"/>
      <c r="F1196"/>
      <c r="G1196"/>
      <c r="U1196"/>
      <c r="V1196"/>
      <c r="W1196"/>
      <c r="X1196"/>
      <c r="Y1196"/>
      <c r="Z1196"/>
      <c r="AA1196"/>
      <c r="AB1196"/>
      <c r="AL1196"/>
      <c r="AM1196"/>
      <c r="AN1196"/>
      <c r="AO1196"/>
    </row>
    <row r="1197" spans="1:41" s="2" customFormat="1" x14ac:dyDescent="0.2">
      <c r="A1197"/>
      <c r="B1197"/>
      <c r="C1197"/>
      <c r="D1197"/>
      <c r="E1197"/>
      <c r="F1197"/>
      <c r="G1197"/>
      <c r="U1197"/>
      <c r="V1197"/>
      <c r="W1197"/>
      <c r="X1197"/>
      <c r="Y1197"/>
      <c r="Z1197"/>
      <c r="AA1197"/>
      <c r="AB1197"/>
      <c r="AL1197"/>
      <c r="AM1197"/>
      <c r="AN1197"/>
      <c r="AO1197"/>
    </row>
    <row r="1198" spans="1:41" s="2" customFormat="1" x14ac:dyDescent="0.2">
      <c r="A1198"/>
      <c r="B1198"/>
      <c r="C1198"/>
      <c r="D1198"/>
      <c r="E1198"/>
      <c r="F1198"/>
      <c r="G1198"/>
      <c r="U1198"/>
      <c r="V1198"/>
      <c r="W1198"/>
      <c r="X1198"/>
      <c r="Y1198"/>
      <c r="Z1198"/>
      <c r="AA1198"/>
      <c r="AB1198"/>
      <c r="AL1198"/>
      <c r="AM1198"/>
      <c r="AN1198"/>
      <c r="AO1198"/>
    </row>
    <row r="1199" spans="1:41" s="2" customFormat="1" x14ac:dyDescent="0.2">
      <c r="A1199"/>
      <c r="B1199"/>
      <c r="C1199"/>
      <c r="D1199"/>
      <c r="E1199"/>
      <c r="F1199"/>
      <c r="G1199"/>
      <c r="U1199"/>
      <c r="V1199"/>
      <c r="W1199"/>
      <c r="X1199"/>
      <c r="Y1199"/>
      <c r="Z1199"/>
      <c r="AA1199"/>
      <c r="AB1199"/>
      <c r="AL1199"/>
      <c r="AM1199"/>
      <c r="AN1199"/>
      <c r="AO1199"/>
    </row>
    <row r="1200" spans="1:41" s="2" customFormat="1" x14ac:dyDescent="0.2">
      <c r="A1200"/>
      <c r="B1200"/>
      <c r="C1200"/>
      <c r="D1200"/>
      <c r="E1200"/>
      <c r="F1200"/>
      <c r="G1200"/>
      <c r="U1200"/>
      <c r="V1200"/>
      <c r="W1200"/>
      <c r="X1200"/>
      <c r="Y1200"/>
      <c r="Z1200"/>
      <c r="AA1200"/>
      <c r="AB1200"/>
      <c r="AL1200"/>
      <c r="AM1200"/>
      <c r="AN1200"/>
      <c r="AO1200"/>
    </row>
    <row r="1201" spans="1:41" s="2" customFormat="1" x14ac:dyDescent="0.2">
      <c r="A1201"/>
      <c r="B1201"/>
      <c r="C1201"/>
      <c r="D1201"/>
      <c r="E1201"/>
      <c r="F1201"/>
      <c r="G1201"/>
      <c r="U1201"/>
      <c r="V1201"/>
      <c r="W1201"/>
      <c r="X1201"/>
      <c r="Y1201"/>
      <c r="Z1201"/>
      <c r="AA1201"/>
      <c r="AB1201"/>
      <c r="AL1201"/>
      <c r="AM1201"/>
      <c r="AN1201"/>
      <c r="AO1201"/>
    </row>
    <row r="1202" spans="1:41" s="2" customFormat="1" x14ac:dyDescent="0.2">
      <c r="A1202"/>
      <c r="B1202"/>
      <c r="C1202"/>
      <c r="D1202"/>
      <c r="E1202"/>
      <c r="F1202"/>
      <c r="G1202"/>
      <c r="U1202"/>
      <c r="V1202"/>
      <c r="W1202"/>
      <c r="X1202"/>
      <c r="Y1202"/>
      <c r="Z1202"/>
      <c r="AA1202"/>
      <c r="AB1202"/>
      <c r="AL1202"/>
      <c r="AM1202"/>
      <c r="AN1202"/>
      <c r="AO1202"/>
    </row>
    <row r="1203" spans="1:41" s="2" customFormat="1" x14ac:dyDescent="0.2">
      <c r="A1203"/>
      <c r="B1203"/>
      <c r="C1203"/>
      <c r="D1203"/>
      <c r="E1203"/>
      <c r="F1203"/>
      <c r="G1203"/>
      <c r="U1203"/>
      <c r="V1203"/>
      <c r="W1203"/>
      <c r="X1203"/>
      <c r="Y1203"/>
      <c r="Z1203"/>
      <c r="AA1203"/>
      <c r="AB1203"/>
      <c r="AL1203"/>
      <c r="AM1203"/>
      <c r="AN1203"/>
      <c r="AO1203"/>
    </row>
    <row r="1204" spans="1:41" s="2" customFormat="1" x14ac:dyDescent="0.2">
      <c r="A1204"/>
      <c r="B1204"/>
      <c r="C1204"/>
      <c r="D1204"/>
      <c r="E1204"/>
      <c r="F1204"/>
      <c r="G1204"/>
      <c r="U1204"/>
      <c r="V1204"/>
      <c r="W1204"/>
      <c r="X1204"/>
      <c r="Y1204"/>
      <c r="Z1204"/>
      <c r="AA1204"/>
      <c r="AB1204"/>
      <c r="AL1204"/>
      <c r="AM1204"/>
      <c r="AN1204"/>
      <c r="AO1204"/>
    </row>
    <row r="1205" spans="1:41" s="2" customFormat="1" x14ac:dyDescent="0.2">
      <c r="A1205"/>
      <c r="B1205"/>
      <c r="C1205"/>
      <c r="D1205"/>
      <c r="E1205"/>
      <c r="F1205"/>
      <c r="G1205"/>
      <c r="U1205"/>
      <c r="V1205"/>
      <c r="W1205"/>
      <c r="X1205"/>
      <c r="Y1205"/>
      <c r="Z1205"/>
      <c r="AA1205"/>
      <c r="AB1205"/>
      <c r="AL1205"/>
      <c r="AM1205"/>
      <c r="AN1205"/>
      <c r="AO1205"/>
    </row>
    <row r="1206" spans="1:41" s="2" customFormat="1" x14ac:dyDescent="0.2">
      <c r="A1206"/>
      <c r="B1206"/>
      <c r="C1206"/>
      <c r="D1206"/>
      <c r="E1206"/>
      <c r="F1206"/>
      <c r="G1206"/>
      <c r="U1206"/>
      <c r="V1206"/>
      <c r="W1206"/>
      <c r="X1206"/>
      <c r="Y1206"/>
      <c r="Z1206"/>
      <c r="AA1206"/>
      <c r="AB1206"/>
      <c r="AL1206"/>
      <c r="AM1206"/>
      <c r="AN1206"/>
      <c r="AO1206"/>
    </row>
    <row r="1207" spans="1:41" s="2" customFormat="1" x14ac:dyDescent="0.2">
      <c r="A1207"/>
      <c r="B1207"/>
      <c r="C1207"/>
      <c r="D1207"/>
      <c r="E1207"/>
      <c r="F1207"/>
      <c r="G1207"/>
      <c r="U1207"/>
      <c r="V1207"/>
      <c r="W1207"/>
      <c r="X1207"/>
      <c r="Y1207"/>
      <c r="Z1207"/>
      <c r="AA1207"/>
      <c r="AB1207"/>
      <c r="AL1207"/>
      <c r="AM1207"/>
      <c r="AN1207"/>
      <c r="AO1207"/>
    </row>
    <row r="1208" spans="1:41" s="2" customFormat="1" x14ac:dyDescent="0.2">
      <c r="A1208"/>
      <c r="B1208"/>
      <c r="C1208"/>
      <c r="D1208"/>
      <c r="E1208"/>
      <c r="F1208"/>
      <c r="G1208"/>
      <c r="U1208"/>
      <c r="V1208"/>
      <c r="W1208"/>
      <c r="X1208"/>
      <c r="Y1208"/>
      <c r="Z1208"/>
      <c r="AA1208"/>
      <c r="AB1208"/>
      <c r="AL1208"/>
      <c r="AM1208"/>
      <c r="AN1208"/>
      <c r="AO1208"/>
    </row>
    <row r="1209" spans="1:41" s="2" customFormat="1" x14ac:dyDescent="0.2">
      <c r="A1209"/>
      <c r="B1209"/>
      <c r="C1209"/>
      <c r="D1209"/>
      <c r="E1209"/>
      <c r="F1209"/>
      <c r="G1209"/>
      <c r="U1209"/>
      <c r="V1209"/>
      <c r="W1209"/>
      <c r="X1209"/>
      <c r="Y1209"/>
      <c r="Z1209"/>
      <c r="AA1209"/>
      <c r="AB1209"/>
      <c r="AL1209"/>
      <c r="AM1209"/>
      <c r="AN1209"/>
      <c r="AO1209"/>
    </row>
    <row r="1210" spans="1:41" s="2" customFormat="1" x14ac:dyDescent="0.2">
      <c r="A1210"/>
      <c r="B1210"/>
      <c r="C1210"/>
      <c r="D1210"/>
      <c r="E1210"/>
      <c r="F1210"/>
      <c r="G1210"/>
      <c r="U1210"/>
      <c r="V1210"/>
      <c r="W1210"/>
      <c r="X1210"/>
      <c r="Y1210"/>
      <c r="Z1210"/>
      <c r="AA1210"/>
      <c r="AB1210"/>
      <c r="AL1210"/>
      <c r="AM1210"/>
      <c r="AN1210"/>
      <c r="AO1210"/>
    </row>
    <row r="1211" spans="1:41" s="2" customFormat="1" x14ac:dyDescent="0.2">
      <c r="A1211"/>
      <c r="B1211"/>
      <c r="C1211"/>
      <c r="D1211"/>
      <c r="E1211"/>
      <c r="F1211"/>
      <c r="G1211"/>
      <c r="U1211"/>
      <c r="V1211"/>
      <c r="W1211"/>
      <c r="X1211"/>
      <c r="Y1211"/>
      <c r="Z1211"/>
      <c r="AA1211"/>
      <c r="AB1211"/>
      <c r="AL1211"/>
      <c r="AM1211"/>
      <c r="AN1211"/>
      <c r="AO1211"/>
    </row>
    <row r="1212" spans="1:41" s="2" customFormat="1" x14ac:dyDescent="0.2">
      <c r="A1212"/>
      <c r="B1212"/>
      <c r="C1212"/>
      <c r="D1212"/>
      <c r="E1212"/>
      <c r="F1212"/>
      <c r="G1212"/>
      <c r="U1212"/>
      <c r="V1212"/>
      <c r="W1212"/>
      <c r="X1212"/>
      <c r="Y1212"/>
      <c r="Z1212"/>
      <c r="AA1212"/>
      <c r="AB1212"/>
      <c r="AL1212"/>
      <c r="AM1212"/>
      <c r="AN1212"/>
      <c r="AO1212"/>
    </row>
    <row r="1213" spans="1:41" s="2" customFormat="1" x14ac:dyDescent="0.2">
      <c r="A1213"/>
      <c r="B1213"/>
      <c r="C1213"/>
      <c r="D1213"/>
      <c r="E1213"/>
      <c r="F1213"/>
      <c r="G1213"/>
      <c r="U1213"/>
      <c r="V1213"/>
      <c r="W1213"/>
      <c r="X1213"/>
      <c r="Y1213"/>
      <c r="Z1213"/>
      <c r="AA1213"/>
      <c r="AB1213"/>
      <c r="AL1213"/>
      <c r="AM1213"/>
      <c r="AN1213"/>
      <c r="AO1213"/>
    </row>
    <row r="1214" spans="1:41" s="2" customFormat="1" x14ac:dyDescent="0.2">
      <c r="A1214"/>
      <c r="B1214"/>
      <c r="C1214"/>
      <c r="D1214"/>
      <c r="E1214"/>
      <c r="F1214"/>
      <c r="G1214"/>
      <c r="U1214"/>
      <c r="V1214"/>
      <c r="W1214"/>
      <c r="X1214"/>
      <c r="Y1214"/>
      <c r="Z1214"/>
      <c r="AA1214"/>
      <c r="AB1214"/>
      <c r="AL1214"/>
      <c r="AM1214"/>
      <c r="AN1214"/>
      <c r="AO1214"/>
    </row>
    <row r="1215" spans="1:41" s="2" customFormat="1" x14ac:dyDescent="0.2">
      <c r="A1215"/>
      <c r="B1215"/>
      <c r="C1215"/>
      <c r="D1215"/>
      <c r="E1215"/>
      <c r="F1215"/>
      <c r="G1215"/>
      <c r="U1215"/>
      <c r="V1215"/>
      <c r="W1215"/>
      <c r="X1215"/>
      <c r="Y1215"/>
      <c r="Z1215"/>
      <c r="AA1215"/>
      <c r="AB1215"/>
      <c r="AL1215"/>
      <c r="AM1215"/>
      <c r="AN1215"/>
      <c r="AO1215"/>
    </row>
    <row r="1216" spans="1:41" s="2" customFormat="1" x14ac:dyDescent="0.2">
      <c r="A1216"/>
      <c r="B1216"/>
      <c r="C1216"/>
      <c r="D1216"/>
      <c r="E1216"/>
      <c r="F1216"/>
      <c r="G1216"/>
      <c r="U1216"/>
      <c r="V1216"/>
      <c r="W1216"/>
      <c r="X1216"/>
      <c r="Y1216"/>
      <c r="Z1216"/>
      <c r="AA1216"/>
      <c r="AB1216"/>
      <c r="AL1216"/>
      <c r="AM1216"/>
      <c r="AN1216"/>
      <c r="AO1216"/>
    </row>
    <row r="1217" spans="1:41" s="2" customFormat="1" x14ac:dyDescent="0.2">
      <c r="A1217"/>
      <c r="B1217"/>
      <c r="C1217"/>
      <c r="D1217"/>
      <c r="E1217"/>
      <c r="F1217"/>
      <c r="G1217"/>
      <c r="U1217"/>
      <c r="V1217"/>
      <c r="W1217"/>
      <c r="X1217"/>
      <c r="Y1217"/>
      <c r="Z1217"/>
      <c r="AA1217"/>
      <c r="AB1217"/>
      <c r="AL1217"/>
      <c r="AM1217"/>
      <c r="AN1217"/>
      <c r="AO1217"/>
    </row>
    <row r="1218" spans="1:41" s="2" customFormat="1" x14ac:dyDescent="0.2">
      <c r="A1218"/>
      <c r="B1218"/>
      <c r="C1218"/>
      <c r="D1218"/>
      <c r="E1218"/>
      <c r="F1218"/>
      <c r="G1218"/>
      <c r="U1218"/>
      <c r="V1218"/>
      <c r="W1218"/>
      <c r="X1218"/>
      <c r="Y1218"/>
      <c r="Z1218"/>
      <c r="AA1218"/>
      <c r="AB1218"/>
      <c r="AL1218"/>
      <c r="AM1218"/>
      <c r="AN1218"/>
      <c r="AO1218"/>
    </row>
    <row r="1219" spans="1:41" s="2" customFormat="1" x14ac:dyDescent="0.2">
      <c r="A1219"/>
      <c r="B1219"/>
      <c r="C1219"/>
      <c r="D1219"/>
      <c r="E1219"/>
      <c r="F1219"/>
      <c r="G1219"/>
      <c r="U1219"/>
      <c r="V1219"/>
      <c r="W1219"/>
      <c r="X1219"/>
      <c r="Y1219"/>
      <c r="Z1219"/>
      <c r="AA1219"/>
      <c r="AB1219"/>
      <c r="AL1219"/>
      <c r="AM1219"/>
      <c r="AN1219"/>
      <c r="AO1219"/>
    </row>
    <row r="1220" spans="1:41" s="2" customFormat="1" x14ac:dyDescent="0.2">
      <c r="A1220"/>
      <c r="B1220"/>
      <c r="C1220"/>
      <c r="D1220"/>
      <c r="E1220"/>
      <c r="F1220"/>
      <c r="G1220"/>
      <c r="U1220"/>
      <c r="V1220"/>
      <c r="W1220"/>
      <c r="X1220"/>
      <c r="Y1220"/>
      <c r="Z1220"/>
      <c r="AA1220"/>
      <c r="AB1220"/>
      <c r="AL1220"/>
      <c r="AM1220"/>
      <c r="AN1220"/>
      <c r="AO1220"/>
    </row>
    <row r="1221" spans="1:41" s="2" customFormat="1" x14ac:dyDescent="0.2">
      <c r="A1221"/>
      <c r="B1221"/>
      <c r="C1221"/>
      <c r="D1221"/>
      <c r="E1221"/>
      <c r="F1221"/>
      <c r="G1221"/>
      <c r="U1221"/>
      <c r="V1221"/>
      <c r="W1221"/>
      <c r="X1221"/>
      <c r="Y1221"/>
      <c r="Z1221"/>
      <c r="AA1221"/>
      <c r="AB1221"/>
      <c r="AL1221"/>
      <c r="AM1221"/>
      <c r="AN1221"/>
      <c r="AO1221"/>
    </row>
    <row r="1222" spans="1:41" s="2" customFormat="1" x14ac:dyDescent="0.2">
      <c r="A1222"/>
      <c r="B1222"/>
      <c r="C1222"/>
      <c r="D1222"/>
      <c r="E1222"/>
      <c r="F1222"/>
      <c r="G1222"/>
      <c r="U1222"/>
      <c r="V1222"/>
      <c r="W1222"/>
      <c r="X1222"/>
      <c r="Y1222"/>
      <c r="Z1222"/>
      <c r="AA1222"/>
      <c r="AB1222"/>
      <c r="AL1222"/>
      <c r="AM1222"/>
      <c r="AN1222"/>
      <c r="AO1222"/>
    </row>
    <row r="1223" spans="1:41" s="2" customFormat="1" x14ac:dyDescent="0.2">
      <c r="A1223"/>
      <c r="B1223"/>
      <c r="C1223"/>
      <c r="D1223"/>
      <c r="E1223"/>
      <c r="F1223"/>
      <c r="G1223"/>
      <c r="U1223"/>
      <c r="V1223"/>
      <c r="W1223"/>
      <c r="X1223"/>
      <c r="Y1223"/>
      <c r="Z1223"/>
      <c r="AA1223"/>
      <c r="AB1223"/>
      <c r="AL1223"/>
      <c r="AM1223"/>
      <c r="AN1223"/>
      <c r="AO1223"/>
    </row>
    <row r="1224" spans="1:41" s="2" customFormat="1" x14ac:dyDescent="0.2">
      <c r="A1224"/>
      <c r="B1224"/>
      <c r="C1224"/>
      <c r="D1224"/>
      <c r="E1224"/>
      <c r="F1224"/>
      <c r="G1224"/>
      <c r="U1224"/>
      <c r="V1224"/>
      <c r="W1224"/>
      <c r="X1224"/>
      <c r="Y1224"/>
      <c r="Z1224"/>
      <c r="AA1224"/>
      <c r="AB1224"/>
      <c r="AL1224"/>
      <c r="AM1224"/>
      <c r="AN1224"/>
      <c r="AO1224"/>
    </row>
    <row r="1225" spans="1:41" s="2" customFormat="1" x14ac:dyDescent="0.2">
      <c r="A1225"/>
      <c r="B1225"/>
      <c r="C1225"/>
      <c r="D1225"/>
      <c r="E1225"/>
      <c r="F1225"/>
      <c r="G1225"/>
      <c r="U1225"/>
      <c r="V1225"/>
      <c r="W1225"/>
      <c r="X1225"/>
      <c r="Y1225"/>
      <c r="Z1225"/>
      <c r="AA1225"/>
      <c r="AB1225"/>
      <c r="AL1225"/>
      <c r="AM1225"/>
      <c r="AN1225"/>
      <c r="AO1225"/>
    </row>
    <row r="1226" spans="1:41" s="2" customFormat="1" x14ac:dyDescent="0.2">
      <c r="A1226"/>
      <c r="B1226"/>
      <c r="C1226"/>
      <c r="D1226"/>
      <c r="E1226"/>
      <c r="F1226"/>
      <c r="G1226"/>
      <c r="U1226"/>
      <c r="V1226"/>
      <c r="W1226"/>
      <c r="X1226"/>
      <c r="Y1226"/>
      <c r="Z1226"/>
      <c r="AA1226"/>
      <c r="AB1226"/>
      <c r="AL1226"/>
      <c r="AM1226"/>
      <c r="AN1226"/>
      <c r="AO1226"/>
    </row>
    <row r="1227" spans="1:41" s="2" customFormat="1" x14ac:dyDescent="0.2">
      <c r="A1227"/>
      <c r="B1227"/>
      <c r="C1227"/>
      <c r="D1227"/>
      <c r="E1227"/>
      <c r="F1227"/>
      <c r="G1227"/>
      <c r="U1227"/>
      <c r="V1227"/>
      <c r="W1227"/>
      <c r="X1227"/>
      <c r="Y1227"/>
      <c r="Z1227"/>
      <c r="AA1227"/>
      <c r="AB1227"/>
      <c r="AL1227"/>
      <c r="AM1227"/>
      <c r="AN1227"/>
      <c r="AO1227"/>
    </row>
    <row r="1228" spans="1:41" s="2" customFormat="1" x14ac:dyDescent="0.2">
      <c r="A1228"/>
      <c r="B1228"/>
      <c r="C1228"/>
      <c r="D1228"/>
      <c r="E1228"/>
      <c r="F1228"/>
      <c r="G1228"/>
      <c r="U1228"/>
      <c r="V1228"/>
      <c r="W1228"/>
      <c r="X1228"/>
      <c r="Y1228"/>
      <c r="Z1228"/>
      <c r="AA1228"/>
      <c r="AB1228"/>
      <c r="AL1228"/>
      <c r="AM1228"/>
      <c r="AN1228"/>
      <c r="AO1228"/>
    </row>
    <row r="1229" spans="1:41" s="2" customFormat="1" x14ac:dyDescent="0.2">
      <c r="A1229"/>
      <c r="B1229"/>
      <c r="C1229"/>
      <c r="D1229"/>
      <c r="E1229"/>
      <c r="F1229"/>
      <c r="G1229"/>
      <c r="U1229"/>
      <c r="V1229"/>
      <c r="W1229"/>
      <c r="X1229"/>
      <c r="Y1229"/>
      <c r="Z1229"/>
      <c r="AA1229"/>
      <c r="AB1229"/>
      <c r="AL1229"/>
      <c r="AM1229"/>
      <c r="AN1229"/>
      <c r="AO1229"/>
    </row>
    <row r="1230" spans="1:41" s="2" customFormat="1" x14ac:dyDescent="0.2">
      <c r="A1230"/>
      <c r="B1230"/>
      <c r="C1230"/>
      <c r="D1230"/>
      <c r="E1230"/>
      <c r="F1230"/>
      <c r="G1230"/>
      <c r="U1230"/>
      <c r="V1230"/>
      <c r="W1230"/>
      <c r="X1230"/>
      <c r="Y1230"/>
      <c r="Z1230"/>
      <c r="AA1230"/>
      <c r="AB1230"/>
      <c r="AL1230"/>
      <c r="AM1230"/>
      <c r="AN1230"/>
      <c r="AO1230"/>
    </row>
    <row r="1231" spans="1:41" s="2" customFormat="1" x14ac:dyDescent="0.2">
      <c r="A1231"/>
      <c r="B1231"/>
      <c r="C1231"/>
      <c r="D1231"/>
      <c r="E1231"/>
      <c r="F1231"/>
      <c r="G1231"/>
      <c r="U1231"/>
      <c r="V1231"/>
      <c r="W1231"/>
      <c r="X1231"/>
      <c r="Y1231"/>
      <c r="Z1231"/>
      <c r="AA1231"/>
      <c r="AB1231"/>
      <c r="AL1231"/>
      <c r="AM1231"/>
      <c r="AN1231"/>
      <c r="AO1231"/>
    </row>
    <row r="1232" spans="1:41" s="2" customFormat="1" x14ac:dyDescent="0.2">
      <c r="A1232"/>
      <c r="B1232"/>
      <c r="C1232"/>
      <c r="D1232"/>
      <c r="E1232"/>
      <c r="F1232"/>
      <c r="G1232"/>
      <c r="U1232"/>
      <c r="V1232"/>
      <c r="W1232"/>
      <c r="X1232"/>
      <c r="Y1232"/>
      <c r="Z1232"/>
      <c r="AA1232"/>
      <c r="AB1232"/>
      <c r="AL1232"/>
      <c r="AM1232"/>
      <c r="AN1232"/>
      <c r="AO1232"/>
    </row>
    <row r="1233" spans="1:41" s="2" customFormat="1" x14ac:dyDescent="0.2">
      <c r="A1233"/>
      <c r="B1233"/>
      <c r="C1233"/>
      <c r="D1233"/>
      <c r="E1233"/>
      <c r="F1233"/>
      <c r="G1233"/>
      <c r="U1233"/>
      <c r="V1233"/>
      <c r="W1233"/>
      <c r="X1233"/>
      <c r="Y1233"/>
      <c r="Z1233"/>
      <c r="AA1233"/>
      <c r="AB1233"/>
      <c r="AL1233"/>
      <c r="AM1233"/>
      <c r="AN1233"/>
      <c r="AO1233"/>
    </row>
    <row r="1234" spans="1:41" s="2" customFormat="1" x14ac:dyDescent="0.2">
      <c r="A1234"/>
      <c r="B1234"/>
      <c r="C1234"/>
      <c r="D1234"/>
      <c r="E1234"/>
      <c r="F1234"/>
      <c r="G1234"/>
      <c r="U1234"/>
      <c r="V1234"/>
      <c r="W1234"/>
      <c r="X1234"/>
      <c r="Y1234"/>
      <c r="Z1234"/>
      <c r="AA1234"/>
      <c r="AB1234"/>
      <c r="AL1234"/>
      <c r="AM1234"/>
      <c r="AN1234"/>
      <c r="AO1234"/>
    </row>
    <row r="1235" spans="1:41" s="2" customFormat="1" x14ac:dyDescent="0.2">
      <c r="A1235"/>
      <c r="B1235"/>
      <c r="C1235"/>
      <c r="D1235"/>
      <c r="E1235"/>
      <c r="F1235"/>
      <c r="G1235"/>
      <c r="U1235"/>
      <c r="V1235"/>
      <c r="W1235"/>
      <c r="X1235"/>
      <c r="Y1235"/>
      <c r="Z1235"/>
      <c r="AA1235"/>
      <c r="AB1235"/>
      <c r="AL1235"/>
      <c r="AM1235"/>
      <c r="AN1235"/>
      <c r="AO1235"/>
    </row>
    <row r="1236" spans="1:41" s="2" customFormat="1" x14ac:dyDescent="0.2">
      <c r="A1236"/>
      <c r="B1236"/>
      <c r="C1236"/>
      <c r="D1236"/>
      <c r="E1236"/>
      <c r="F1236"/>
      <c r="G1236"/>
      <c r="U1236"/>
      <c r="V1236"/>
      <c r="W1236"/>
      <c r="X1236"/>
      <c r="Y1236"/>
      <c r="Z1236"/>
      <c r="AA1236"/>
      <c r="AB1236"/>
      <c r="AL1236"/>
      <c r="AM1236"/>
      <c r="AN1236"/>
      <c r="AO1236"/>
    </row>
    <row r="1237" spans="1:41" s="2" customFormat="1" x14ac:dyDescent="0.2">
      <c r="A1237"/>
      <c r="B1237"/>
      <c r="C1237"/>
      <c r="D1237"/>
      <c r="E1237"/>
      <c r="F1237"/>
      <c r="G1237"/>
      <c r="U1237"/>
      <c r="V1237"/>
      <c r="W1237"/>
      <c r="X1237"/>
      <c r="Y1237"/>
      <c r="Z1237"/>
      <c r="AA1237"/>
      <c r="AB1237"/>
      <c r="AL1237"/>
      <c r="AM1237"/>
      <c r="AN1237"/>
      <c r="AO1237"/>
    </row>
    <row r="1238" spans="1:41" s="2" customFormat="1" x14ac:dyDescent="0.2">
      <c r="A1238"/>
      <c r="B1238"/>
      <c r="C1238"/>
      <c r="D1238"/>
      <c r="E1238"/>
      <c r="F1238"/>
      <c r="G1238"/>
      <c r="U1238"/>
      <c r="V1238"/>
      <c r="W1238"/>
      <c r="X1238"/>
      <c r="Y1238"/>
      <c r="Z1238"/>
      <c r="AA1238"/>
      <c r="AB1238"/>
      <c r="AL1238"/>
      <c r="AM1238"/>
      <c r="AN1238"/>
      <c r="AO1238"/>
    </row>
    <row r="1239" spans="1:41" s="2" customFormat="1" x14ac:dyDescent="0.2">
      <c r="A1239"/>
      <c r="B1239"/>
      <c r="C1239"/>
      <c r="D1239"/>
      <c r="E1239"/>
      <c r="F1239"/>
      <c r="G1239"/>
      <c r="U1239"/>
      <c r="V1239"/>
      <c r="W1239"/>
      <c r="X1239"/>
      <c r="Y1239"/>
      <c r="Z1239"/>
      <c r="AA1239"/>
      <c r="AB1239"/>
      <c r="AL1239"/>
      <c r="AM1239"/>
      <c r="AN1239"/>
      <c r="AO1239"/>
    </row>
    <row r="1240" spans="1:41" s="2" customFormat="1" x14ac:dyDescent="0.2">
      <c r="A1240"/>
      <c r="B1240"/>
      <c r="C1240"/>
      <c r="D1240"/>
      <c r="E1240"/>
      <c r="F1240"/>
      <c r="G1240"/>
      <c r="U1240"/>
      <c r="V1240"/>
      <c r="W1240"/>
      <c r="X1240"/>
      <c r="Y1240"/>
      <c r="Z1240"/>
      <c r="AA1240"/>
      <c r="AB1240"/>
      <c r="AL1240"/>
      <c r="AM1240"/>
      <c r="AN1240"/>
      <c r="AO1240"/>
    </row>
    <row r="1241" spans="1:41" s="2" customFormat="1" x14ac:dyDescent="0.2">
      <c r="A1241"/>
      <c r="B1241"/>
      <c r="C1241"/>
      <c r="D1241"/>
      <c r="E1241"/>
      <c r="F1241"/>
      <c r="G1241"/>
      <c r="U1241"/>
      <c r="V1241"/>
      <c r="W1241"/>
      <c r="X1241"/>
      <c r="Y1241"/>
      <c r="Z1241"/>
      <c r="AA1241"/>
      <c r="AB1241"/>
      <c r="AL1241"/>
      <c r="AM1241"/>
      <c r="AN1241"/>
      <c r="AO1241"/>
    </row>
    <row r="1242" spans="1:41" s="2" customFormat="1" x14ac:dyDescent="0.2">
      <c r="A1242"/>
      <c r="B1242"/>
      <c r="C1242"/>
      <c r="D1242"/>
      <c r="E1242"/>
      <c r="F1242"/>
      <c r="G1242"/>
      <c r="U1242"/>
      <c r="V1242"/>
      <c r="W1242"/>
      <c r="X1242"/>
      <c r="Y1242"/>
      <c r="Z1242"/>
      <c r="AA1242"/>
      <c r="AB1242"/>
      <c r="AL1242"/>
      <c r="AM1242"/>
      <c r="AN1242"/>
      <c r="AO1242"/>
    </row>
    <row r="1243" spans="1:41" s="2" customFormat="1" x14ac:dyDescent="0.2">
      <c r="A1243"/>
      <c r="B1243"/>
      <c r="C1243"/>
      <c r="D1243"/>
      <c r="E1243"/>
      <c r="F1243"/>
      <c r="G1243"/>
      <c r="U1243"/>
      <c r="V1243"/>
      <c r="W1243"/>
      <c r="X1243"/>
      <c r="Y1243"/>
      <c r="Z1243"/>
      <c r="AA1243"/>
      <c r="AB1243"/>
      <c r="AL1243"/>
      <c r="AM1243"/>
      <c r="AN1243"/>
      <c r="AO1243"/>
    </row>
    <row r="1244" spans="1:41" s="2" customFormat="1" x14ac:dyDescent="0.2">
      <c r="A1244"/>
      <c r="B1244"/>
      <c r="C1244"/>
      <c r="D1244"/>
      <c r="E1244"/>
      <c r="F1244"/>
      <c r="G1244"/>
      <c r="U1244"/>
      <c r="V1244"/>
      <c r="W1244"/>
      <c r="X1244"/>
      <c r="Y1244"/>
      <c r="Z1244"/>
      <c r="AA1244"/>
      <c r="AB1244"/>
      <c r="AL1244"/>
      <c r="AM1244"/>
      <c r="AN1244"/>
      <c r="AO1244"/>
    </row>
    <row r="1245" spans="1:41" s="2" customFormat="1" x14ac:dyDescent="0.2">
      <c r="A1245"/>
      <c r="B1245"/>
      <c r="C1245"/>
      <c r="D1245"/>
      <c r="E1245"/>
      <c r="F1245"/>
      <c r="G1245"/>
      <c r="U1245"/>
      <c r="V1245"/>
      <c r="W1245"/>
      <c r="X1245"/>
      <c r="Y1245"/>
      <c r="Z1245"/>
      <c r="AA1245"/>
      <c r="AB1245"/>
      <c r="AL1245"/>
      <c r="AM1245"/>
      <c r="AN1245"/>
      <c r="AO1245"/>
    </row>
    <row r="1246" spans="1:41" s="2" customFormat="1" x14ac:dyDescent="0.2">
      <c r="A1246"/>
      <c r="B1246"/>
      <c r="C1246"/>
      <c r="D1246"/>
      <c r="E1246"/>
      <c r="F1246"/>
      <c r="G1246"/>
      <c r="U1246"/>
      <c r="V1246"/>
      <c r="W1246"/>
      <c r="X1246"/>
      <c r="Y1246"/>
      <c r="Z1246"/>
      <c r="AA1246"/>
      <c r="AB1246"/>
      <c r="AL1246"/>
      <c r="AM1246"/>
      <c r="AN1246"/>
      <c r="AO1246"/>
    </row>
    <row r="1247" spans="1:41" s="2" customFormat="1" x14ac:dyDescent="0.2">
      <c r="A1247"/>
      <c r="B1247"/>
      <c r="C1247"/>
      <c r="D1247"/>
      <c r="E1247"/>
      <c r="F1247"/>
      <c r="G1247"/>
      <c r="U1247"/>
      <c r="V1247"/>
      <c r="W1247"/>
      <c r="X1247"/>
      <c r="Y1247"/>
      <c r="Z1247"/>
      <c r="AA1247"/>
      <c r="AB1247"/>
      <c r="AL1247"/>
      <c r="AM1247"/>
      <c r="AN1247"/>
      <c r="AO1247"/>
    </row>
    <row r="1248" spans="1:41" s="2" customFormat="1" x14ac:dyDescent="0.2">
      <c r="A1248"/>
      <c r="B1248"/>
      <c r="C1248"/>
      <c r="D1248"/>
      <c r="E1248"/>
      <c r="F1248"/>
      <c r="G1248"/>
      <c r="U1248"/>
      <c r="V1248"/>
      <c r="W1248"/>
      <c r="X1248"/>
      <c r="Y1248"/>
      <c r="Z1248"/>
      <c r="AA1248"/>
      <c r="AB1248"/>
      <c r="AL1248"/>
      <c r="AM1248"/>
      <c r="AN1248"/>
      <c r="AO1248"/>
    </row>
    <row r="1249" spans="1:41" s="2" customFormat="1" x14ac:dyDescent="0.2">
      <c r="A1249"/>
      <c r="B1249"/>
      <c r="C1249"/>
      <c r="D1249"/>
      <c r="E1249"/>
      <c r="F1249"/>
      <c r="G1249"/>
      <c r="U1249"/>
      <c r="V1249"/>
      <c r="W1249"/>
      <c r="X1249"/>
      <c r="Y1249"/>
      <c r="Z1249"/>
      <c r="AA1249"/>
      <c r="AB1249"/>
      <c r="AL1249"/>
      <c r="AM1249"/>
      <c r="AN1249"/>
      <c r="AO1249"/>
    </row>
    <row r="1250" spans="1:41" s="2" customFormat="1" x14ac:dyDescent="0.2">
      <c r="A1250"/>
      <c r="B1250"/>
      <c r="C1250"/>
      <c r="D1250"/>
      <c r="E1250"/>
      <c r="F1250"/>
      <c r="G1250"/>
      <c r="U1250"/>
      <c r="V1250"/>
      <c r="W1250"/>
      <c r="X1250"/>
      <c r="Y1250"/>
      <c r="Z1250"/>
      <c r="AA1250"/>
      <c r="AB1250"/>
      <c r="AL1250"/>
      <c r="AM1250"/>
      <c r="AN1250"/>
      <c r="AO1250"/>
    </row>
    <row r="1251" spans="1:41" s="2" customFormat="1" x14ac:dyDescent="0.2">
      <c r="A1251"/>
      <c r="B1251"/>
      <c r="C1251"/>
      <c r="D1251"/>
      <c r="E1251"/>
      <c r="F1251"/>
      <c r="G1251"/>
      <c r="U1251"/>
      <c r="V1251"/>
      <c r="W1251"/>
      <c r="X1251"/>
      <c r="Y1251"/>
      <c r="Z1251"/>
      <c r="AA1251"/>
      <c r="AB1251"/>
      <c r="AL1251"/>
      <c r="AM1251"/>
      <c r="AN1251"/>
      <c r="AO1251"/>
    </row>
    <row r="1252" spans="1:41" s="2" customFormat="1" x14ac:dyDescent="0.2">
      <c r="A1252"/>
      <c r="B1252"/>
      <c r="C1252"/>
      <c r="D1252"/>
      <c r="E1252"/>
      <c r="F1252"/>
      <c r="G1252"/>
      <c r="U1252"/>
      <c r="V1252"/>
      <c r="W1252"/>
      <c r="X1252"/>
      <c r="Y1252"/>
      <c r="Z1252"/>
      <c r="AA1252"/>
      <c r="AB1252"/>
      <c r="AL1252"/>
      <c r="AM1252"/>
      <c r="AN1252"/>
      <c r="AO1252"/>
    </row>
    <row r="1253" spans="1:41" s="2" customFormat="1" x14ac:dyDescent="0.2">
      <c r="A1253"/>
      <c r="B1253"/>
      <c r="C1253"/>
      <c r="D1253"/>
      <c r="E1253"/>
      <c r="F1253"/>
      <c r="G1253"/>
      <c r="U1253"/>
      <c r="V1253"/>
      <c r="W1253"/>
      <c r="X1253"/>
      <c r="Y1253"/>
      <c r="Z1253"/>
      <c r="AA1253"/>
      <c r="AB1253"/>
      <c r="AL1253"/>
      <c r="AM1253"/>
      <c r="AN1253"/>
      <c r="AO1253"/>
    </row>
    <row r="1254" spans="1:41" s="2" customFormat="1" x14ac:dyDescent="0.2">
      <c r="A1254"/>
      <c r="B1254"/>
      <c r="C1254"/>
      <c r="D1254"/>
      <c r="E1254"/>
      <c r="F1254"/>
      <c r="G1254"/>
      <c r="U1254"/>
      <c r="V1254"/>
      <c r="W1254"/>
      <c r="X1254"/>
      <c r="Y1254"/>
      <c r="Z1254"/>
      <c r="AA1254"/>
      <c r="AB1254"/>
      <c r="AL1254"/>
      <c r="AM1254"/>
      <c r="AN1254"/>
      <c r="AO1254"/>
    </row>
    <row r="1255" spans="1:41" s="2" customFormat="1" x14ac:dyDescent="0.2">
      <c r="A1255"/>
      <c r="B1255"/>
      <c r="C1255"/>
      <c r="D1255"/>
      <c r="E1255"/>
      <c r="F1255"/>
      <c r="G1255"/>
      <c r="U1255"/>
      <c r="V1255"/>
      <c r="W1255"/>
      <c r="X1255"/>
      <c r="Y1255"/>
      <c r="Z1255"/>
      <c r="AA1255"/>
      <c r="AB1255"/>
      <c r="AL1255"/>
      <c r="AM1255"/>
      <c r="AN1255"/>
      <c r="AO1255"/>
    </row>
    <row r="1256" spans="1:41" s="2" customFormat="1" x14ac:dyDescent="0.2">
      <c r="A1256"/>
      <c r="B1256"/>
      <c r="C1256"/>
      <c r="D1256"/>
      <c r="E1256"/>
      <c r="F1256"/>
      <c r="G1256"/>
      <c r="U1256"/>
      <c r="V1256"/>
      <c r="W1256"/>
      <c r="X1256"/>
      <c r="Y1256"/>
      <c r="Z1256"/>
      <c r="AA1256"/>
      <c r="AB1256"/>
      <c r="AL1256"/>
      <c r="AM1256"/>
      <c r="AN1256"/>
      <c r="AO1256"/>
    </row>
    <row r="1257" spans="1:41" s="2" customFormat="1" x14ac:dyDescent="0.2">
      <c r="A1257"/>
      <c r="B1257"/>
      <c r="C1257"/>
      <c r="D1257"/>
      <c r="E1257"/>
      <c r="F1257"/>
      <c r="G1257"/>
      <c r="U1257"/>
      <c r="V1257"/>
      <c r="W1257"/>
      <c r="X1257"/>
      <c r="Y1257"/>
      <c r="Z1257"/>
      <c r="AA1257"/>
      <c r="AB1257"/>
      <c r="AL1257"/>
      <c r="AM1257"/>
      <c r="AN1257"/>
      <c r="AO1257"/>
    </row>
    <row r="1258" spans="1:41" s="2" customFormat="1" x14ac:dyDescent="0.2">
      <c r="A1258"/>
      <c r="B1258"/>
      <c r="C1258"/>
      <c r="D1258"/>
      <c r="E1258"/>
      <c r="F1258"/>
      <c r="G1258"/>
      <c r="U1258"/>
      <c r="V1258"/>
      <c r="W1258"/>
      <c r="X1258"/>
      <c r="Y1258"/>
      <c r="Z1258"/>
      <c r="AA1258"/>
      <c r="AB1258"/>
      <c r="AL1258"/>
      <c r="AM1258"/>
      <c r="AN1258"/>
      <c r="AO1258"/>
    </row>
    <row r="1259" spans="1:41" s="2" customFormat="1" x14ac:dyDescent="0.2">
      <c r="A1259"/>
      <c r="B1259"/>
      <c r="C1259"/>
      <c r="D1259"/>
      <c r="E1259"/>
      <c r="F1259"/>
      <c r="G1259"/>
      <c r="U1259"/>
      <c r="V1259"/>
      <c r="W1259"/>
      <c r="X1259"/>
      <c r="Y1259"/>
      <c r="Z1259"/>
      <c r="AA1259"/>
      <c r="AB1259"/>
      <c r="AL1259"/>
      <c r="AM1259"/>
      <c r="AN1259"/>
      <c r="AO1259"/>
    </row>
    <row r="1260" spans="1:41" s="2" customFormat="1" x14ac:dyDescent="0.2">
      <c r="A1260"/>
      <c r="B1260"/>
      <c r="C1260"/>
      <c r="D1260"/>
      <c r="E1260"/>
      <c r="F1260"/>
      <c r="G1260"/>
      <c r="U1260"/>
      <c r="V1260"/>
      <c r="W1260"/>
      <c r="X1260"/>
      <c r="Y1260"/>
      <c r="Z1260"/>
      <c r="AA1260"/>
      <c r="AB1260"/>
      <c r="AL1260"/>
      <c r="AM1260"/>
      <c r="AN1260"/>
      <c r="AO1260"/>
    </row>
    <row r="1261" spans="1:41" s="2" customFormat="1" x14ac:dyDescent="0.2">
      <c r="A1261"/>
      <c r="B1261"/>
      <c r="C1261"/>
      <c r="D1261"/>
      <c r="E1261"/>
      <c r="F1261"/>
      <c r="G1261"/>
      <c r="U1261"/>
      <c r="V1261"/>
      <c r="W1261"/>
      <c r="X1261"/>
      <c r="Y1261"/>
      <c r="Z1261"/>
      <c r="AA1261"/>
      <c r="AB1261"/>
      <c r="AL1261"/>
      <c r="AM1261"/>
      <c r="AN1261"/>
      <c r="AO1261"/>
    </row>
    <row r="1262" spans="1:41" s="2" customFormat="1" x14ac:dyDescent="0.2">
      <c r="A1262"/>
      <c r="B1262"/>
      <c r="C1262"/>
      <c r="D1262"/>
      <c r="E1262"/>
      <c r="F1262"/>
      <c r="G1262"/>
      <c r="U1262"/>
      <c r="V1262"/>
      <c r="W1262"/>
      <c r="X1262"/>
      <c r="Y1262"/>
      <c r="Z1262"/>
      <c r="AA1262"/>
      <c r="AB1262"/>
      <c r="AL1262"/>
      <c r="AM1262"/>
      <c r="AN1262"/>
      <c r="AO1262"/>
    </row>
    <row r="1263" spans="1:41" s="2" customFormat="1" x14ac:dyDescent="0.2">
      <c r="A1263"/>
      <c r="B1263"/>
      <c r="C1263"/>
      <c r="D1263"/>
      <c r="E1263"/>
      <c r="F1263"/>
      <c r="G1263"/>
      <c r="U1263"/>
      <c r="V1263"/>
      <c r="W1263"/>
      <c r="X1263"/>
      <c r="Y1263"/>
      <c r="Z1263"/>
      <c r="AA1263"/>
      <c r="AB1263"/>
      <c r="AL1263"/>
      <c r="AM1263"/>
      <c r="AN1263"/>
      <c r="AO1263"/>
    </row>
    <row r="1264" spans="1:41" s="2" customFormat="1" x14ac:dyDescent="0.2">
      <c r="A1264"/>
      <c r="B1264"/>
      <c r="C1264"/>
      <c r="D1264"/>
      <c r="E1264"/>
      <c r="F1264"/>
      <c r="G1264"/>
      <c r="U1264"/>
      <c r="V1264"/>
      <c r="W1264"/>
      <c r="X1264"/>
      <c r="Y1264"/>
      <c r="Z1264"/>
      <c r="AA1264"/>
      <c r="AB1264"/>
      <c r="AL1264"/>
      <c r="AM1264"/>
      <c r="AN1264"/>
      <c r="AO1264"/>
    </row>
    <row r="1265" spans="1:41" s="2" customFormat="1" x14ac:dyDescent="0.2">
      <c r="A1265"/>
      <c r="B1265"/>
      <c r="C1265"/>
      <c r="D1265"/>
      <c r="E1265"/>
      <c r="F1265"/>
      <c r="G1265"/>
      <c r="U1265"/>
      <c r="V1265"/>
      <c r="W1265"/>
      <c r="X1265"/>
      <c r="Y1265"/>
      <c r="Z1265"/>
      <c r="AA1265"/>
      <c r="AB1265"/>
      <c r="AL1265"/>
      <c r="AM1265"/>
      <c r="AN1265"/>
      <c r="AO1265"/>
    </row>
    <row r="1266" spans="1:41" s="2" customFormat="1" x14ac:dyDescent="0.2">
      <c r="A1266"/>
      <c r="B1266"/>
      <c r="C1266"/>
      <c r="D1266"/>
      <c r="E1266"/>
      <c r="F1266"/>
      <c r="G1266"/>
      <c r="U1266"/>
      <c r="V1266"/>
      <c r="W1266"/>
      <c r="X1266"/>
      <c r="Y1266"/>
      <c r="Z1266"/>
      <c r="AA1266"/>
      <c r="AB1266"/>
      <c r="AL1266"/>
      <c r="AM1266"/>
      <c r="AN1266"/>
      <c r="AO1266"/>
    </row>
    <row r="1267" spans="1:41" s="2" customFormat="1" x14ac:dyDescent="0.2">
      <c r="A1267"/>
      <c r="B1267"/>
      <c r="C1267"/>
      <c r="D1267"/>
      <c r="E1267"/>
      <c r="F1267"/>
      <c r="G1267"/>
      <c r="U1267"/>
      <c r="V1267"/>
      <c r="W1267"/>
      <c r="X1267"/>
      <c r="Y1267"/>
      <c r="Z1267"/>
      <c r="AA1267"/>
      <c r="AB1267"/>
      <c r="AL1267"/>
      <c r="AM1267"/>
      <c r="AN1267"/>
      <c r="AO1267"/>
    </row>
    <row r="1268" spans="1:41" s="2" customFormat="1" x14ac:dyDescent="0.2">
      <c r="A1268"/>
      <c r="B1268"/>
      <c r="C1268"/>
      <c r="D1268"/>
      <c r="E1268"/>
      <c r="F1268"/>
      <c r="G1268"/>
      <c r="U1268"/>
      <c r="V1268"/>
      <c r="W1268"/>
      <c r="X1268"/>
      <c r="Y1268"/>
      <c r="Z1268"/>
      <c r="AA1268"/>
      <c r="AB1268"/>
      <c r="AL1268"/>
      <c r="AM1268"/>
      <c r="AN1268"/>
      <c r="AO1268"/>
    </row>
    <row r="1269" spans="1:41" s="2" customFormat="1" x14ac:dyDescent="0.2">
      <c r="A1269"/>
      <c r="B1269"/>
      <c r="C1269"/>
      <c r="D1269"/>
      <c r="E1269"/>
      <c r="F1269"/>
      <c r="G1269"/>
      <c r="U1269"/>
      <c r="V1269"/>
      <c r="W1269"/>
      <c r="X1269"/>
      <c r="Y1269"/>
      <c r="Z1269"/>
      <c r="AA1269"/>
      <c r="AB1269"/>
      <c r="AL1269"/>
      <c r="AM1269"/>
      <c r="AN1269"/>
      <c r="AO1269"/>
    </row>
    <row r="1270" spans="1:41" s="2" customFormat="1" x14ac:dyDescent="0.2">
      <c r="A1270"/>
      <c r="B1270"/>
      <c r="C1270"/>
      <c r="D1270"/>
      <c r="E1270"/>
      <c r="F1270"/>
      <c r="G1270"/>
      <c r="U1270"/>
      <c r="V1270"/>
      <c r="W1270"/>
      <c r="X1270"/>
      <c r="Y1270"/>
      <c r="Z1270"/>
      <c r="AA1270"/>
      <c r="AB1270"/>
      <c r="AL1270"/>
      <c r="AM1270"/>
      <c r="AN1270"/>
      <c r="AO1270"/>
    </row>
    <row r="1271" spans="1:41" s="2" customFormat="1" x14ac:dyDescent="0.2">
      <c r="A1271"/>
      <c r="B1271"/>
      <c r="C1271"/>
      <c r="D1271"/>
      <c r="E1271"/>
      <c r="F1271"/>
      <c r="G1271"/>
      <c r="U1271"/>
      <c r="V1271"/>
      <c r="W1271"/>
      <c r="X1271"/>
      <c r="Y1271"/>
      <c r="Z1271"/>
      <c r="AA1271"/>
      <c r="AB1271"/>
      <c r="AL1271"/>
      <c r="AM1271"/>
      <c r="AN1271"/>
      <c r="AO1271"/>
    </row>
    <row r="1272" spans="1:41" s="2" customFormat="1" x14ac:dyDescent="0.2">
      <c r="A1272"/>
      <c r="B1272"/>
      <c r="C1272"/>
      <c r="D1272"/>
      <c r="E1272"/>
      <c r="F1272"/>
      <c r="G1272"/>
      <c r="U1272"/>
      <c r="V1272"/>
      <c r="W1272"/>
      <c r="X1272"/>
      <c r="Y1272"/>
      <c r="Z1272"/>
      <c r="AA1272"/>
      <c r="AB1272"/>
      <c r="AL1272"/>
      <c r="AM1272"/>
      <c r="AN1272"/>
      <c r="AO1272"/>
    </row>
    <row r="1273" spans="1:41" s="2" customFormat="1" x14ac:dyDescent="0.2">
      <c r="A1273"/>
      <c r="B1273"/>
      <c r="C1273"/>
      <c r="D1273"/>
      <c r="E1273"/>
      <c r="F1273"/>
      <c r="G1273"/>
      <c r="U1273"/>
      <c r="V1273"/>
      <c r="W1273"/>
      <c r="X1273"/>
      <c r="Y1273"/>
      <c r="Z1273"/>
      <c r="AA1273"/>
      <c r="AB1273"/>
      <c r="AL1273"/>
      <c r="AM1273"/>
      <c r="AN1273"/>
      <c r="AO1273"/>
    </row>
    <row r="1274" spans="1:41" s="2" customFormat="1" x14ac:dyDescent="0.2">
      <c r="A1274"/>
      <c r="B1274"/>
      <c r="C1274"/>
      <c r="D1274"/>
      <c r="E1274"/>
      <c r="F1274"/>
      <c r="G1274"/>
      <c r="U1274"/>
      <c r="V1274"/>
      <c r="W1274"/>
      <c r="X1274"/>
      <c r="Y1274"/>
      <c r="Z1274"/>
      <c r="AA1274"/>
      <c r="AB1274"/>
      <c r="AL1274"/>
      <c r="AM1274"/>
      <c r="AN1274"/>
      <c r="AO1274"/>
    </row>
    <row r="1275" spans="1:41" s="2" customFormat="1" x14ac:dyDescent="0.2">
      <c r="A1275"/>
      <c r="B1275"/>
      <c r="C1275"/>
      <c r="D1275"/>
      <c r="E1275"/>
      <c r="F1275"/>
      <c r="G1275"/>
      <c r="U1275"/>
      <c r="V1275"/>
      <c r="W1275"/>
      <c r="X1275"/>
      <c r="Y1275"/>
      <c r="Z1275"/>
      <c r="AA1275"/>
      <c r="AB1275"/>
      <c r="AL1275"/>
      <c r="AM1275"/>
      <c r="AN1275"/>
      <c r="AO1275"/>
    </row>
    <row r="1276" spans="1:41" s="2" customFormat="1" x14ac:dyDescent="0.2">
      <c r="A1276"/>
      <c r="B1276"/>
      <c r="C1276"/>
      <c r="D1276"/>
      <c r="E1276"/>
      <c r="F1276"/>
      <c r="G1276"/>
      <c r="U1276"/>
      <c r="V1276"/>
      <c r="W1276"/>
      <c r="X1276"/>
      <c r="Y1276"/>
      <c r="Z1276"/>
      <c r="AA1276"/>
      <c r="AB1276"/>
      <c r="AL1276"/>
      <c r="AM1276"/>
      <c r="AN1276"/>
      <c r="AO1276"/>
    </row>
    <row r="1277" spans="1:41" s="2" customFormat="1" x14ac:dyDescent="0.2">
      <c r="A1277"/>
      <c r="B1277"/>
      <c r="C1277"/>
      <c r="D1277"/>
      <c r="E1277"/>
      <c r="F1277"/>
      <c r="G1277"/>
      <c r="U1277"/>
      <c r="V1277"/>
      <c r="W1277"/>
      <c r="X1277"/>
      <c r="Y1277"/>
      <c r="Z1277"/>
      <c r="AA1277"/>
      <c r="AB1277"/>
      <c r="AL1277"/>
      <c r="AM1277"/>
      <c r="AN1277"/>
      <c r="AO1277"/>
    </row>
    <row r="1278" spans="1:41" s="2" customFormat="1" x14ac:dyDescent="0.2">
      <c r="A1278"/>
      <c r="B1278"/>
      <c r="C1278"/>
      <c r="D1278"/>
      <c r="E1278"/>
      <c r="F1278"/>
      <c r="G1278"/>
      <c r="U1278"/>
      <c r="V1278"/>
      <c r="W1278"/>
      <c r="X1278"/>
      <c r="Y1278"/>
      <c r="Z1278"/>
      <c r="AA1278"/>
      <c r="AB1278"/>
      <c r="AL1278"/>
      <c r="AM1278"/>
      <c r="AN1278"/>
      <c r="AO1278"/>
    </row>
    <row r="1279" spans="1:41" s="2" customFormat="1" x14ac:dyDescent="0.2">
      <c r="A1279"/>
      <c r="B1279"/>
      <c r="C1279"/>
      <c r="D1279"/>
      <c r="E1279"/>
      <c r="F1279"/>
      <c r="G1279"/>
      <c r="U1279"/>
      <c r="V1279"/>
      <c r="W1279"/>
      <c r="X1279"/>
      <c r="Y1279"/>
      <c r="Z1279"/>
      <c r="AA1279"/>
      <c r="AB1279"/>
      <c r="AL1279"/>
      <c r="AM1279"/>
      <c r="AN1279"/>
      <c r="AO1279"/>
    </row>
    <row r="1280" spans="1:41" s="2" customFormat="1" x14ac:dyDescent="0.2">
      <c r="A1280"/>
      <c r="B1280"/>
      <c r="C1280"/>
      <c r="D1280"/>
      <c r="E1280"/>
      <c r="F1280"/>
      <c r="G1280"/>
      <c r="U1280"/>
      <c r="V1280"/>
      <c r="W1280"/>
      <c r="X1280"/>
      <c r="Y1280"/>
      <c r="Z1280"/>
      <c r="AA1280"/>
      <c r="AB1280"/>
      <c r="AL1280"/>
      <c r="AM1280"/>
      <c r="AN1280"/>
      <c r="AO1280"/>
    </row>
    <row r="1281" spans="1:41" s="2" customFormat="1" x14ac:dyDescent="0.2">
      <c r="A1281"/>
      <c r="B1281"/>
      <c r="C1281"/>
      <c r="D1281"/>
      <c r="E1281"/>
      <c r="F1281"/>
      <c r="G1281"/>
      <c r="U1281"/>
      <c r="V1281"/>
      <c r="W1281"/>
      <c r="X1281"/>
      <c r="Y1281"/>
      <c r="Z1281"/>
      <c r="AA1281"/>
      <c r="AB1281"/>
      <c r="AL1281"/>
      <c r="AM1281"/>
      <c r="AN1281"/>
      <c r="AO1281"/>
    </row>
    <row r="1282" spans="1:41" s="2" customFormat="1" x14ac:dyDescent="0.2">
      <c r="A1282"/>
      <c r="B1282"/>
      <c r="C1282"/>
      <c r="D1282"/>
      <c r="E1282"/>
      <c r="F1282"/>
      <c r="G1282"/>
      <c r="U1282"/>
      <c r="V1282"/>
      <c r="W1282"/>
      <c r="X1282"/>
      <c r="Y1282"/>
      <c r="Z1282"/>
      <c r="AA1282"/>
      <c r="AB1282"/>
      <c r="AL1282"/>
      <c r="AM1282"/>
      <c r="AN1282"/>
      <c r="AO1282"/>
    </row>
    <row r="1283" spans="1:41" s="2" customFormat="1" x14ac:dyDescent="0.2">
      <c r="A1283"/>
      <c r="B1283"/>
      <c r="C1283"/>
      <c r="D1283"/>
      <c r="E1283"/>
      <c r="F1283"/>
      <c r="G1283"/>
      <c r="U1283"/>
      <c r="V1283"/>
      <c r="W1283"/>
      <c r="X1283"/>
      <c r="Y1283"/>
      <c r="Z1283"/>
      <c r="AA1283"/>
      <c r="AB1283"/>
      <c r="AL1283"/>
      <c r="AM1283"/>
      <c r="AN1283"/>
      <c r="AO1283"/>
    </row>
    <row r="1284" spans="1:41" s="2" customFormat="1" x14ac:dyDescent="0.2">
      <c r="A1284"/>
      <c r="B1284"/>
      <c r="C1284"/>
      <c r="D1284"/>
      <c r="E1284"/>
      <c r="F1284"/>
      <c r="G1284"/>
      <c r="U1284"/>
      <c r="V1284"/>
      <c r="W1284"/>
      <c r="X1284"/>
      <c r="Y1284"/>
      <c r="Z1284"/>
      <c r="AA1284"/>
      <c r="AB1284"/>
      <c r="AL1284"/>
      <c r="AM1284"/>
      <c r="AN1284"/>
      <c r="AO1284"/>
    </row>
    <row r="1285" spans="1:41" s="2" customFormat="1" x14ac:dyDescent="0.2">
      <c r="A1285"/>
      <c r="B1285"/>
      <c r="C1285"/>
      <c r="D1285"/>
      <c r="E1285"/>
      <c r="F1285"/>
      <c r="G1285"/>
      <c r="U1285"/>
      <c r="V1285"/>
      <c r="W1285"/>
      <c r="X1285"/>
      <c r="Y1285"/>
      <c r="Z1285"/>
      <c r="AA1285"/>
      <c r="AB1285"/>
      <c r="AL1285"/>
      <c r="AM1285"/>
      <c r="AN1285"/>
      <c r="AO1285"/>
    </row>
    <row r="1286" spans="1:41" s="2" customFormat="1" x14ac:dyDescent="0.2">
      <c r="A1286"/>
      <c r="B1286"/>
      <c r="C1286"/>
      <c r="D1286"/>
      <c r="E1286"/>
      <c r="F1286"/>
      <c r="G1286"/>
      <c r="U1286"/>
      <c r="V1286"/>
      <c r="W1286"/>
      <c r="X1286"/>
      <c r="Y1286"/>
      <c r="Z1286"/>
      <c r="AA1286"/>
      <c r="AB1286"/>
      <c r="AL1286"/>
      <c r="AM1286"/>
      <c r="AN1286"/>
      <c r="AO1286"/>
    </row>
    <row r="1287" spans="1:41" s="2" customFormat="1" x14ac:dyDescent="0.2">
      <c r="A1287"/>
      <c r="B1287"/>
      <c r="C1287"/>
      <c r="D1287"/>
      <c r="E1287"/>
      <c r="F1287"/>
      <c r="G1287"/>
      <c r="U1287"/>
      <c r="V1287"/>
      <c r="W1287"/>
      <c r="X1287"/>
      <c r="Y1287"/>
      <c r="Z1287"/>
      <c r="AA1287"/>
      <c r="AB1287"/>
      <c r="AL1287"/>
      <c r="AM1287"/>
      <c r="AN1287"/>
      <c r="AO1287"/>
    </row>
    <row r="1288" spans="1:41" s="2" customFormat="1" x14ac:dyDescent="0.2">
      <c r="A1288"/>
      <c r="B1288"/>
      <c r="C1288"/>
      <c r="D1288"/>
      <c r="E1288"/>
      <c r="F1288"/>
      <c r="G1288"/>
      <c r="U1288"/>
      <c r="V1288"/>
      <c r="W1288"/>
      <c r="X1288"/>
      <c r="Y1288"/>
      <c r="Z1288"/>
      <c r="AA1288"/>
      <c r="AB1288"/>
      <c r="AL1288"/>
      <c r="AM1288"/>
      <c r="AN1288"/>
      <c r="AO1288"/>
    </row>
    <row r="1289" spans="1:41" s="2" customFormat="1" x14ac:dyDescent="0.2">
      <c r="A1289"/>
      <c r="B1289"/>
      <c r="C1289"/>
      <c r="D1289"/>
      <c r="E1289"/>
      <c r="F1289"/>
      <c r="G1289"/>
      <c r="U1289"/>
      <c r="V1289"/>
      <c r="W1289"/>
      <c r="X1289"/>
      <c r="Y1289"/>
      <c r="Z1289"/>
      <c r="AA1289"/>
      <c r="AB1289"/>
      <c r="AL1289"/>
      <c r="AM1289"/>
      <c r="AN1289"/>
      <c r="AO1289"/>
    </row>
    <row r="1290" spans="1:41" s="2" customFormat="1" x14ac:dyDescent="0.2">
      <c r="A1290"/>
      <c r="B1290"/>
      <c r="C1290"/>
      <c r="D1290"/>
      <c r="E1290"/>
      <c r="F1290"/>
      <c r="G1290"/>
      <c r="U1290"/>
      <c r="V1290"/>
      <c r="W1290"/>
      <c r="X1290"/>
      <c r="Y1290"/>
      <c r="Z1290"/>
      <c r="AA1290"/>
      <c r="AB1290"/>
      <c r="AL1290"/>
      <c r="AM1290"/>
      <c r="AN1290"/>
      <c r="AO1290"/>
    </row>
    <row r="1291" spans="1:41" s="2" customFormat="1" x14ac:dyDescent="0.2">
      <c r="A1291"/>
      <c r="B1291"/>
      <c r="C1291"/>
      <c r="D1291"/>
      <c r="E1291"/>
      <c r="F1291"/>
      <c r="G1291"/>
      <c r="U1291"/>
      <c r="V1291"/>
      <c r="W1291"/>
      <c r="X1291"/>
      <c r="Y1291"/>
      <c r="Z1291"/>
      <c r="AA1291"/>
      <c r="AB1291"/>
      <c r="AL1291"/>
      <c r="AM1291"/>
      <c r="AN1291"/>
      <c r="AO1291"/>
    </row>
    <row r="1292" spans="1:41" s="2" customFormat="1" x14ac:dyDescent="0.2">
      <c r="A1292"/>
      <c r="B1292"/>
      <c r="C1292"/>
      <c r="D1292"/>
      <c r="E1292"/>
      <c r="F1292"/>
      <c r="G1292"/>
      <c r="U1292"/>
      <c r="V1292"/>
      <c r="W1292"/>
      <c r="X1292"/>
      <c r="Y1292"/>
      <c r="Z1292"/>
      <c r="AA1292"/>
      <c r="AB1292"/>
      <c r="AL1292"/>
      <c r="AM1292"/>
      <c r="AN1292"/>
      <c r="AO1292"/>
    </row>
    <row r="1293" spans="1:41" s="2" customFormat="1" x14ac:dyDescent="0.2">
      <c r="A1293"/>
      <c r="B1293"/>
      <c r="C1293"/>
      <c r="D1293"/>
      <c r="E1293"/>
      <c r="F1293"/>
      <c r="G1293"/>
      <c r="U1293"/>
      <c r="V1293"/>
      <c r="W1293"/>
      <c r="X1293"/>
      <c r="Y1293"/>
      <c r="Z1293"/>
      <c r="AA1293"/>
      <c r="AB1293"/>
      <c r="AL1293"/>
      <c r="AM1293"/>
      <c r="AN1293"/>
      <c r="AO1293"/>
    </row>
    <row r="1294" spans="1:41" s="2" customFormat="1" x14ac:dyDescent="0.2">
      <c r="A1294"/>
      <c r="B1294"/>
      <c r="C1294"/>
      <c r="D1294"/>
      <c r="E1294"/>
      <c r="F1294"/>
      <c r="G1294"/>
      <c r="U1294"/>
      <c r="V1294"/>
      <c r="W1294"/>
      <c r="X1294"/>
      <c r="Y1294"/>
      <c r="Z1294"/>
      <c r="AA1294"/>
      <c r="AB1294"/>
      <c r="AL1294"/>
      <c r="AM1294"/>
      <c r="AN1294"/>
      <c r="AO1294"/>
    </row>
    <row r="1295" spans="1:41" s="2" customFormat="1" x14ac:dyDescent="0.2">
      <c r="A1295"/>
      <c r="B1295"/>
      <c r="C1295"/>
      <c r="D1295"/>
      <c r="E1295"/>
      <c r="F1295"/>
      <c r="G1295"/>
      <c r="U1295"/>
      <c r="V1295"/>
      <c r="W1295"/>
      <c r="X1295"/>
      <c r="Y1295"/>
      <c r="Z1295"/>
      <c r="AA1295"/>
      <c r="AB1295"/>
      <c r="AL1295"/>
      <c r="AM1295"/>
      <c r="AN1295"/>
      <c r="AO1295"/>
    </row>
    <row r="1296" spans="1:41" s="2" customFormat="1" x14ac:dyDescent="0.2">
      <c r="A1296"/>
      <c r="B1296"/>
      <c r="C1296"/>
      <c r="D1296"/>
      <c r="E1296"/>
      <c r="F1296"/>
      <c r="G1296"/>
      <c r="U1296"/>
      <c r="V1296"/>
      <c r="W1296"/>
      <c r="X1296"/>
      <c r="Y1296"/>
      <c r="Z1296"/>
      <c r="AA1296"/>
      <c r="AB1296"/>
      <c r="AL1296"/>
      <c r="AM1296"/>
      <c r="AN1296"/>
      <c r="AO1296"/>
    </row>
    <row r="1297" spans="1:41" s="2" customFormat="1" x14ac:dyDescent="0.2">
      <c r="A1297"/>
      <c r="B1297"/>
      <c r="C1297"/>
      <c r="D1297"/>
      <c r="E1297"/>
      <c r="F1297"/>
      <c r="G1297"/>
      <c r="U1297"/>
      <c r="V1297"/>
      <c r="W1297"/>
      <c r="X1297"/>
      <c r="Y1297"/>
      <c r="Z1297"/>
      <c r="AA1297"/>
      <c r="AB1297"/>
      <c r="AL1297"/>
      <c r="AM1297"/>
      <c r="AN1297"/>
      <c r="AO1297"/>
    </row>
    <row r="1298" spans="1:41" s="2" customFormat="1" x14ac:dyDescent="0.2">
      <c r="A1298"/>
      <c r="B1298"/>
      <c r="C1298"/>
      <c r="D1298"/>
      <c r="E1298"/>
      <c r="F1298"/>
      <c r="G1298"/>
      <c r="U1298"/>
      <c r="V1298"/>
      <c r="W1298"/>
      <c r="X1298"/>
      <c r="Y1298"/>
      <c r="Z1298"/>
      <c r="AA1298"/>
      <c r="AB1298"/>
      <c r="AL1298"/>
      <c r="AM1298"/>
      <c r="AN1298"/>
      <c r="AO1298"/>
    </row>
    <row r="1299" spans="1:41" s="2" customFormat="1" x14ac:dyDescent="0.2">
      <c r="A1299"/>
      <c r="B1299"/>
      <c r="C1299"/>
      <c r="D1299"/>
      <c r="E1299"/>
      <c r="F1299"/>
      <c r="G1299"/>
      <c r="U1299"/>
      <c r="V1299"/>
      <c r="W1299"/>
      <c r="X1299"/>
      <c r="Y1299"/>
      <c r="Z1299"/>
      <c r="AA1299"/>
      <c r="AB1299"/>
      <c r="AL1299"/>
      <c r="AM1299"/>
      <c r="AN1299"/>
      <c r="AO1299"/>
    </row>
    <row r="1300" spans="1:41" s="2" customFormat="1" x14ac:dyDescent="0.2">
      <c r="A1300"/>
      <c r="B1300"/>
      <c r="C1300"/>
      <c r="D1300"/>
      <c r="E1300"/>
      <c r="F1300"/>
      <c r="G1300"/>
      <c r="U1300"/>
      <c r="V1300"/>
      <c r="W1300"/>
      <c r="X1300"/>
      <c r="Y1300"/>
      <c r="Z1300"/>
      <c r="AA1300"/>
      <c r="AB1300"/>
      <c r="AL1300"/>
      <c r="AM1300"/>
      <c r="AN1300"/>
      <c r="AO1300"/>
    </row>
    <row r="1301" spans="1:41" s="2" customFormat="1" x14ac:dyDescent="0.2">
      <c r="A1301"/>
      <c r="B1301"/>
      <c r="C1301"/>
      <c r="D1301"/>
      <c r="E1301"/>
      <c r="F1301"/>
      <c r="G1301"/>
      <c r="U1301"/>
      <c r="V1301"/>
      <c r="W1301"/>
      <c r="X1301"/>
      <c r="Y1301"/>
      <c r="Z1301"/>
      <c r="AA1301"/>
      <c r="AB1301"/>
      <c r="AL1301"/>
      <c r="AM1301"/>
      <c r="AN1301"/>
      <c r="AO1301"/>
    </row>
    <row r="1302" spans="1:41" s="2" customFormat="1" x14ac:dyDescent="0.2">
      <c r="A1302"/>
      <c r="B1302"/>
      <c r="C1302"/>
      <c r="D1302"/>
      <c r="E1302"/>
      <c r="F1302"/>
      <c r="G1302"/>
      <c r="U1302"/>
      <c r="V1302"/>
      <c r="W1302"/>
      <c r="X1302"/>
      <c r="Y1302"/>
      <c r="Z1302"/>
      <c r="AA1302"/>
      <c r="AB1302"/>
      <c r="AL1302"/>
      <c r="AM1302"/>
      <c r="AN1302"/>
      <c r="AO1302"/>
    </row>
    <row r="1303" spans="1:41" s="2" customFormat="1" x14ac:dyDescent="0.2">
      <c r="A1303"/>
      <c r="B1303"/>
      <c r="C1303"/>
      <c r="D1303"/>
      <c r="E1303"/>
      <c r="F1303"/>
      <c r="G1303"/>
      <c r="U1303"/>
      <c r="V1303"/>
      <c r="W1303"/>
      <c r="X1303"/>
      <c r="Y1303"/>
      <c r="Z1303"/>
      <c r="AA1303"/>
      <c r="AB1303"/>
      <c r="AL1303"/>
      <c r="AM1303"/>
      <c r="AN1303"/>
      <c r="AO1303"/>
    </row>
    <row r="1304" spans="1:41" s="2" customFormat="1" x14ac:dyDescent="0.2">
      <c r="A1304"/>
      <c r="B1304"/>
      <c r="C1304"/>
      <c r="D1304"/>
      <c r="E1304"/>
      <c r="F1304"/>
      <c r="G1304"/>
      <c r="U1304"/>
      <c r="V1304"/>
      <c r="W1304"/>
      <c r="X1304"/>
      <c r="Y1304"/>
      <c r="Z1304"/>
      <c r="AA1304"/>
      <c r="AB1304"/>
      <c r="AL1304"/>
      <c r="AM1304"/>
      <c r="AN1304"/>
      <c r="AO1304"/>
    </row>
    <row r="1305" spans="1:41" s="2" customFormat="1" x14ac:dyDescent="0.2">
      <c r="A1305"/>
      <c r="B1305"/>
      <c r="C1305"/>
      <c r="D1305"/>
      <c r="E1305"/>
      <c r="F1305"/>
      <c r="G1305"/>
      <c r="U1305"/>
      <c r="V1305"/>
      <c r="W1305"/>
      <c r="X1305"/>
      <c r="Y1305"/>
      <c r="Z1305"/>
      <c r="AA1305"/>
      <c r="AB1305"/>
      <c r="AL1305"/>
      <c r="AM1305"/>
      <c r="AN1305"/>
      <c r="AO1305"/>
    </row>
    <row r="1306" spans="1:41" s="2" customFormat="1" x14ac:dyDescent="0.2">
      <c r="A1306"/>
      <c r="B1306"/>
      <c r="C1306"/>
      <c r="D1306"/>
      <c r="E1306"/>
      <c r="F1306"/>
      <c r="G1306"/>
      <c r="U1306"/>
      <c r="V1306"/>
      <c r="W1306"/>
      <c r="X1306"/>
      <c r="Y1306"/>
      <c r="Z1306"/>
      <c r="AA1306"/>
      <c r="AB1306"/>
      <c r="AL1306"/>
      <c r="AM1306"/>
      <c r="AN1306"/>
      <c r="AO1306"/>
    </row>
    <row r="1307" spans="1:41" s="2" customFormat="1" x14ac:dyDescent="0.2">
      <c r="A1307"/>
      <c r="B1307"/>
      <c r="C1307"/>
      <c r="D1307"/>
      <c r="E1307"/>
      <c r="F1307"/>
      <c r="G1307"/>
      <c r="U1307"/>
      <c r="V1307"/>
      <c r="W1307"/>
      <c r="X1307"/>
      <c r="Y1307"/>
      <c r="Z1307"/>
      <c r="AA1307"/>
      <c r="AB1307"/>
      <c r="AL1307"/>
      <c r="AM1307"/>
      <c r="AN1307"/>
      <c r="AO1307"/>
    </row>
    <row r="1308" spans="1:41" s="2" customFormat="1" x14ac:dyDescent="0.2">
      <c r="A1308"/>
      <c r="B1308"/>
      <c r="C1308"/>
      <c r="D1308"/>
      <c r="E1308"/>
      <c r="F1308"/>
      <c r="G1308"/>
      <c r="U1308"/>
      <c r="V1308"/>
      <c r="W1308"/>
      <c r="X1308"/>
      <c r="Y1308"/>
      <c r="Z1308"/>
      <c r="AA1308"/>
      <c r="AB1308"/>
      <c r="AL1308"/>
      <c r="AM1308"/>
      <c r="AN1308"/>
      <c r="AO1308"/>
    </row>
    <row r="1309" spans="1:41" s="2" customFormat="1" x14ac:dyDescent="0.2">
      <c r="A1309"/>
      <c r="B1309"/>
      <c r="C1309"/>
      <c r="D1309"/>
      <c r="E1309"/>
      <c r="F1309"/>
      <c r="G1309"/>
      <c r="U1309"/>
      <c r="V1309"/>
      <c r="W1309"/>
      <c r="X1309"/>
      <c r="Y1309"/>
      <c r="Z1309"/>
      <c r="AA1309"/>
      <c r="AB1309"/>
      <c r="AL1309"/>
      <c r="AM1309"/>
      <c r="AN1309"/>
      <c r="AO1309"/>
    </row>
    <row r="1310" spans="1:41" s="2" customFormat="1" x14ac:dyDescent="0.2">
      <c r="A1310"/>
      <c r="B1310"/>
      <c r="C1310"/>
      <c r="D1310"/>
      <c r="E1310"/>
      <c r="F1310"/>
      <c r="G1310"/>
      <c r="U1310"/>
      <c r="V1310"/>
      <c r="W1310"/>
      <c r="X1310"/>
      <c r="Y1310"/>
      <c r="Z1310"/>
      <c r="AA1310"/>
      <c r="AB1310"/>
      <c r="AL1310"/>
      <c r="AM1310"/>
      <c r="AN1310"/>
      <c r="AO1310"/>
    </row>
    <row r="1311" spans="1:41" s="2" customFormat="1" x14ac:dyDescent="0.2">
      <c r="A1311"/>
      <c r="B1311"/>
      <c r="C1311"/>
      <c r="D1311"/>
      <c r="E1311"/>
      <c r="F1311"/>
      <c r="G1311"/>
      <c r="U1311"/>
      <c r="V1311"/>
      <c r="W1311"/>
      <c r="X1311"/>
      <c r="Y1311"/>
      <c r="Z1311"/>
      <c r="AA1311"/>
      <c r="AB1311"/>
      <c r="AL1311"/>
      <c r="AM1311"/>
      <c r="AN1311"/>
      <c r="AO1311"/>
    </row>
    <row r="1312" spans="1:41" s="2" customFormat="1" x14ac:dyDescent="0.2">
      <c r="A1312"/>
      <c r="B1312"/>
      <c r="C1312"/>
      <c r="D1312"/>
      <c r="E1312"/>
      <c r="F1312"/>
      <c r="G1312"/>
      <c r="U1312"/>
      <c r="V1312"/>
      <c r="W1312"/>
      <c r="X1312"/>
      <c r="Y1312"/>
      <c r="Z1312"/>
      <c r="AA1312"/>
      <c r="AB1312"/>
      <c r="AL1312"/>
      <c r="AM1312"/>
      <c r="AN1312"/>
      <c r="AO1312"/>
    </row>
    <row r="1313" spans="1:41" s="2" customFormat="1" x14ac:dyDescent="0.2">
      <c r="A1313"/>
      <c r="B1313"/>
      <c r="C1313"/>
      <c r="D1313"/>
      <c r="E1313"/>
      <c r="F1313"/>
      <c r="G1313"/>
      <c r="U1313"/>
      <c r="V1313"/>
      <c r="W1313"/>
      <c r="X1313"/>
      <c r="Y1313"/>
      <c r="Z1313"/>
      <c r="AA1313"/>
      <c r="AB1313"/>
      <c r="AL1313"/>
      <c r="AM1313"/>
      <c r="AN1313"/>
      <c r="AO1313"/>
    </row>
    <row r="1314" spans="1:41" s="2" customFormat="1" x14ac:dyDescent="0.2">
      <c r="A1314"/>
      <c r="B1314"/>
      <c r="C1314"/>
      <c r="D1314"/>
      <c r="E1314"/>
      <c r="F1314"/>
      <c r="G1314"/>
      <c r="U1314"/>
      <c r="V1314"/>
      <c r="W1314"/>
      <c r="X1314"/>
      <c r="Y1314"/>
      <c r="Z1314"/>
      <c r="AA1314"/>
      <c r="AB1314"/>
      <c r="AL1314"/>
      <c r="AM1314"/>
      <c r="AN1314"/>
      <c r="AO1314"/>
    </row>
    <row r="1315" spans="1:41" s="2" customFormat="1" x14ac:dyDescent="0.2">
      <c r="A1315"/>
      <c r="B1315"/>
      <c r="C1315"/>
      <c r="D1315"/>
      <c r="E1315"/>
      <c r="F1315"/>
      <c r="G1315"/>
      <c r="U1315"/>
      <c r="V1315"/>
      <c r="W1315"/>
      <c r="X1315"/>
      <c r="Y1315"/>
      <c r="Z1315"/>
      <c r="AA1315"/>
      <c r="AB1315"/>
      <c r="AL1315"/>
      <c r="AM1315"/>
      <c r="AN1315"/>
      <c r="AO1315"/>
    </row>
    <row r="1316" spans="1:41" s="2" customFormat="1" x14ac:dyDescent="0.2">
      <c r="A1316"/>
      <c r="B1316"/>
      <c r="C1316"/>
      <c r="D1316"/>
      <c r="E1316"/>
      <c r="F1316"/>
      <c r="G1316"/>
      <c r="U1316"/>
      <c r="V1316"/>
      <c r="W1316"/>
      <c r="X1316"/>
      <c r="Y1316"/>
      <c r="Z1316"/>
      <c r="AA1316"/>
      <c r="AB1316"/>
      <c r="AL1316"/>
      <c r="AM1316"/>
      <c r="AN1316"/>
      <c r="AO1316"/>
    </row>
    <row r="1317" spans="1:41" s="2" customFormat="1" x14ac:dyDescent="0.2">
      <c r="A1317"/>
      <c r="B1317"/>
      <c r="C1317"/>
      <c r="D1317"/>
      <c r="E1317"/>
      <c r="F1317"/>
      <c r="G1317"/>
      <c r="U1317"/>
      <c r="V1317"/>
      <c r="W1317"/>
      <c r="X1317"/>
      <c r="Y1317"/>
      <c r="Z1317"/>
      <c r="AA1317"/>
      <c r="AB1317"/>
      <c r="AL1317"/>
      <c r="AM1317"/>
      <c r="AN1317"/>
      <c r="AO1317"/>
    </row>
    <row r="1318" spans="1:41" s="2" customFormat="1" x14ac:dyDescent="0.2">
      <c r="A1318"/>
      <c r="B1318"/>
      <c r="C1318"/>
      <c r="D1318"/>
      <c r="E1318"/>
      <c r="F1318"/>
      <c r="G1318"/>
      <c r="U1318"/>
      <c r="V1318"/>
      <c r="W1318"/>
      <c r="X1318"/>
      <c r="Y1318"/>
      <c r="Z1318"/>
      <c r="AA1318"/>
      <c r="AB1318"/>
      <c r="AL1318"/>
      <c r="AM1318"/>
      <c r="AN1318"/>
      <c r="AO1318"/>
    </row>
    <row r="1319" spans="1:41" s="2" customFormat="1" x14ac:dyDescent="0.2">
      <c r="A1319"/>
      <c r="B1319"/>
      <c r="C1319"/>
      <c r="D1319"/>
      <c r="E1319"/>
      <c r="F1319"/>
      <c r="G1319"/>
      <c r="U1319"/>
      <c r="V1319"/>
      <c r="W1319"/>
      <c r="X1319"/>
      <c r="Y1319"/>
      <c r="Z1319"/>
      <c r="AA1319"/>
      <c r="AB1319"/>
      <c r="AL1319"/>
      <c r="AM1319"/>
      <c r="AN1319"/>
      <c r="AO1319"/>
    </row>
    <row r="1320" spans="1:41" s="2" customFormat="1" x14ac:dyDescent="0.2">
      <c r="A1320"/>
      <c r="B1320"/>
      <c r="C1320"/>
      <c r="D1320"/>
      <c r="E1320"/>
      <c r="F1320"/>
      <c r="G1320"/>
      <c r="U1320"/>
      <c r="V1320"/>
      <c r="W1320"/>
      <c r="X1320"/>
      <c r="Y1320"/>
      <c r="Z1320"/>
      <c r="AA1320"/>
      <c r="AB1320"/>
      <c r="AL1320"/>
      <c r="AM1320"/>
      <c r="AN1320"/>
      <c r="AO1320"/>
    </row>
    <row r="1321" spans="1:41" s="2" customFormat="1" x14ac:dyDescent="0.2">
      <c r="A1321"/>
      <c r="B1321"/>
      <c r="C1321"/>
      <c r="D1321"/>
      <c r="E1321"/>
      <c r="F1321"/>
      <c r="G1321"/>
      <c r="U1321"/>
      <c r="V1321"/>
      <c r="W1321"/>
      <c r="X1321"/>
      <c r="Y1321"/>
      <c r="Z1321"/>
      <c r="AA1321"/>
      <c r="AB1321"/>
      <c r="AL1321"/>
      <c r="AM1321"/>
      <c r="AN1321"/>
      <c r="AO1321"/>
    </row>
    <row r="1322" spans="1:41" s="2" customFormat="1" x14ac:dyDescent="0.2">
      <c r="A1322"/>
      <c r="B1322"/>
      <c r="C1322"/>
      <c r="D1322"/>
      <c r="E1322"/>
      <c r="F1322"/>
      <c r="G1322"/>
      <c r="U1322"/>
      <c r="V1322"/>
      <c r="W1322"/>
      <c r="X1322"/>
      <c r="Y1322"/>
      <c r="Z1322"/>
      <c r="AA1322"/>
      <c r="AB1322"/>
      <c r="AL1322"/>
      <c r="AM1322"/>
      <c r="AN1322"/>
      <c r="AO1322"/>
    </row>
    <row r="1323" spans="1:41" s="2" customFormat="1" x14ac:dyDescent="0.2">
      <c r="A1323"/>
      <c r="B1323"/>
      <c r="C1323"/>
      <c r="D1323"/>
      <c r="E1323"/>
      <c r="F1323"/>
      <c r="G1323"/>
      <c r="U1323"/>
      <c r="V1323"/>
      <c r="W1323"/>
      <c r="X1323"/>
      <c r="Y1323"/>
      <c r="Z1323"/>
      <c r="AA1323"/>
      <c r="AB1323"/>
      <c r="AL1323"/>
      <c r="AM1323"/>
      <c r="AN1323"/>
      <c r="AO1323"/>
    </row>
    <row r="1324" spans="1:41" s="2" customFormat="1" x14ac:dyDescent="0.2">
      <c r="A1324"/>
      <c r="B1324"/>
      <c r="C1324"/>
      <c r="D1324"/>
      <c r="E1324"/>
      <c r="F1324"/>
      <c r="G1324"/>
      <c r="U1324"/>
      <c r="V1324"/>
      <c r="W1324"/>
      <c r="X1324"/>
      <c r="Y1324"/>
      <c r="Z1324"/>
      <c r="AA1324"/>
      <c r="AB1324"/>
      <c r="AL1324"/>
      <c r="AM1324"/>
      <c r="AN1324"/>
      <c r="AO1324"/>
    </row>
    <row r="1325" spans="1:41" s="2" customFormat="1" x14ac:dyDescent="0.2">
      <c r="A1325"/>
      <c r="B1325"/>
      <c r="C1325"/>
      <c r="D1325"/>
      <c r="E1325"/>
      <c r="F1325"/>
      <c r="G1325"/>
      <c r="U1325"/>
      <c r="V1325"/>
      <c r="W1325"/>
      <c r="X1325"/>
      <c r="Y1325"/>
      <c r="Z1325"/>
      <c r="AA1325"/>
      <c r="AB1325"/>
      <c r="AL1325"/>
      <c r="AM1325"/>
      <c r="AN1325"/>
      <c r="AO1325"/>
    </row>
    <row r="1326" spans="1:41" s="2" customFormat="1" x14ac:dyDescent="0.2">
      <c r="A1326"/>
      <c r="B1326"/>
      <c r="C1326"/>
      <c r="D1326"/>
      <c r="E1326"/>
      <c r="F1326"/>
      <c r="G1326"/>
      <c r="U1326"/>
      <c r="V1326"/>
      <c r="W1326"/>
      <c r="X1326"/>
      <c r="Y1326"/>
      <c r="Z1326"/>
      <c r="AA1326"/>
      <c r="AB1326"/>
      <c r="AL1326"/>
      <c r="AM1326"/>
      <c r="AN1326"/>
      <c r="AO1326"/>
    </row>
    <row r="1327" spans="1:41" s="2" customFormat="1" x14ac:dyDescent="0.2">
      <c r="A1327"/>
      <c r="B1327"/>
      <c r="C1327"/>
      <c r="D1327"/>
      <c r="E1327"/>
      <c r="F1327"/>
      <c r="G1327"/>
      <c r="U1327"/>
      <c r="V1327"/>
      <c r="W1327"/>
      <c r="X1327"/>
      <c r="Y1327"/>
      <c r="Z1327"/>
      <c r="AA1327"/>
      <c r="AB1327"/>
      <c r="AL1327"/>
      <c r="AM1327"/>
      <c r="AN1327"/>
      <c r="AO1327"/>
    </row>
    <row r="1328" spans="1:41" s="2" customFormat="1" x14ac:dyDescent="0.2">
      <c r="A1328"/>
      <c r="B1328"/>
      <c r="C1328"/>
      <c r="D1328"/>
      <c r="E1328"/>
      <c r="F1328"/>
      <c r="G1328"/>
      <c r="U1328"/>
      <c r="V1328"/>
      <c r="W1328"/>
      <c r="X1328"/>
      <c r="Y1328"/>
      <c r="Z1328"/>
      <c r="AA1328"/>
      <c r="AB1328"/>
      <c r="AL1328"/>
      <c r="AM1328"/>
      <c r="AN1328"/>
      <c r="AO1328"/>
    </row>
    <row r="1329" spans="1:41" s="2" customFormat="1" x14ac:dyDescent="0.2">
      <c r="A1329"/>
      <c r="B1329"/>
      <c r="C1329"/>
      <c r="D1329"/>
      <c r="E1329"/>
      <c r="F1329"/>
      <c r="G1329"/>
      <c r="U1329"/>
      <c r="V1329"/>
      <c r="W1329"/>
      <c r="X1329"/>
      <c r="Y1329"/>
      <c r="Z1329"/>
      <c r="AA1329"/>
      <c r="AB1329"/>
      <c r="AL1329"/>
      <c r="AM1329"/>
      <c r="AN1329"/>
      <c r="AO1329"/>
    </row>
    <row r="1330" spans="1:41" s="2" customFormat="1" x14ac:dyDescent="0.2">
      <c r="A1330"/>
      <c r="B1330"/>
      <c r="C1330"/>
      <c r="D1330"/>
      <c r="E1330"/>
      <c r="F1330"/>
      <c r="G1330"/>
      <c r="U1330"/>
      <c r="V1330"/>
      <c r="W1330"/>
      <c r="X1330"/>
      <c r="Y1330"/>
      <c r="Z1330"/>
      <c r="AA1330"/>
      <c r="AB1330"/>
      <c r="AL1330"/>
      <c r="AM1330"/>
      <c r="AN1330"/>
      <c r="AO1330"/>
    </row>
    <row r="1331" spans="1:41" s="2" customFormat="1" x14ac:dyDescent="0.2">
      <c r="A1331"/>
      <c r="B1331"/>
      <c r="C1331"/>
      <c r="D1331"/>
      <c r="E1331"/>
      <c r="F1331"/>
      <c r="G1331"/>
      <c r="U1331"/>
      <c r="V1331"/>
      <c r="W1331"/>
      <c r="X1331"/>
      <c r="Y1331"/>
      <c r="Z1331"/>
      <c r="AA1331"/>
      <c r="AB1331"/>
      <c r="AL1331"/>
      <c r="AM1331"/>
      <c r="AN1331"/>
      <c r="AO1331"/>
    </row>
    <row r="1332" spans="1:41" s="2" customFormat="1" x14ac:dyDescent="0.2">
      <c r="A1332"/>
      <c r="B1332"/>
      <c r="C1332"/>
      <c r="D1332"/>
      <c r="E1332"/>
      <c r="F1332"/>
      <c r="G1332"/>
      <c r="U1332"/>
      <c r="V1332"/>
      <c r="W1332"/>
      <c r="X1332"/>
      <c r="Y1332"/>
      <c r="Z1332"/>
      <c r="AA1332"/>
      <c r="AB1332"/>
      <c r="AL1332"/>
      <c r="AM1332"/>
      <c r="AN1332"/>
      <c r="AO1332"/>
    </row>
    <row r="1333" spans="1:41" s="2" customFormat="1" x14ac:dyDescent="0.2">
      <c r="A1333"/>
      <c r="B1333"/>
      <c r="C1333"/>
      <c r="D1333"/>
      <c r="E1333"/>
      <c r="F1333"/>
      <c r="G1333"/>
      <c r="U1333"/>
      <c r="V1333"/>
      <c r="W1333"/>
      <c r="X1333"/>
      <c r="Y1333"/>
      <c r="Z1333"/>
      <c r="AA1333"/>
      <c r="AB1333"/>
      <c r="AL1333"/>
      <c r="AM1333"/>
      <c r="AN1333"/>
      <c r="AO1333"/>
    </row>
    <row r="1334" spans="1:41" s="2" customFormat="1" x14ac:dyDescent="0.2">
      <c r="A1334"/>
      <c r="B1334"/>
      <c r="C1334"/>
      <c r="D1334"/>
      <c r="E1334"/>
      <c r="F1334"/>
      <c r="G1334"/>
      <c r="U1334"/>
      <c r="V1334"/>
      <c r="W1334"/>
      <c r="X1334"/>
      <c r="Y1334"/>
      <c r="Z1334"/>
      <c r="AA1334"/>
      <c r="AB1334"/>
      <c r="AL1334"/>
      <c r="AM1334"/>
      <c r="AN1334"/>
      <c r="AO1334"/>
    </row>
    <row r="1335" spans="1:41" s="2" customFormat="1" x14ac:dyDescent="0.2">
      <c r="A1335"/>
      <c r="B1335"/>
      <c r="C1335"/>
      <c r="D1335"/>
      <c r="E1335"/>
      <c r="F1335"/>
      <c r="G1335"/>
      <c r="U1335"/>
      <c r="V1335"/>
      <c r="W1335"/>
      <c r="X1335"/>
      <c r="Y1335"/>
      <c r="Z1335"/>
      <c r="AA1335"/>
      <c r="AB1335"/>
      <c r="AL1335"/>
      <c r="AM1335"/>
      <c r="AN1335"/>
      <c r="AO1335"/>
    </row>
    <row r="1336" spans="1:41" s="2" customFormat="1" x14ac:dyDescent="0.2">
      <c r="A1336"/>
      <c r="B1336"/>
      <c r="C1336"/>
      <c r="D1336"/>
      <c r="E1336"/>
      <c r="F1336"/>
      <c r="G1336"/>
      <c r="U1336"/>
      <c r="V1336"/>
      <c r="W1336"/>
      <c r="X1336"/>
      <c r="Y1336"/>
      <c r="Z1336"/>
      <c r="AA1336"/>
      <c r="AB1336"/>
      <c r="AL1336"/>
      <c r="AM1336"/>
      <c r="AN1336"/>
      <c r="AO1336"/>
    </row>
    <row r="1337" spans="1:41" s="2" customFormat="1" x14ac:dyDescent="0.2">
      <c r="A1337"/>
      <c r="B1337"/>
      <c r="C1337"/>
      <c r="D1337"/>
      <c r="E1337"/>
      <c r="F1337"/>
      <c r="G1337"/>
      <c r="U1337"/>
      <c r="V1337"/>
      <c r="W1337"/>
      <c r="X1337"/>
      <c r="Y1337"/>
      <c r="Z1337"/>
      <c r="AA1337"/>
      <c r="AB1337"/>
      <c r="AL1337"/>
      <c r="AM1337"/>
      <c r="AN1337"/>
      <c r="AO1337"/>
    </row>
    <row r="1338" spans="1:41" s="2" customFormat="1" x14ac:dyDescent="0.2">
      <c r="A1338"/>
      <c r="B1338"/>
      <c r="C1338"/>
      <c r="D1338"/>
      <c r="E1338"/>
      <c r="F1338"/>
      <c r="G1338"/>
      <c r="U1338"/>
      <c r="V1338"/>
      <c r="W1338"/>
      <c r="X1338"/>
      <c r="Y1338"/>
      <c r="Z1338"/>
      <c r="AA1338"/>
      <c r="AB1338"/>
      <c r="AL1338"/>
      <c r="AM1338"/>
      <c r="AN1338"/>
      <c r="AO1338"/>
    </row>
    <row r="1339" spans="1:41" s="2" customFormat="1" x14ac:dyDescent="0.2">
      <c r="A1339"/>
      <c r="B1339"/>
      <c r="C1339"/>
      <c r="D1339"/>
      <c r="E1339"/>
      <c r="F1339"/>
      <c r="G1339"/>
      <c r="U1339"/>
      <c r="V1339"/>
      <c r="W1339"/>
      <c r="X1339"/>
      <c r="Y1339"/>
      <c r="Z1339"/>
      <c r="AA1339"/>
      <c r="AB1339"/>
      <c r="AL1339"/>
      <c r="AM1339"/>
      <c r="AN1339"/>
      <c r="AO1339"/>
    </row>
    <row r="1340" spans="1:41" s="2" customFormat="1" x14ac:dyDescent="0.2">
      <c r="A1340"/>
      <c r="B1340"/>
      <c r="C1340"/>
      <c r="D1340"/>
      <c r="E1340"/>
      <c r="F1340"/>
      <c r="G1340"/>
      <c r="U1340"/>
      <c r="V1340"/>
      <c r="W1340"/>
      <c r="X1340"/>
      <c r="Y1340"/>
      <c r="Z1340"/>
      <c r="AA1340"/>
      <c r="AB1340"/>
      <c r="AL1340"/>
      <c r="AM1340"/>
      <c r="AN1340"/>
      <c r="AO1340"/>
    </row>
    <row r="1341" spans="1:41" s="2" customFormat="1" x14ac:dyDescent="0.2">
      <c r="A1341"/>
      <c r="B1341"/>
      <c r="C1341"/>
      <c r="D1341"/>
      <c r="E1341"/>
      <c r="F1341"/>
      <c r="G1341"/>
      <c r="U1341"/>
      <c r="V1341"/>
      <c r="W1341"/>
      <c r="X1341"/>
      <c r="Y1341"/>
      <c r="Z1341"/>
      <c r="AA1341"/>
      <c r="AB1341"/>
      <c r="AL1341"/>
      <c r="AM1341"/>
      <c r="AN1341"/>
      <c r="AO1341"/>
    </row>
    <row r="1342" spans="1:41" s="2" customFormat="1" x14ac:dyDescent="0.2">
      <c r="A1342"/>
      <c r="B1342"/>
      <c r="C1342"/>
      <c r="D1342"/>
      <c r="E1342"/>
      <c r="F1342"/>
      <c r="G1342"/>
      <c r="U1342"/>
      <c r="V1342"/>
      <c r="W1342"/>
      <c r="X1342"/>
      <c r="Y1342"/>
      <c r="Z1342"/>
      <c r="AA1342"/>
      <c r="AB1342"/>
      <c r="AL1342"/>
      <c r="AM1342"/>
      <c r="AN1342"/>
      <c r="AO1342"/>
    </row>
    <row r="1343" spans="1:41" s="2" customFormat="1" x14ac:dyDescent="0.2">
      <c r="A1343"/>
      <c r="B1343"/>
      <c r="C1343"/>
      <c r="D1343"/>
      <c r="E1343"/>
      <c r="F1343"/>
      <c r="G1343"/>
      <c r="U1343"/>
      <c r="V1343"/>
      <c r="W1343"/>
      <c r="X1343"/>
      <c r="Y1343"/>
      <c r="Z1343"/>
      <c r="AA1343"/>
      <c r="AB1343"/>
      <c r="AL1343"/>
      <c r="AM1343"/>
      <c r="AN1343"/>
      <c r="AO1343"/>
    </row>
    <row r="1344" spans="1:41" s="2" customFormat="1" x14ac:dyDescent="0.2">
      <c r="A1344"/>
      <c r="B1344"/>
      <c r="C1344"/>
      <c r="D1344"/>
      <c r="E1344"/>
      <c r="F1344"/>
      <c r="G1344"/>
      <c r="U1344"/>
      <c r="V1344"/>
      <c r="W1344"/>
      <c r="X1344"/>
      <c r="Y1344"/>
      <c r="Z1344"/>
      <c r="AA1344"/>
      <c r="AB1344"/>
      <c r="AL1344"/>
      <c r="AM1344"/>
      <c r="AN1344"/>
      <c r="AO1344"/>
    </row>
    <row r="1345" spans="1:41" s="2" customFormat="1" x14ac:dyDescent="0.2">
      <c r="A1345"/>
      <c r="B1345"/>
      <c r="C1345"/>
      <c r="D1345"/>
      <c r="E1345"/>
      <c r="F1345"/>
      <c r="G1345"/>
      <c r="U1345"/>
      <c r="V1345"/>
      <c r="W1345"/>
      <c r="X1345"/>
      <c r="Y1345"/>
      <c r="Z1345"/>
      <c r="AA1345"/>
      <c r="AB1345"/>
      <c r="AL1345"/>
      <c r="AM1345"/>
      <c r="AN1345"/>
      <c r="AO1345"/>
    </row>
    <row r="1346" spans="1:41" s="2" customFormat="1" x14ac:dyDescent="0.2">
      <c r="A1346"/>
      <c r="B1346"/>
      <c r="C1346"/>
      <c r="D1346"/>
      <c r="E1346"/>
      <c r="F1346"/>
      <c r="G1346"/>
      <c r="U1346"/>
      <c r="V1346"/>
      <c r="W1346"/>
      <c r="X1346"/>
      <c r="Y1346"/>
      <c r="Z1346"/>
      <c r="AA1346"/>
      <c r="AB1346"/>
      <c r="AL1346"/>
      <c r="AM1346"/>
      <c r="AN1346"/>
      <c r="AO1346"/>
    </row>
    <row r="1347" spans="1:41" s="2" customFormat="1" x14ac:dyDescent="0.2">
      <c r="A1347"/>
      <c r="B1347"/>
      <c r="C1347"/>
      <c r="D1347"/>
      <c r="E1347"/>
      <c r="F1347"/>
      <c r="G1347"/>
      <c r="U1347"/>
      <c r="V1347"/>
      <c r="W1347"/>
      <c r="X1347"/>
      <c r="Y1347"/>
      <c r="Z1347"/>
      <c r="AA1347"/>
      <c r="AB1347"/>
      <c r="AL1347"/>
      <c r="AM1347"/>
      <c r="AN1347"/>
      <c r="AO1347"/>
    </row>
    <row r="1348" spans="1:41" s="2" customFormat="1" x14ac:dyDescent="0.2">
      <c r="A1348"/>
      <c r="B1348"/>
      <c r="C1348"/>
      <c r="D1348"/>
      <c r="E1348"/>
      <c r="F1348"/>
      <c r="G1348"/>
      <c r="U1348"/>
      <c r="V1348"/>
      <c r="W1348"/>
      <c r="X1348"/>
      <c r="Y1348"/>
      <c r="Z1348"/>
      <c r="AA1348"/>
      <c r="AB1348"/>
      <c r="AL1348"/>
      <c r="AM1348"/>
      <c r="AN1348"/>
      <c r="AO1348"/>
    </row>
    <row r="1349" spans="1:41" s="2" customFormat="1" x14ac:dyDescent="0.2">
      <c r="A1349"/>
      <c r="B1349"/>
      <c r="C1349"/>
      <c r="D1349"/>
      <c r="E1349"/>
      <c r="F1349"/>
      <c r="G1349"/>
      <c r="U1349"/>
      <c r="V1349"/>
      <c r="W1349"/>
      <c r="X1349"/>
      <c r="Y1349"/>
      <c r="Z1349"/>
      <c r="AA1349"/>
      <c r="AB1349"/>
      <c r="AL1349"/>
      <c r="AM1349"/>
      <c r="AN1349"/>
      <c r="AO1349"/>
    </row>
    <row r="1350" spans="1:41" s="2" customFormat="1" x14ac:dyDescent="0.2">
      <c r="A1350"/>
      <c r="B1350"/>
      <c r="C1350"/>
      <c r="D1350"/>
      <c r="E1350"/>
      <c r="F1350"/>
      <c r="G1350"/>
      <c r="U1350"/>
      <c r="V1350"/>
      <c r="W1350"/>
      <c r="X1350"/>
      <c r="Y1350"/>
      <c r="Z1350"/>
      <c r="AA1350"/>
      <c r="AB1350"/>
      <c r="AL1350"/>
      <c r="AM1350"/>
      <c r="AN1350"/>
      <c r="AO1350"/>
    </row>
    <row r="1351" spans="1:41" s="2" customFormat="1" x14ac:dyDescent="0.2">
      <c r="A1351"/>
      <c r="B1351"/>
      <c r="C1351"/>
      <c r="D1351"/>
      <c r="E1351"/>
      <c r="F1351"/>
      <c r="G1351"/>
      <c r="U1351"/>
      <c r="V1351"/>
      <c r="W1351"/>
      <c r="X1351"/>
      <c r="Y1351"/>
      <c r="Z1351"/>
      <c r="AA1351"/>
      <c r="AB1351"/>
      <c r="AL1351"/>
      <c r="AM1351"/>
      <c r="AN1351"/>
      <c r="AO1351"/>
    </row>
    <row r="1352" spans="1:41" s="2" customFormat="1" x14ac:dyDescent="0.2">
      <c r="A1352"/>
      <c r="B1352"/>
      <c r="C1352"/>
      <c r="D1352"/>
      <c r="E1352"/>
      <c r="F1352"/>
      <c r="G1352"/>
      <c r="U1352"/>
      <c r="V1352"/>
      <c r="W1352"/>
      <c r="X1352"/>
      <c r="Y1352"/>
      <c r="Z1352"/>
      <c r="AA1352"/>
      <c r="AB1352"/>
      <c r="AL1352"/>
      <c r="AM1352"/>
      <c r="AN1352"/>
      <c r="AO1352"/>
    </row>
    <row r="1353" spans="1:41" s="2" customFormat="1" x14ac:dyDescent="0.2">
      <c r="A1353"/>
      <c r="B1353"/>
      <c r="C1353"/>
      <c r="D1353"/>
      <c r="E1353"/>
      <c r="F1353"/>
      <c r="G1353"/>
      <c r="U1353"/>
      <c r="V1353"/>
      <c r="W1353"/>
      <c r="X1353"/>
      <c r="Y1353"/>
      <c r="Z1353"/>
      <c r="AA1353"/>
      <c r="AB1353"/>
      <c r="AL1353"/>
      <c r="AM1353"/>
      <c r="AN1353"/>
      <c r="AO1353"/>
    </row>
    <row r="1354" spans="1:41" s="2" customFormat="1" x14ac:dyDescent="0.2">
      <c r="A1354"/>
      <c r="B1354"/>
      <c r="C1354"/>
      <c r="D1354"/>
      <c r="E1354"/>
      <c r="F1354"/>
      <c r="G1354"/>
      <c r="U1354"/>
      <c r="V1354"/>
      <c r="W1354"/>
      <c r="X1354"/>
      <c r="Y1354"/>
      <c r="Z1354"/>
      <c r="AA1354"/>
      <c r="AB1354"/>
      <c r="AL1354"/>
      <c r="AM1354"/>
      <c r="AN1354"/>
      <c r="AO1354"/>
    </row>
    <row r="1355" spans="1:41" s="2" customFormat="1" x14ac:dyDescent="0.2">
      <c r="A1355"/>
      <c r="B1355"/>
      <c r="C1355"/>
      <c r="D1355"/>
      <c r="E1355"/>
      <c r="F1355"/>
      <c r="G1355"/>
      <c r="U1355"/>
      <c r="V1355"/>
      <c r="W1355"/>
      <c r="X1355"/>
      <c r="Y1355"/>
      <c r="Z1355"/>
      <c r="AA1355"/>
      <c r="AB1355"/>
      <c r="AL1355"/>
      <c r="AM1355"/>
      <c r="AN1355"/>
      <c r="AO1355"/>
    </row>
    <row r="1356" spans="1:41" s="2" customFormat="1" x14ac:dyDescent="0.2">
      <c r="A1356"/>
      <c r="B1356"/>
      <c r="C1356"/>
      <c r="D1356"/>
      <c r="E1356"/>
      <c r="F1356"/>
      <c r="G1356"/>
      <c r="U1356"/>
      <c r="V1356"/>
      <c r="W1356"/>
      <c r="X1356"/>
      <c r="Y1356"/>
      <c r="Z1356"/>
      <c r="AA1356"/>
      <c r="AB1356"/>
      <c r="AL1356"/>
      <c r="AM1356"/>
      <c r="AN1356"/>
      <c r="AO1356"/>
    </row>
    <row r="1357" spans="1:41" s="2" customFormat="1" x14ac:dyDescent="0.2">
      <c r="A1357"/>
      <c r="B1357"/>
      <c r="C1357"/>
      <c r="D1357"/>
      <c r="E1357"/>
      <c r="F1357"/>
      <c r="G1357"/>
      <c r="U1357"/>
      <c r="V1357"/>
      <c r="W1357"/>
      <c r="X1357"/>
      <c r="Y1357"/>
      <c r="Z1357"/>
      <c r="AA1357"/>
      <c r="AB1357"/>
      <c r="AL1357"/>
      <c r="AM1357"/>
      <c r="AN1357"/>
      <c r="AO1357"/>
    </row>
    <row r="1358" spans="1:41" s="2" customFormat="1" x14ac:dyDescent="0.2">
      <c r="A1358"/>
      <c r="B1358"/>
      <c r="C1358"/>
      <c r="D1358"/>
      <c r="E1358"/>
      <c r="F1358"/>
      <c r="G1358"/>
      <c r="U1358"/>
      <c r="V1358"/>
      <c r="W1358"/>
      <c r="X1358"/>
      <c r="Y1358"/>
      <c r="Z1358"/>
      <c r="AA1358"/>
      <c r="AB1358"/>
      <c r="AL1358"/>
      <c r="AM1358"/>
      <c r="AN1358"/>
      <c r="AO1358"/>
    </row>
    <row r="1359" spans="1:41" s="2" customFormat="1" x14ac:dyDescent="0.2">
      <c r="A1359"/>
      <c r="B1359"/>
      <c r="C1359"/>
      <c r="D1359"/>
      <c r="E1359"/>
      <c r="F1359"/>
      <c r="G1359"/>
      <c r="U1359"/>
      <c r="V1359"/>
      <c r="W1359"/>
      <c r="X1359"/>
      <c r="Y1359"/>
      <c r="Z1359"/>
      <c r="AA1359"/>
      <c r="AB1359"/>
      <c r="AL1359"/>
      <c r="AM1359"/>
      <c r="AN1359"/>
      <c r="AO1359"/>
    </row>
    <row r="1360" spans="1:41" s="2" customFormat="1" x14ac:dyDescent="0.2">
      <c r="A1360"/>
      <c r="B1360"/>
      <c r="C1360"/>
      <c r="D1360"/>
      <c r="E1360"/>
      <c r="F1360"/>
      <c r="G1360"/>
      <c r="U1360"/>
      <c r="V1360"/>
      <c r="W1360"/>
      <c r="X1360"/>
      <c r="Y1360"/>
      <c r="Z1360"/>
      <c r="AA1360"/>
      <c r="AB1360"/>
      <c r="AL1360"/>
      <c r="AM1360"/>
      <c r="AN1360"/>
      <c r="AO1360"/>
    </row>
    <row r="1361" spans="1:41" s="2" customFormat="1" x14ac:dyDescent="0.2">
      <c r="A1361"/>
      <c r="B1361"/>
      <c r="C1361"/>
      <c r="D1361"/>
      <c r="E1361"/>
      <c r="F1361"/>
      <c r="G1361"/>
      <c r="U1361"/>
      <c r="V1361"/>
      <c r="W1361"/>
      <c r="X1361"/>
      <c r="Y1361"/>
      <c r="Z1361"/>
      <c r="AA1361"/>
      <c r="AB1361"/>
      <c r="AL1361"/>
      <c r="AM1361"/>
      <c r="AN1361"/>
      <c r="AO1361"/>
    </row>
    <row r="1362" spans="1:41" s="2" customFormat="1" x14ac:dyDescent="0.2">
      <c r="A1362"/>
      <c r="B1362"/>
      <c r="C1362"/>
      <c r="D1362"/>
      <c r="E1362"/>
      <c r="F1362"/>
      <c r="G1362"/>
      <c r="U1362"/>
      <c r="V1362"/>
      <c r="W1362"/>
      <c r="X1362"/>
      <c r="Y1362"/>
      <c r="Z1362"/>
      <c r="AA1362"/>
      <c r="AB1362"/>
      <c r="AL1362"/>
      <c r="AM1362"/>
      <c r="AN1362"/>
      <c r="AO1362"/>
    </row>
    <row r="1363" spans="1:41" s="2" customFormat="1" x14ac:dyDescent="0.2">
      <c r="A1363"/>
      <c r="B1363"/>
      <c r="C1363"/>
      <c r="D1363"/>
      <c r="E1363"/>
      <c r="F1363"/>
      <c r="G1363"/>
      <c r="U1363"/>
      <c r="V1363"/>
      <c r="W1363"/>
      <c r="X1363"/>
      <c r="Y1363"/>
      <c r="Z1363"/>
      <c r="AA1363"/>
      <c r="AB1363"/>
      <c r="AL1363"/>
      <c r="AM1363"/>
      <c r="AN1363"/>
      <c r="AO1363"/>
    </row>
    <row r="1364" spans="1:41" s="2" customFormat="1" x14ac:dyDescent="0.2">
      <c r="A1364"/>
      <c r="B1364"/>
      <c r="C1364"/>
      <c r="D1364"/>
      <c r="E1364"/>
      <c r="F1364"/>
      <c r="G1364"/>
      <c r="U1364"/>
      <c r="V1364"/>
      <c r="W1364"/>
      <c r="X1364"/>
      <c r="Y1364"/>
      <c r="Z1364"/>
      <c r="AA1364"/>
      <c r="AB1364"/>
      <c r="AL1364"/>
      <c r="AM1364"/>
      <c r="AN1364"/>
      <c r="AO1364"/>
    </row>
    <row r="1365" spans="1:41" s="2" customFormat="1" x14ac:dyDescent="0.2">
      <c r="A1365"/>
      <c r="B1365"/>
      <c r="C1365"/>
      <c r="D1365"/>
      <c r="E1365"/>
      <c r="F1365"/>
      <c r="G1365"/>
      <c r="U1365"/>
      <c r="V1365"/>
      <c r="W1365"/>
      <c r="X1365"/>
      <c r="Y1365"/>
      <c r="Z1365"/>
      <c r="AA1365"/>
      <c r="AB1365"/>
      <c r="AL1365"/>
      <c r="AM1365"/>
      <c r="AN1365"/>
      <c r="AO1365"/>
    </row>
    <row r="1366" spans="1:41" s="2" customFormat="1" x14ac:dyDescent="0.2">
      <c r="A1366"/>
      <c r="B1366"/>
      <c r="C1366"/>
      <c r="D1366"/>
      <c r="E1366"/>
      <c r="F1366"/>
      <c r="G1366"/>
      <c r="U1366"/>
      <c r="V1366"/>
      <c r="W1366"/>
      <c r="X1366"/>
      <c r="Y1366"/>
      <c r="Z1366"/>
      <c r="AA1366"/>
      <c r="AB1366"/>
      <c r="AL1366"/>
      <c r="AM1366"/>
      <c r="AN1366"/>
      <c r="AO1366"/>
    </row>
    <row r="1367" spans="1:41" s="2" customFormat="1" x14ac:dyDescent="0.2">
      <c r="A1367"/>
      <c r="B1367"/>
      <c r="C1367"/>
      <c r="D1367"/>
      <c r="E1367"/>
      <c r="F1367"/>
      <c r="G1367"/>
      <c r="U1367"/>
      <c r="V1367"/>
      <c r="W1367"/>
      <c r="X1367"/>
      <c r="Y1367"/>
      <c r="Z1367"/>
      <c r="AA1367"/>
      <c r="AB1367"/>
      <c r="AL1367"/>
      <c r="AM1367"/>
      <c r="AN1367"/>
      <c r="AO1367"/>
    </row>
    <row r="1368" spans="1:41" s="2" customFormat="1" x14ac:dyDescent="0.2">
      <c r="A1368"/>
      <c r="B1368"/>
      <c r="C1368"/>
      <c r="D1368"/>
      <c r="E1368"/>
      <c r="F1368"/>
      <c r="G1368"/>
      <c r="U1368"/>
      <c r="V1368"/>
      <c r="W1368"/>
      <c r="X1368"/>
      <c r="Y1368"/>
      <c r="Z1368"/>
      <c r="AA1368"/>
      <c r="AB1368"/>
      <c r="AL1368"/>
      <c r="AM1368"/>
      <c r="AN1368"/>
      <c r="AO1368"/>
    </row>
    <row r="1369" spans="1:41" s="2" customFormat="1" x14ac:dyDescent="0.2">
      <c r="A1369"/>
      <c r="B1369"/>
      <c r="C1369"/>
      <c r="D1369"/>
      <c r="E1369"/>
      <c r="F1369"/>
      <c r="G1369"/>
      <c r="U1369"/>
      <c r="V1369"/>
      <c r="W1369"/>
      <c r="X1369"/>
      <c r="Y1369"/>
      <c r="Z1369"/>
      <c r="AA1369"/>
      <c r="AB1369"/>
      <c r="AL1369"/>
      <c r="AM1369"/>
      <c r="AN1369"/>
      <c r="AO1369"/>
    </row>
    <row r="1370" spans="1:41" s="2" customFormat="1" x14ac:dyDescent="0.2">
      <c r="A1370"/>
      <c r="B1370"/>
      <c r="C1370"/>
      <c r="D1370"/>
      <c r="E1370"/>
      <c r="F1370"/>
      <c r="G1370"/>
      <c r="U1370"/>
      <c r="V1370"/>
      <c r="W1370"/>
      <c r="X1370"/>
      <c r="Y1370"/>
      <c r="Z1370"/>
      <c r="AA1370"/>
      <c r="AB1370"/>
      <c r="AL1370"/>
      <c r="AM1370"/>
      <c r="AN1370"/>
      <c r="AO1370"/>
    </row>
    <row r="1371" spans="1:41" s="2" customFormat="1" x14ac:dyDescent="0.2">
      <c r="A1371"/>
      <c r="B1371"/>
      <c r="C1371"/>
      <c r="D1371"/>
      <c r="E1371"/>
      <c r="F1371"/>
      <c r="G1371"/>
      <c r="U1371"/>
      <c r="V1371"/>
      <c r="W1371"/>
      <c r="X1371"/>
      <c r="Y1371"/>
      <c r="Z1371"/>
      <c r="AA1371"/>
      <c r="AB1371"/>
      <c r="AL1371"/>
      <c r="AM1371"/>
      <c r="AN1371"/>
      <c r="AO1371"/>
    </row>
    <row r="1372" spans="1:41" s="2" customFormat="1" x14ac:dyDescent="0.2">
      <c r="A1372"/>
      <c r="B1372"/>
      <c r="C1372"/>
      <c r="D1372"/>
      <c r="E1372"/>
      <c r="F1372"/>
      <c r="G1372"/>
      <c r="U1372"/>
      <c r="V1372"/>
      <c r="W1372"/>
      <c r="X1372"/>
      <c r="Y1372"/>
      <c r="Z1372"/>
      <c r="AA1372"/>
      <c r="AB1372"/>
      <c r="AL1372"/>
      <c r="AM1372"/>
      <c r="AN1372"/>
      <c r="AO1372"/>
    </row>
    <row r="1373" spans="1:41" s="2" customFormat="1" x14ac:dyDescent="0.2">
      <c r="A1373"/>
      <c r="B1373"/>
      <c r="C1373"/>
      <c r="D1373"/>
      <c r="E1373"/>
      <c r="F1373"/>
      <c r="G1373"/>
      <c r="U1373"/>
      <c r="V1373"/>
      <c r="W1373"/>
      <c r="X1373"/>
      <c r="Y1373"/>
      <c r="Z1373"/>
      <c r="AA1373"/>
      <c r="AB1373"/>
      <c r="AL1373"/>
      <c r="AM1373"/>
      <c r="AN1373"/>
      <c r="AO1373"/>
    </row>
    <row r="1374" spans="1:41" s="2" customFormat="1" x14ac:dyDescent="0.2">
      <c r="A1374"/>
      <c r="B1374"/>
      <c r="C1374"/>
      <c r="D1374"/>
      <c r="E1374"/>
      <c r="F1374"/>
      <c r="G1374"/>
      <c r="U1374"/>
      <c r="V1374"/>
      <c r="W1374"/>
      <c r="X1374"/>
      <c r="Y1374"/>
      <c r="Z1374"/>
      <c r="AA1374"/>
      <c r="AB1374"/>
      <c r="AL1374"/>
      <c r="AM1374"/>
      <c r="AN1374"/>
      <c r="AO1374"/>
    </row>
    <row r="1375" spans="1:41" s="2" customFormat="1" x14ac:dyDescent="0.2">
      <c r="A1375"/>
      <c r="B1375"/>
      <c r="C1375"/>
      <c r="D1375"/>
      <c r="E1375"/>
      <c r="F1375"/>
      <c r="G1375"/>
      <c r="U1375"/>
      <c r="V1375"/>
      <c r="W1375"/>
      <c r="X1375"/>
      <c r="Y1375"/>
      <c r="Z1375"/>
      <c r="AA1375"/>
      <c r="AB1375"/>
      <c r="AL1375"/>
      <c r="AM1375"/>
      <c r="AN1375"/>
      <c r="AO1375"/>
    </row>
    <row r="1376" spans="1:41" s="2" customFormat="1" x14ac:dyDescent="0.2">
      <c r="A1376"/>
      <c r="B1376"/>
      <c r="C1376"/>
      <c r="D1376"/>
      <c r="E1376"/>
      <c r="F1376"/>
      <c r="G1376"/>
      <c r="U1376"/>
      <c r="V1376"/>
      <c r="W1376"/>
      <c r="X1376"/>
      <c r="Y1376"/>
      <c r="Z1376"/>
      <c r="AA1376"/>
      <c r="AB1376"/>
      <c r="AL1376"/>
      <c r="AM1376"/>
      <c r="AN1376"/>
      <c r="AO1376"/>
    </row>
    <row r="1377" spans="1:41" s="2" customFormat="1" x14ac:dyDescent="0.2">
      <c r="A1377"/>
      <c r="B1377"/>
      <c r="C1377"/>
      <c r="D1377"/>
      <c r="E1377"/>
      <c r="F1377"/>
      <c r="G1377"/>
      <c r="U1377"/>
      <c r="V1377"/>
      <c r="W1377"/>
      <c r="X1377"/>
      <c r="Y1377"/>
      <c r="Z1377"/>
      <c r="AA1377"/>
      <c r="AB1377"/>
      <c r="AL1377"/>
      <c r="AM1377"/>
      <c r="AN1377"/>
      <c r="AO1377"/>
    </row>
    <row r="1378" spans="1:41" s="2" customFormat="1" x14ac:dyDescent="0.2">
      <c r="A1378"/>
      <c r="B1378"/>
      <c r="C1378"/>
      <c r="D1378"/>
      <c r="E1378"/>
      <c r="F1378"/>
      <c r="G1378"/>
      <c r="U1378"/>
      <c r="V1378"/>
      <c r="W1378"/>
      <c r="X1378"/>
      <c r="Y1378"/>
      <c r="Z1378"/>
      <c r="AA1378"/>
      <c r="AB1378"/>
      <c r="AL1378"/>
      <c r="AM1378"/>
      <c r="AN1378"/>
      <c r="AO1378"/>
    </row>
    <row r="1379" spans="1:41" s="2" customFormat="1" x14ac:dyDescent="0.2">
      <c r="A1379"/>
      <c r="B1379"/>
      <c r="C1379"/>
      <c r="D1379"/>
      <c r="E1379"/>
      <c r="F1379"/>
      <c r="G1379"/>
      <c r="U1379"/>
      <c r="V1379"/>
      <c r="W1379"/>
      <c r="X1379"/>
      <c r="Y1379"/>
      <c r="Z1379"/>
      <c r="AA1379"/>
      <c r="AB1379"/>
      <c r="AL1379"/>
      <c r="AM1379"/>
      <c r="AN1379"/>
      <c r="AO1379"/>
    </row>
    <row r="1380" spans="1:41" s="2" customFormat="1" x14ac:dyDescent="0.2">
      <c r="A1380"/>
      <c r="B1380"/>
      <c r="C1380"/>
      <c r="D1380"/>
      <c r="E1380"/>
      <c r="F1380"/>
      <c r="G1380"/>
      <c r="U1380"/>
      <c r="V1380"/>
      <c r="W1380"/>
      <c r="X1380"/>
      <c r="Y1380"/>
      <c r="Z1380"/>
      <c r="AA1380"/>
      <c r="AB1380"/>
      <c r="AL1380"/>
      <c r="AM1380"/>
      <c r="AN1380"/>
      <c r="AO1380"/>
    </row>
    <row r="1381" spans="1:41" s="2" customFormat="1" x14ac:dyDescent="0.2">
      <c r="A1381"/>
      <c r="B1381"/>
      <c r="C1381"/>
      <c r="D1381"/>
      <c r="E1381"/>
      <c r="F1381"/>
      <c r="G1381"/>
      <c r="U1381"/>
      <c r="V1381"/>
      <c r="W1381"/>
      <c r="X1381"/>
      <c r="Y1381"/>
      <c r="Z1381"/>
      <c r="AA1381"/>
      <c r="AB1381"/>
      <c r="AL1381"/>
      <c r="AM1381"/>
      <c r="AN1381"/>
      <c r="AO1381"/>
    </row>
    <row r="1382" spans="1:41" s="2" customFormat="1" x14ac:dyDescent="0.2">
      <c r="A1382"/>
      <c r="B1382"/>
      <c r="C1382"/>
      <c r="D1382"/>
      <c r="E1382"/>
      <c r="F1382"/>
      <c r="G1382"/>
      <c r="U1382"/>
      <c r="V1382"/>
      <c r="W1382"/>
      <c r="X1382"/>
      <c r="Y1382"/>
      <c r="Z1382"/>
      <c r="AA1382"/>
      <c r="AB1382"/>
      <c r="AL1382"/>
      <c r="AM1382"/>
      <c r="AN1382"/>
      <c r="AO1382"/>
    </row>
    <row r="1383" spans="1:41" s="2" customFormat="1" x14ac:dyDescent="0.2">
      <c r="A1383"/>
      <c r="B1383"/>
      <c r="C1383"/>
      <c r="D1383"/>
      <c r="E1383"/>
      <c r="F1383"/>
      <c r="G1383"/>
      <c r="U1383"/>
      <c r="V1383"/>
      <c r="W1383"/>
      <c r="X1383"/>
      <c r="Y1383"/>
      <c r="Z1383"/>
      <c r="AA1383"/>
      <c r="AB1383"/>
      <c r="AL1383"/>
      <c r="AM1383"/>
      <c r="AN1383"/>
      <c r="AO1383"/>
    </row>
    <row r="1384" spans="1:41" s="2" customFormat="1" x14ac:dyDescent="0.2">
      <c r="A1384"/>
      <c r="B1384"/>
      <c r="C1384"/>
      <c r="D1384"/>
      <c r="E1384"/>
      <c r="F1384"/>
      <c r="G1384"/>
      <c r="U1384"/>
      <c r="V1384"/>
      <c r="W1384"/>
      <c r="X1384"/>
      <c r="Y1384"/>
      <c r="Z1384"/>
      <c r="AA1384"/>
      <c r="AB1384"/>
      <c r="AL1384"/>
      <c r="AM1384"/>
      <c r="AN1384"/>
      <c r="AO1384"/>
    </row>
    <row r="1385" spans="1:41" s="2" customFormat="1" x14ac:dyDescent="0.2">
      <c r="A1385"/>
      <c r="B1385"/>
      <c r="C1385"/>
      <c r="D1385"/>
      <c r="E1385"/>
      <c r="F1385"/>
      <c r="G1385"/>
      <c r="U1385"/>
      <c r="V1385"/>
      <c r="W1385"/>
      <c r="X1385"/>
      <c r="Y1385"/>
      <c r="Z1385"/>
      <c r="AA1385"/>
      <c r="AB1385"/>
      <c r="AL1385"/>
      <c r="AM1385"/>
      <c r="AN1385"/>
      <c r="AO1385"/>
    </row>
    <row r="1386" spans="1:41" s="2" customFormat="1" x14ac:dyDescent="0.2">
      <c r="A1386"/>
      <c r="B1386"/>
      <c r="C1386"/>
      <c r="D1386"/>
      <c r="E1386"/>
      <c r="F1386"/>
      <c r="G1386"/>
      <c r="U1386"/>
      <c r="V1386"/>
      <c r="W1386"/>
      <c r="X1386"/>
      <c r="Y1386"/>
      <c r="Z1386"/>
      <c r="AA1386"/>
      <c r="AB1386"/>
      <c r="AL1386"/>
      <c r="AM1386"/>
      <c r="AN1386"/>
      <c r="AO1386"/>
    </row>
    <row r="1387" spans="1:41" s="2" customFormat="1" x14ac:dyDescent="0.2">
      <c r="A1387"/>
      <c r="B1387"/>
      <c r="C1387"/>
      <c r="D1387"/>
      <c r="E1387"/>
      <c r="F1387"/>
      <c r="G1387"/>
      <c r="U1387"/>
      <c r="V1387"/>
      <c r="W1387"/>
      <c r="X1387"/>
      <c r="Y1387"/>
      <c r="Z1387"/>
      <c r="AA1387"/>
      <c r="AB1387"/>
      <c r="AL1387"/>
      <c r="AM1387"/>
      <c r="AN1387"/>
      <c r="AO1387"/>
    </row>
    <row r="1388" spans="1:41" s="2" customFormat="1" x14ac:dyDescent="0.2">
      <c r="A1388"/>
      <c r="B1388"/>
      <c r="C1388"/>
      <c r="D1388"/>
      <c r="E1388"/>
      <c r="F1388"/>
      <c r="G1388"/>
      <c r="U1388"/>
      <c r="V1388"/>
      <c r="W1388"/>
      <c r="X1388"/>
      <c r="Y1388"/>
      <c r="Z1388"/>
      <c r="AA1388"/>
      <c r="AB1388"/>
      <c r="AL1388"/>
      <c r="AM1388"/>
      <c r="AN1388"/>
      <c r="AO1388"/>
    </row>
    <row r="1389" spans="1:41" s="2" customFormat="1" x14ac:dyDescent="0.2">
      <c r="A1389"/>
      <c r="B1389"/>
      <c r="C1389"/>
      <c r="D1389"/>
      <c r="E1389"/>
      <c r="F1389"/>
      <c r="G1389"/>
      <c r="U1389"/>
      <c r="V1389"/>
      <c r="W1389"/>
      <c r="X1389"/>
      <c r="Y1389"/>
      <c r="Z1389"/>
      <c r="AA1389"/>
      <c r="AB1389"/>
      <c r="AL1389"/>
      <c r="AM1389"/>
      <c r="AN1389"/>
      <c r="AO1389"/>
    </row>
    <row r="1390" spans="1:41" s="2" customFormat="1" x14ac:dyDescent="0.2">
      <c r="A1390"/>
      <c r="B1390"/>
      <c r="C1390"/>
      <c r="D1390"/>
      <c r="E1390"/>
      <c r="F1390"/>
      <c r="G1390"/>
      <c r="U1390"/>
      <c r="V1390"/>
      <c r="W1390"/>
      <c r="X1390"/>
      <c r="Y1390"/>
      <c r="Z1390"/>
      <c r="AA1390"/>
      <c r="AB1390"/>
      <c r="AL1390"/>
      <c r="AM1390"/>
      <c r="AN1390"/>
      <c r="AO1390"/>
    </row>
    <row r="1391" spans="1:41" s="2" customFormat="1" x14ac:dyDescent="0.2">
      <c r="A1391"/>
      <c r="B1391"/>
      <c r="C1391"/>
      <c r="D1391"/>
      <c r="E1391"/>
      <c r="F1391"/>
      <c r="G1391"/>
      <c r="U1391"/>
      <c r="V1391"/>
      <c r="W1391"/>
      <c r="X1391"/>
      <c r="Y1391"/>
      <c r="Z1391"/>
      <c r="AA1391"/>
      <c r="AB1391"/>
      <c r="AL1391"/>
      <c r="AM1391"/>
      <c r="AN1391"/>
      <c r="AO1391"/>
    </row>
    <row r="1392" spans="1:41" s="2" customFormat="1" x14ac:dyDescent="0.2">
      <c r="A1392"/>
      <c r="B1392"/>
      <c r="C1392"/>
      <c r="D1392"/>
      <c r="E1392"/>
      <c r="F1392"/>
      <c r="G1392"/>
      <c r="U1392"/>
      <c r="V1392"/>
      <c r="W1392"/>
      <c r="X1392"/>
      <c r="Y1392"/>
      <c r="Z1392"/>
      <c r="AA1392"/>
      <c r="AB1392"/>
      <c r="AL1392"/>
      <c r="AM1392"/>
      <c r="AN1392"/>
      <c r="AO1392"/>
    </row>
    <row r="1393" spans="1:41" s="2" customFormat="1" x14ac:dyDescent="0.2">
      <c r="A1393"/>
      <c r="B1393"/>
      <c r="C1393"/>
      <c r="D1393"/>
      <c r="E1393"/>
      <c r="F1393"/>
      <c r="G1393"/>
      <c r="U1393"/>
      <c r="V1393"/>
      <c r="W1393"/>
      <c r="X1393"/>
      <c r="Y1393"/>
      <c r="Z1393"/>
      <c r="AA1393"/>
      <c r="AB1393"/>
      <c r="AL1393"/>
      <c r="AM1393"/>
      <c r="AN1393"/>
      <c r="AO1393"/>
    </row>
    <row r="1394" spans="1:41" s="2" customFormat="1" x14ac:dyDescent="0.2">
      <c r="A1394"/>
      <c r="B1394"/>
      <c r="C1394"/>
      <c r="D1394"/>
      <c r="E1394"/>
      <c r="F1394"/>
      <c r="G1394"/>
      <c r="U1394"/>
      <c r="V1394"/>
      <c r="W1394"/>
      <c r="X1394"/>
      <c r="Y1394"/>
      <c r="Z1394"/>
      <c r="AA1394"/>
      <c r="AB1394"/>
      <c r="AL1394"/>
      <c r="AM1394"/>
      <c r="AN1394"/>
      <c r="AO1394"/>
    </row>
    <row r="1395" spans="1:41" s="2" customFormat="1" x14ac:dyDescent="0.2">
      <c r="A1395"/>
      <c r="B1395"/>
      <c r="C1395"/>
      <c r="D1395"/>
      <c r="E1395"/>
      <c r="F1395"/>
      <c r="G1395"/>
      <c r="U1395"/>
      <c r="V1395"/>
      <c r="W1395"/>
      <c r="X1395"/>
      <c r="Y1395"/>
      <c r="Z1395"/>
      <c r="AA1395"/>
      <c r="AB1395"/>
      <c r="AL1395"/>
      <c r="AM1395"/>
      <c r="AN1395"/>
      <c r="AO1395"/>
    </row>
    <row r="1396" spans="1:41" s="2" customFormat="1" x14ac:dyDescent="0.2">
      <c r="A1396"/>
      <c r="B1396"/>
      <c r="C1396"/>
      <c r="D1396"/>
      <c r="E1396"/>
      <c r="F1396"/>
      <c r="G1396"/>
      <c r="U1396"/>
      <c r="V1396"/>
      <c r="W1396"/>
      <c r="X1396"/>
      <c r="Y1396"/>
      <c r="Z1396"/>
      <c r="AA1396"/>
      <c r="AB1396"/>
      <c r="AL1396"/>
      <c r="AM1396"/>
      <c r="AN1396"/>
      <c r="AO1396"/>
    </row>
    <row r="1397" spans="1:41" s="2" customFormat="1" x14ac:dyDescent="0.2">
      <c r="A1397"/>
      <c r="B1397"/>
      <c r="C1397"/>
      <c r="D1397"/>
      <c r="E1397"/>
      <c r="F1397"/>
      <c r="G1397"/>
      <c r="U1397"/>
      <c r="V1397"/>
      <c r="W1397"/>
      <c r="X1397"/>
      <c r="Y1397"/>
      <c r="Z1397"/>
      <c r="AA1397"/>
      <c r="AB1397"/>
      <c r="AL1397"/>
      <c r="AM1397"/>
      <c r="AN1397"/>
      <c r="AO1397"/>
    </row>
    <row r="1398" spans="1:41" s="2" customFormat="1" x14ac:dyDescent="0.2">
      <c r="A1398"/>
      <c r="B1398"/>
      <c r="C1398"/>
      <c r="D1398"/>
      <c r="E1398"/>
      <c r="F1398"/>
      <c r="G1398"/>
      <c r="U1398"/>
      <c r="V1398"/>
      <c r="W1398"/>
      <c r="X1398"/>
      <c r="Y1398"/>
      <c r="Z1398"/>
      <c r="AA1398"/>
      <c r="AB1398"/>
      <c r="AL1398"/>
      <c r="AM1398"/>
      <c r="AN1398"/>
      <c r="AO1398"/>
    </row>
    <row r="1399" spans="1:41" s="2" customFormat="1" x14ac:dyDescent="0.2">
      <c r="A1399"/>
      <c r="B1399"/>
      <c r="C1399"/>
      <c r="D1399"/>
      <c r="E1399"/>
      <c r="F1399"/>
      <c r="G1399"/>
      <c r="U1399"/>
      <c r="V1399"/>
      <c r="W1399"/>
      <c r="X1399"/>
      <c r="Y1399"/>
      <c r="Z1399"/>
      <c r="AA1399"/>
      <c r="AB1399"/>
      <c r="AL1399"/>
      <c r="AM1399"/>
      <c r="AN1399"/>
      <c r="AO1399"/>
    </row>
    <row r="1400" spans="1:41" s="2" customFormat="1" x14ac:dyDescent="0.2">
      <c r="A1400"/>
      <c r="B1400"/>
      <c r="C1400"/>
      <c r="D1400"/>
      <c r="E1400"/>
      <c r="F1400"/>
      <c r="G1400"/>
      <c r="U1400"/>
      <c r="V1400"/>
      <c r="W1400"/>
      <c r="X1400"/>
      <c r="Y1400"/>
      <c r="Z1400"/>
      <c r="AA1400"/>
      <c r="AB1400"/>
      <c r="AL1400"/>
      <c r="AM1400"/>
      <c r="AN1400"/>
      <c r="AO1400"/>
    </row>
    <row r="1401" spans="1:41" s="2" customFormat="1" x14ac:dyDescent="0.2">
      <c r="A1401"/>
      <c r="B1401"/>
      <c r="C1401"/>
      <c r="D1401"/>
      <c r="E1401"/>
      <c r="F1401"/>
      <c r="G1401"/>
      <c r="U1401"/>
      <c r="V1401"/>
      <c r="W1401"/>
      <c r="X1401"/>
      <c r="Y1401"/>
      <c r="Z1401"/>
      <c r="AA1401"/>
      <c r="AB1401"/>
      <c r="AL1401"/>
      <c r="AM1401"/>
      <c r="AN1401"/>
      <c r="AO1401"/>
    </row>
    <row r="1402" spans="1:41" s="2" customFormat="1" x14ac:dyDescent="0.2">
      <c r="A1402"/>
      <c r="B1402"/>
      <c r="C1402"/>
      <c r="D1402"/>
      <c r="E1402"/>
      <c r="F1402"/>
      <c r="G1402"/>
      <c r="U1402"/>
      <c r="V1402"/>
      <c r="W1402"/>
      <c r="X1402"/>
      <c r="Y1402"/>
      <c r="Z1402"/>
      <c r="AA1402"/>
      <c r="AB1402"/>
      <c r="AL1402"/>
      <c r="AM1402"/>
      <c r="AN1402"/>
      <c r="AO1402"/>
    </row>
    <row r="1403" spans="1:41" s="2" customFormat="1" x14ac:dyDescent="0.2">
      <c r="A1403"/>
      <c r="B1403"/>
      <c r="C1403"/>
      <c r="D1403"/>
      <c r="E1403"/>
      <c r="F1403"/>
      <c r="G1403"/>
      <c r="U1403"/>
      <c r="V1403"/>
      <c r="W1403"/>
      <c r="X1403"/>
      <c r="Y1403"/>
      <c r="Z1403"/>
      <c r="AA1403"/>
      <c r="AB1403"/>
      <c r="AL1403"/>
      <c r="AM1403"/>
      <c r="AN1403"/>
      <c r="AO1403"/>
    </row>
    <row r="1404" spans="1:41" s="2" customFormat="1" x14ac:dyDescent="0.2">
      <c r="A1404"/>
      <c r="B1404"/>
      <c r="C1404"/>
      <c r="D1404"/>
      <c r="E1404"/>
      <c r="F1404"/>
      <c r="G1404"/>
      <c r="U1404"/>
      <c r="V1404"/>
      <c r="W1404"/>
      <c r="X1404"/>
      <c r="Y1404"/>
      <c r="Z1404"/>
      <c r="AA1404"/>
      <c r="AB1404"/>
      <c r="AL1404"/>
      <c r="AM1404"/>
      <c r="AN1404"/>
      <c r="AO1404"/>
    </row>
    <row r="1405" spans="1:41" s="2" customFormat="1" x14ac:dyDescent="0.2">
      <c r="A1405"/>
      <c r="B1405"/>
      <c r="C1405"/>
      <c r="D1405"/>
      <c r="E1405"/>
      <c r="F1405"/>
      <c r="G1405"/>
      <c r="U1405"/>
      <c r="V1405"/>
      <c r="W1405"/>
      <c r="X1405"/>
      <c r="Y1405"/>
      <c r="Z1405"/>
      <c r="AA1405"/>
      <c r="AB1405"/>
      <c r="AL1405"/>
      <c r="AM1405"/>
      <c r="AN1405"/>
      <c r="AO1405"/>
    </row>
    <row r="1406" spans="1:41" s="2" customFormat="1" x14ac:dyDescent="0.2">
      <c r="A1406"/>
      <c r="B1406"/>
      <c r="C1406"/>
      <c r="D1406"/>
      <c r="E1406"/>
      <c r="F1406"/>
      <c r="G1406"/>
      <c r="U1406"/>
      <c r="V1406"/>
      <c r="W1406"/>
      <c r="X1406"/>
      <c r="Y1406"/>
      <c r="Z1406"/>
      <c r="AA1406"/>
      <c r="AB1406"/>
      <c r="AL1406"/>
      <c r="AM1406"/>
      <c r="AN1406"/>
      <c r="AO1406"/>
    </row>
    <row r="1407" spans="1:41" s="2" customFormat="1" x14ac:dyDescent="0.2">
      <c r="A1407"/>
      <c r="B1407"/>
      <c r="C1407"/>
      <c r="D1407"/>
      <c r="E1407"/>
      <c r="F1407"/>
      <c r="G1407"/>
      <c r="U1407"/>
      <c r="V1407"/>
      <c r="W1407"/>
      <c r="X1407"/>
      <c r="Y1407"/>
      <c r="Z1407"/>
      <c r="AA1407"/>
      <c r="AB1407"/>
      <c r="AL1407"/>
      <c r="AM1407"/>
      <c r="AN1407"/>
      <c r="AO1407"/>
    </row>
    <row r="1408" spans="1:41" s="2" customFormat="1" x14ac:dyDescent="0.2">
      <c r="A1408"/>
      <c r="B1408"/>
      <c r="C1408"/>
      <c r="D1408"/>
      <c r="E1408"/>
      <c r="F1408"/>
      <c r="G1408"/>
      <c r="U1408"/>
      <c r="V1408"/>
      <c r="W1408"/>
      <c r="X1408"/>
      <c r="Y1408"/>
      <c r="Z1408"/>
      <c r="AA1408"/>
      <c r="AB1408"/>
      <c r="AL1408"/>
      <c r="AM1408"/>
      <c r="AN1408"/>
      <c r="AO1408"/>
    </row>
    <row r="1409" spans="1:41" s="2" customFormat="1" x14ac:dyDescent="0.2">
      <c r="A1409"/>
      <c r="B1409"/>
      <c r="C1409"/>
      <c r="D1409"/>
      <c r="E1409"/>
      <c r="F1409"/>
      <c r="G1409"/>
      <c r="U1409"/>
      <c r="V1409"/>
      <c r="W1409"/>
      <c r="X1409"/>
      <c r="Y1409"/>
      <c r="Z1409"/>
      <c r="AA1409"/>
      <c r="AB1409"/>
      <c r="AL1409"/>
      <c r="AM1409"/>
      <c r="AN1409"/>
      <c r="AO1409"/>
    </row>
    <row r="1410" spans="1:41" s="2" customFormat="1" x14ac:dyDescent="0.2">
      <c r="A1410"/>
      <c r="B1410"/>
      <c r="C1410"/>
      <c r="D1410"/>
      <c r="E1410"/>
      <c r="F1410"/>
      <c r="G1410"/>
      <c r="U1410"/>
      <c r="V1410"/>
      <c r="W1410"/>
      <c r="X1410"/>
      <c r="Y1410"/>
      <c r="Z1410"/>
      <c r="AA1410"/>
      <c r="AB1410"/>
      <c r="AL1410"/>
      <c r="AM1410"/>
      <c r="AN1410"/>
      <c r="AO1410"/>
    </row>
    <row r="1411" spans="1:41" s="2" customFormat="1" x14ac:dyDescent="0.2">
      <c r="A1411"/>
      <c r="B1411"/>
      <c r="C1411"/>
      <c r="D1411"/>
      <c r="E1411"/>
      <c r="F1411"/>
      <c r="G1411"/>
      <c r="U1411"/>
      <c r="V1411"/>
      <c r="W1411"/>
      <c r="X1411"/>
      <c r="Y1411"/>
      <c r="Z1411"/>
      <c r="AA1411"/>
      <c r="AB1411"/>
      <c r="AL1411"/>
      <c r="AM1411"/>
      <c r="AN1411"/>
      <c r="AO1411"/>
    </row>
    <row r="1412" spans="1:41" s="2" customFormat="1" x14ac:dyDescent="0.2">
      <c r="A1412"/>
      <c r="B1412"/>
      <c r="C1412"/>
      <c r="D1412"/>
      <c r="E1412"/>
      <c r="F1412"/>
      <c r="G1412"/>
      <c r="U1412"/>
      <c r="V1412"/>
      <c r="W1412"/>
      <c r="X1412"/>
      <c r="Y1412"/>
      <c r="Z1412"/>
      <c r="AA1412"/>
      <c r="AB1412"/>
      <c r="AL1412"/>
      <c r="AM1412"/>
      <c r="AN1412"/>
      <c r="AO1412"/>
    </row>
    <row r="1413" spans="1:41" s="2" customFormat="1" x14ac:dyDescent="0.2">
      <c r="A1413"/>
      <c r="B1413"/>
      <c r="C1413"/>
      <c r="D1413"/>
      <c r="E1413"/>
      <c r="F1413"/>
      <c r="G1413"/>
      <c r="U1413"/>
      <c r="V1413"/>
      <c r="W1413"/>
      <c r="X1413"/>
      <c r="Y1413"/>
      <c r="Z1413"/>
      <c r="AA1413"/>
      <c r="AB1413"/>
      <c r="AL1413"/>
      <c r="AM1413"/>
      <c r="AN1413"/>
      <c r="AO1413"/>
    </row>
    <row r="1414" spans="1:41" s="2" customFormat="1" x14ac:dyDescent="0.2">
      <c r="A1414"/>
      <c r="B1414"/>
      <c r="C1414"/>
      <c r="D1414"/>
      <c r="E1414"/>
      <c r="F1414"/>
      <c r="G1414"/>
      <c r="U1414"/>
      <c r="V1414"/>
      <c r="W1414"/>
      <c r="X1414"/>
      <c r="Y1414"/>
      <c r="Z1414"/>
      <c r="AA1414"/>
      <c r="AB1414"/>
      <c r="AL1414"/>
      <c r="AM1414"/>
      <c r="AN1414"/>
      <c r="AO1414"/>
    </row>
    <row r="1415" spans="1:41" s="2" customFormat="1" x14ac:dyDescent="0.2">
      <c r="A1415"/>
      <c r="B1415"/>
      <c r="C1415"/>
      <c r="D1415"/>
      <c r="E1415"/>
      <c r="F1415"/>
      <c r="G1415"/>
      <c r="U1415"/>
      <c r="V1415"/>
      <c r="W1415"/>
      <c r="X1415"/>
      <c r="Y1415"/>
      <c r="Z1415"/>
      <c r="AA1415"/>
      <c r="AB1415"/>
      <c r="AL1415"/>
      <c r="AM1415"/>
      <c r="AN1415"/>
      <c r="AO1415"/>
    </row>
    <row r="1416" spans="1:41" s="2" customFormat="1" x14ac:dyDescent="0.2">
      <c r="A1416"/>
      <c r="B1416"/>
      <c r="C1416"/>
      <c r="D1416"/>
      <c r="E1416"/>
      <c r="F1416"/>
      <c r="G1416"/>
      <c r="U1416"/>
      <c r="V1416"/>
      <c r="W1416"/>
      <c r="X1416"/>
      <c r="Y1416"/>
      <c r="Z1416"/>
      <c r="AA1416"/>
      <c r="AB1416"/>
      <c r="AL1416"/>
      <c r="AM1416"/>
      <c r="AN1416"/>
      <c r="AO1416"/>
    </row>
    <row r="1417" spans="1:41" s="2" customFormat="1" x14ac:dyDescent="0.2">
      <c r="A1417"/>
      <c r="B1417"/>
      <c r="C1417"/>
      <c r="D1417"/>
      <c r="E1417"/>
      <c r="F1417"/>
      <c r="G1417"/>
      <c r="U1417"/>
      <c r="V1417"/>
      <c r="W1417"/>
      <c r="X1417"/>
      <c r="Y1417"/>
      <c r="Z1417"/>
      <c r="AA1417"/>
      <c r="AB1417"/>
      <c r="AL1417"/>
      <c r="AM1417"/>
      <c r="AN1417"/>
      <c r="AO1417"/>
    </row>
    <row r="1418" spans="1:41" s="2" customFormat="1" x14ac:dyDescent="0.2">
      <c r="A1418"/>
      <c r="B1418"/>
      <c r="C1418"/>
      <c r="D1418"/>
      <c r="E1418"/>
      <c r="F1418"/>
      <c r="G1418"/>
      <c r="U1418"/>
      <c r="V1418"/>
      <c r="W1418"/>
      <c r="X1418"/>
      <c r="Y1418"/>
      <c r="Z1418"/>
      <c r="AA1418"/>
      <c r="AB1418"/>
      <c r="AL1418"/>
      <c r="AM1418"/>
      <c r="AN1418"/>
      <c r="AO1418"/>
    </row>
    <row r="1419" spans="1:41" s="2" customFormat="1" x14ac:dyDescent="0.2">
      <c r="A1419"/>
      <c r="B1419"/>
      <c r="C1419"/>
      <c r="D1419"/>
      <c r="E1419"/>
      <c r="F1419"/>
      <c r="G1419"/>
      <c r="U1419"/>
      <c r="V1419"/>
      <c r="W1419"/>
      <c r="X1419"/>
      <c r="Y1419"/>
      <c r="Z1419"/>
      <c r="AA1419"/>
      <c r="AB1419"/>
      <c r="AL1419"/>
      <c r="AM1419"/>
      <c r="AN1419"/>
      <c r="AO1419"/>
    </row>
    <row r="1420" spans="1:41" s="2" customFormat="1" x14ac:dyDescent="0.2">
      <c r="A1420"/>
      <c r="B1420"/>
      <c r="C1420"/>
      <c r="D1420"/>
      <c r="E1420"/>
      <c r="F1420"/>
      <c r="G1420"/>
      <c r="U1420"/>
      <c r="V1420"/>
      <c r="W1420"/>
      <c r="X1420"/>
      <c r="Y1420"/>
      <c r="Z1420"/>
      <c r="AA1420"/>
      <c r="AB1420"/>
      <c r="AL1420"/>
      <c r="AM1420"/>
      <c r="AN1420"/>
      <c r="AO1420"/>
    </row>
    <row r="1421" spans="1:41" s="2" customFormat="1" x14ac:dyDescent="0.2">
      <c r="A1421"/>
      <c r="B1421"/>
      <c r="C1421"/>
      <c r="D1421"/>
      <c r="E1421"/>
      <c r="F1421"/>
      <c r="G1421"/>
      <c r="U1421"/>
      <c r="V1421"/>
      <c r="W1421"/>
      <c r="X1421"/>
      <c r="Y1421"/>
      <c r="Z1421"/>
      <c r="AA1421"/>
      <c r="AB1421"/>
      <c r="AL1421"/>
      <c r="AM1421"/>
      <c r="AN1421"/>
      <c r="AO1421"/>
    </row>
    <row r="1422" spans="1:41" s="2" customFormat="1" x14ac:dyDescent="0.2">
      <c r="A1422"/>
      <c r="B1422"/>
      <c r="C1422"/>
      <c r="D1422"/>
      <c r="E1422"/>
      <c r="F1422"/>
      <c r="G1422"/>
      <c r="U1422"/>
      <c r="V1422"/>
      <c r="W1422"/>
      <c r="X1422"/>
      <c r="Y1422"/>
      <c r="Z1422"/>
      <c r="AA1422"/>
      <c r="AB1422"/>
      <c r="AL1422"/>
      <c r="AM1422"/>
      <c r="AN1422"/>
      <c r="AO1422"/>
    </row>
    <row r="1423" spans="1:41" s="2" customFormat="1" x14ac:dyDescent="0.2">
      <c r="A1423"/>
      <c r="B1423"/>
      <c r="C1423"/>
      <c r="D1423"/>
      <c r="E1423"/>
      <c r="F1423"/>
      <c r="G1423"/>
      <c r="U1423"/>
      <c r="V1423"/>
      <c r="W1423"/>
      <c r="X1423"/>
      <c r="Y1423"/>
      <c r="Z1423"/>
      <c r="AA1423"/>
      <c r="AB1423"/>
      <c r="AL1423"/>
      <c r="AM1423"/>
      <c r="AN1423"/>
      <c r="AO1423"/>
    </row>
    <row r="1424" spans="1:41" s="2" customFormat="1" x14ac:dyDescent="0.2">
      <c r="A1424"/>
      <c r="B1424"/>
      <c r="C1424"/>
      <c r="D1424"/>
      <c r="E1424"/>
      <c r="F1424"/>
      <c r="G1424"/>
      <c r="U1424"/>
      <c r="V1424"/>
      <c r="W1424"/>
      <c r="X1424"/>
      <c r="Y1424"/>
      <c r="Z1424"/>
      <c r="AA1424"/>
      <c r="AB1424"/>
      <c r="AL1424"/>
      <c r="AM1424"/>
      <c r="AN1424"/>
      <c r="AO1424"/>
    </row>
    <row r="1425" spans="1:41" s="2" customFormat="1" x14ac:dyDescent="0.2">
      <c r="A1425"/>
      <c r="B1425"/>
      <c r="C1425"/>
      <c r="D1425"/>
      <c r="E1425"/>
      <c r="F1425"/>
      <c r="G1425"/>
      <c r="U1425"/>
      <c r="V1425"/>
      <c r="W1425"/>
      <c r="X1425"/>
      <c r="Y1425"/>
      <c r="Z1425"/>
      <c r="AA1425"/>
      <c r="AB1425"/>
      <c r="AL1425"/>
      <c r="AM1425"/>
      <c r="AN1425"/>
      <c r="AO1425"/>
    </row>
    <row r="1426" spans="1:41" s="2" customFormat="1" x14ac:dyDescent="0.2">
      <c r="A1426"/>
      <c r="B1426"/>
      <c r="C1426"/>
      <c r="D1426"/>
      <c r="E1426"/>
      <c r="F1426"/>
      <c r="G1426"/>
      <c r="U1426"/>
      <c r="V1426"/>
      <c r="W1426"/>
      <c r="X1426"/>
      <c r="Y1426"/>
      <c r="Z1426"/>
      <c r="AA1426"/>
      <c r="AB1426"/>
      <c r="AL1426"/>
      <c r="AM1426"/>
      <c r="AN1426"/>
      <c r="AO1426"/>
    </row>
    <row r="1427" spans="1:41" s="2" customFormat="1" x14ac:dyDescent="0.2">
      <c r="A1427"/>
      <c r="B1427"/>
      <c r="C1427"/>
      <c r="D1427"/>
      <c r="E1427"/>
      <c r="F1427"/>
      <c r="G1427"/>
      <c r="U1427"/>
      <c r="V1427"/>
      <c r="W1427"/>
      <c r="X1427"/>
      <c r="Y1427"/>
      <c r="Z1427"/>
      <c r="AA1427"/>
      <c r="AB1427"/>
      <c r="AL1427"/>
      <c r="AM1427"/>
      <c r="AN1427"/>
      <c r="AO1427"/>
    </row>
    <row r="1428" spans="1:41" s="2" customFormat="1" x14ac:dyDescent="0.2">
      <c r="A1428"/>
      <c r="B1428"/>
      <c r="C1428"/>
      <c r="D1428"/>
      <c r="E1428"/>
      <c r="F1428"/>
      <c r="G1428"/>
      <c r="U1428"/>
      <c r="V1428"/>
      <c r="W1428"/>
      <c r="X1428"/>
      <c r="Y1428"/>
      <c r="Z1428"/>
      <c r="AA1428"/>
      <c r="AB1428"/>
      <c r="AL1428"/>
      <c r="AM1428"/>
      <c r="AN1428"/>
      <c r="AO1428"/>
    </row>
    <row r="1429" spans="1:41" s="2" customFormat="1" x14ac:dyDescent="0.2">
      <c r="A1429"/>
      <c r="B1429"/>
      <c r="C1429"/>
      <c r="D1429"/>
      <c r="E1429"/>
      <c r="F1429"/>
      <c r="G1429"/>
      <c r="U1429"/>
      <c r="V1429"/>
      <c r="W1429"/>
      <c r="X1429"/>
      <c r="Y1429"/>
      <c r="Z1429"/>
      <c r="AA1429"/>
      <c r="AB1429"/>
      <c r="AL1429"/>
      <c r="AM1429"/>
      <c r="AN1429"/>
      <c r="AO1429"/>
    </row>
    <row r="1430" spans="1:41" s="2" customFormat="1" x14ac:dyDescent="0.2">
      <c r="A1430"/>
      <c r="B1430"/>
      <c r="C1430"/>
      <c r="D1430"/>
      <c r="E1430"/>
      <c r="F1430"/>
      <c r="G1430"/>
      <c r="U1430"/>
      <c r="V1430"/>
      <c r="W1430"/>
      <c r="X1430"/>
      <c r="Y1430"/>
      <c r="Z1430"/>
      <c r="AA1430"/>
      <c r="AB1430"/>
      <c r="AL1430"/>
      <c r="AM1430"/>
      <c r="AN1430"/>
      <c r="AO1430"/>
    </row>
    <row r="1431" spans="1:41" s="2" customFormat="1" x14ac:dyDescent="0.2">
      <c r="A1431"/>
      <c r="B1431"/>
      <c r="C1431"/>
      <c r="D1431"/>
      <c r="E1431"/>
      <c r="F1431"/>
      <c r="G1431"/>
      <c r="U1431"/>
      <c r="V1431"/>
      <c r="W1431"/>
      <c r="X1431"/>
      <c r="Y1431"/>
      <c r="Z1431"/>
      <c r="AA1431"/>
      <c r="AB1431"/>
      <c r="AL1431"/>
      <c r="AM1431"/>
      <c r="AN1431"/>
      <c r="AO1431"/>
    </row>
    <row r="1432" spans="1:41" s="2" customFormat="1" x14ac:dyDescent="0.2">
      <c r="A1432"/>
      <c r="B1432"/>
      <c r="C1432"/>
      <c r="D1432"/>
      <c r="E1432"/>
      <c r="F1432"/>
      <c r="G1432"/>
      <c r="U1432"/>
      <c r="V1432"/>
      <c r="W1432"/>
      <c r="X1432"/>
      <c r="Y1432"/>
      <c r="Z1432"/>
      <c r="AA1432"/>
      <c r="AB1432"/>
      <c r="AL1432"/>
      <c r="AM1432"/>
      <c r="AN1432"/>
      <c r="AO1432"/>
    </row>
    <row r="1433" spans="1:41" s="2" customFormat="1" x14ac:dyDescent="0.2">
      <c r="A1433"/>
      <c r="B1433"/>
      <c r="C1433"/>
      <c r="D1433"/>
      <c r="E1433"/>
      <c r="F1433"/>
      <c r="G1433"/>
      <c r="U1433"/>
      <c r="V1433"/>
      <c r="W1433"/>
      <c r="X1433"/>
      <c r="Y1433"/>
      <c r="Z1433"/>
      <c r="AA1433"/>
      <c r="AB1433"/>
      <c r="AL1433"/>
      <c r="AM1433"/>
      <c r="AN1433"/>
      <c r="AO1433"/>
    </row>
    <row r="1434" spans="1:41" s="2" customFormat="1" x14ac:dyDescent="0.2">
      <c r="A1434"/>
      <c r="B1434"/>
      <c r="C1434"/>
      <c r="D1434"/>
      <c r="E1434"/>
      <c r="F1434"/>
      <c r="G1434"/>
      <c r="U1434"/>
      <c r="V1434"/>
      <c r="W1434"/>
      <c r="X1434"/>
      <c r="Y1434"/>
      <c r="Z1434"/>
      <c r="AA1434"/>
      <c r="AB1434"/>
      <c r="AL1434"/>
      <c r="AM1434"/>
      <c r="AN1434"/>
      <c r="AO1434"/>
    </row>
    <row r="1435" spans="1:41" s="2" customFormat="1" x14ac:dyDescent="0.2">
      <c r="A1435"/>
      <c r="B1435"/>
      <c r="C1435"/>
      <c r="D1435"/>
      <c r="E1435"/>
      <c r="F1435"/>
      <c r="G1435"/>
      <c r="U1435"/>
      <c r="V1435"/>
      <c r="W1435"/>
      <c r="X1435"/>
      <c r="Y1435"/>
      <c r="Z1435"/>
      <c r="AA1435"/>
      <c r="AB1435"/>
      <c r="AL1435"/>
      <c r="AM1435"/>
      <c r="AN1435"/>
      <c r="AO1435"/>
    </row>
    <row r="1436" spans="1:41" s="2" customFormat="1" x14ac:dyDescent="0.2">
      <c r="A1436"/>
      <c r="B1436"/>
      <c r="C1436"/>
      <c r="D1436"/>
      <c r="E1436"/>
      <c r="F1436"/>
      <c r="G1436"/>
      <c r="U1436"/>
      <c r="V1436"/>
      <c r="W1436"/>
      <c r="X1436"/>
      <c r="Y1436"/>
      <c r="Z1436"/>
      <c r="AA1436"/>
      <c r="AB1436"/>
      <c r="AL1436"/>
      <c r="AM1436"/>
      <c r="AN1436"/>
      <c r="AO1436"/>
    </row>
    <row r="1437" spans="1:41" s="2" customFormat="1" x14ac:dyDescent="0.2">
      <c r="A1437"/>
      <c r="B1437"/>
      <c r="C1437"/>
      <c r="D1437"/>
      <c r="E1437"/>
      <c r="F1437"/>
      <c r="G1437"/>
      <c r="U1437"/>
      <c r="V1437"/>
      <c r="W1437"/>
      <c r="X1437"/>
      <c r="Y1437"/>
      <c r="Z1437"/>
      <c r="AA1437"/>
      <c r="AB1437"/>
      <c r="AL1437"/>
      <c r="AM1437"/>
      <c r="AN1437"/>
      <c r="AO1437"/>
    </row>
    <row r="1438" spans="1:41" s="2" customFormat="1" x14ac:dyDescent="0.2">
      <c r="A1438"/>
      <c r="B1438"/>
      <c r="C1438"/>
      <c r="D1438"/>
      <c r="E1438"/>
      <c r="F1438"/>
      <c r="G1438"/>
      <c r="U1438"/>
      <c r="V1438"/>
      <c r="W1438"/>
      <c r="X1438"/>
      <c r="Y1438"/>
      <c r="Z1438"/>
      <c r="AA1438"/>
      <c r="AB1438"/>
      <c r="AL1438"/>
      <c r="AM1438"/>
      <c r="AN1438"/>
      <c r="AO1438"/>
    </row>
    <row r="1439" spans="1:41" s="2" customFormat="1" x14ac:dyDescent="0.2">
      <c r="A1439"/>
      <c r="B1439"/>
      <c r="C1439"/>
      <c r="D1439"/>
      <c r="E1439"/>
      <c r="F1439"/>
      <c r="G1439"/>
      <c r="U1439"/>
      <c r="V1439"/>
      <c r="W1439"/>
      <c r="X1439"/>
      <c r="Y1439"/>
      <c r="Z1439"/>
      <c r="AA1439"/>
      <c r="AB1439"/>
      <c r="AL1439"/>
      <c r="AM1439"/>
      <c r="AN1439"/>
      <c r="AO1439"/>
    </row>
    <row r="1440" spans="1:41" s="2" customFormat="1" x14ac:dyDescent="0.2">
      <c r="A1440"/>
      <c r="B1440"/>
      <c r="C1440"/>
      <c r="D1440"/>
      <c r="E1440"/>
      <c r="F1440"/>
      <c r="G1440"/>
      <c r="U1440"/>
      <c r="V1440"/>
      <c r="W1440"/>
      <c r="X1440"/>
      <c r="Y1440"/>
      <c r="Z1440"/>
      <c r="AA1440"/>
      <c r="AB1440"/>
      <c r="AL1440"/>
      <c r="AM1440"/>
      <c r="AN1440"/>
      <c r="AO1440"/>
    </row>
    <row r="1441" spans="1:41" s="2" customFormat="1" x14ac:dyDescent="0.2">
      <c r="A1441"/>
      <c r="B1441"/>
      <c r="C1441"/>
      <c r="D1441"/>
      <c r="E1441"/>
      <c r="F1441"/>
      <c r="G1441"/>
      <c r="U1441"/>
      <c r="V1441"/>
      <c r="W1441"/>
      <c r="X1441"/>
      <c r="Y1441"/>
      <c r="Z1441"/>
      <c r="AA1441"/>
      <c r="AB1441"/>
      <c r="AL1441"/>
      <c r="AM1441"/>
      <c r="AN1441"/>
      <c r="AO1441"/>
    </row>
    <row r="1442" spans="1:41" s="2" customFormat="1" x14ac:dyDescent="0.2">
      <c r="A1442"/>
      <c r="B1442"/>
      <c r="C1442"/>
      <c r="D1442"/>
      <c r="E1442"/>
      <c r="F1442"/>
      <c r="G1442"/>
      <c r="U1442"/>
      <c r="V1442"/>
      <c r="W1442"/>
      <c r="X1442"/>
      <c r="Y1442"/>
      <c r="Z1442"/>
      <c r="AA1442"/>
      <c r="AB1442"/>
      <c r="AL1442"/>
      <c r="AM1442"/>
      <c r="AN1442"/>
      <c r="AO1442"/>
    </row>
    <row r="1443" spans="1:41" s="2" customFormat="1" x14ac:dyDescent="0.2">
      <c r="A1443"/>
      <c r="B1443"/>
      <c r="C1443"/>
      <c r="D1443"/>
      <c r="E1443"/>
      <c r="F1443"/>
      <c r="G1443"/>
      <c r="U1443"/>
      <c r="V1443"/>
      <c r="W1443"/>
      <c r="X1443"/>
      <c r="Y1443"/>
      <c r="Z1443"/>
      <c r="AA1443"/>
      <c r="AB1443"/>
      <c r="AL1443"/>
      <c r="AM1443"/>
      <c r="AN1443"/>
      <c r="AO1443"/>
    </row>
    <row r="1444" spans="1:41" s="2" customFormat="1" x14ac:dyDescent="0.2">
      <c r="A1444"/>
      <c r="B1444"/>
      <c r="C1444"/>
      <c r="D1444"/>
      <c r="E1444"/>
      <c r="F1444"/>
      <c r="G1444"/>
      <c r="U1444"/>
      <c r="V1444"/>
      <c r="W1444"/>
      <c r="X1444"/>
      <c r="Y1444"/>
      <c r="Z1444"/>
      <c r="AA1444"/>
      <c r="AB1444"/>
      <c r="AL1444"/>
      <c r="AM1444"/>
      <c r="AN1444"/>
      <c r="AO1444"/>
    </row>
    <row r="1445" spans="1:41" s="2" customFormat="1" x14ac:dyDescent="0.2">
      <c r="A1445"/>
      <c r="B1445"/>
      <c r="C1445"/>
      <c r="D1445"/>
      <c r="E1445"/>
      <c r="F1445"/>
      <c r="G1445"/>
      <c r="U1445"/>
      <c r="V1445"/>
      <c r="W1445"/>
      <c r="X1445"/>
      <c r="Y1445"/>
      <c r="Z1445"/>
      <c r="AA1445"/>
      <c r="AB1445"/>
      <c r="AL1445"/>
      <c r="AM1445"/>
      <c r="AN1445"/>
      <c r="AO1445"/>
    </row>
    <row r="1446" spans="1:41" s="2" customFormat="1" x14ac:dyDescent="0.2">
      <c r="A1446"/>
      <c r="B1446"/>
      <c r="C1446"/>
      <c r="D1446"/>
      <c r="E1446"/>
      <c r="F1446"/>
      <c r="G1446"/>
      <c r="U1446"/>
      <c r="V1446"/>
      <c r="W1446"/>
      <c r="X1446"/>
      <c r="Y1446"/>
      <c r="Z1446"/>
      <c r="AA1446"/>
      <c r="AB1446"/>
      <c r="AL1446"/>
      <c r="AM1446"/>
      <c r="AN1446"/>
      <c r="AO1446"/>
    </row>
    <row r="1447" spans="1:41" s="2" customFormat="1" x14ac:dyDescent="0.2">
      <c r="A1447"/>
      <c r="B1447"/>
      <c r="C1447"/>
      <c r="D1447"/>
      <c r="E1447"/>
      <c r="F1447"/>
      <c r="G1447"/>
      <c r="U1447"/>
      <c r="V1447"/>
      <c r="W1447"/>
      <c r="X1447"/>
      <c r="Y1447"/>
      <c r="Z1447"/>
      <c r="AA1447"/>
      <c r="AB1447"/>
      <c r="AL1447"/>
      <c r="AM1447"/>
      <c r="AN1447"/>
      <c r="AO1447"/>
    </row>
    <row r="1448" spans="1:41" s="2" customFormat="1" x14ac:dyDescent="0.2">
      <c r="A1448"/>
      <c r="B1448"/>
      <c r="C1448"/>
      <c r="D1448"/>
      <c r="E1448"/>
      <c r="F1448"/>
      <c r="G1448"/>
      <c r="U1448"/>
      <c r="V1448"/>
      <c r="W1448"/>
      <c r="X1448"/>
      <c r="Y1448"/>
      <c r="Z1448"/>
      <c r="AA1448"/>
      <c r="AB1448"/>
      <c r="AL1448"/>
      <c r="AM1448"/>
      <c r="AN1448"/>
      <c r="AO1448"/>
    </row>
    <row r="1449" spans="1:41" s="2" customFormat="1" x14ac:dyDescent="0.2">
      <c r="A1449"/>
      <c r="B1449"/>
      <c r="C1449"/>
      <c r="D1449"/>
      <c r="E1449"/>
      <c r="F1449"/>
      <c r="G1449"/>
      <c r="U1449"/>
      <c r="V1449"/>
      <c r="W1449"/>
      <c r="X1449"/>
      <c r="Y1449"/>
      <c r="Z1449"/>
      <c r="AA1449"/>
      <c r="AB1449"/>
      <c r="AL1449"/>
      <c r="AM1449"/>
      <c r="AN1449"/>
      <c r="AO1449"/>
    </row>
    <row r="1450" spans="1:41" s="2" customFormat="1" x14ac:dyDescent="0.2">
      <c r="A1450"/>
      <c r="B1450"/>
      <c r="C1450"/>
      <c r="D1450"/>
      <c r="E1450"/>
      <c r="F1450"/>
      <c r="G1450"/>
      <c r="U1450"/>
      <c r="V1450"/>
      <c r="W1450"/>
      <c r="X1450"/>
      <c r="Y1450"/>
      <c r="Z1450"/>
      <c r="AA1450"/>
      <c r="AB1450"/>
      <c r="AL1450"/>
      <c r="AM1450"/>
      <c r="AN1450"/>
      <c r="AO1450"/>
    </row>
    <row r="1451" spans="1:41" s="2" customFormat="1" x14ac:dyDescent="0.2">
      <c r="A1451"/>
      <c r="B1451"/>
      <c r="C1451"/>
      <c r="D1451"/>
      <c r="E1451"/>
      <c r="F1451"/>
      <c r="G1451"/>
      <c r="U1451"/>
      <c r="V1451"/>
      <c r="W1451"/>
      <c r="X1451"/>
      <c r="Y1451"/>
      <c r="Z1451"/>
      <c r="AA1451"/>
      <c r="AB1451"/>
      <c r="AL1451"/>
      <c r="AM1451"/>
      <c r="AN1451"/>
      <c r="AO1451"/>
    </row>
    <row r="1452" spans="1:41" s="2" customFormat="1" x14ac:dyDescent="0.2">
      <c r="A1452"/>
      <c r="B1452"/>
      <c r="C1452"/>
      <c r="D1452"/>
      <c r="E1452"/>
      <c r="F1452"/>
      <c r="G1452"/>
      <c r="U1452"/>
      <c r="V1452"/>
      <c r="W1452"/>
      <c r="X1452"/>
      <c r="Y1452"/>
      <c r="Z1452"/>
      <c r="AA1452"/>
      <c r="AB1452"/>
      <c r="AL1452"/>
      <c r="AM1452"/>
      <c r="AN1452"/>
      <c r="AO1452"/>
    </row>
    <row r="1453" spans="1:41" s="2" customFormat="1" x14ac:dyDescent="0.2">
      <c r="A1453"/>
      <c r="B1453"/>
      <c r="C1453"/>
      <c r="D1453"/>
      <c r="E1453"/>
      <c r="F1453"/>
      <c r="G1453"/>
      <c r="U1453"/>
      <c r="V1453"/>
      <c r="W1453"/>
      <c r="X1453"/>
      <c r="Y1453"/>
      <c r="Z1453"/>
      <c r="AA1453"/>
      <c r="AB1453"/>
      <c r="AL1453"/>
      <c r="AM1453"/>
      <c r="AN1453"/>
      <c r="AO1453"/>
    </row>
    <row r="1454" spans="1:41" s="2" customFormat="1" x14ac:dyDescent="0.2">
      <c r="A1454"/>
      <c r="B1454"/>
      <c r="C1454"/>
      <c r="D1454"/>
      <c r="E1454"/>
      <c r="F1454"/>
      <c r="G1454"/>
      <c r="U1454"/>
      <c r="V1454"/>
      <c r="W1454"/>
      <c r="X1454"/>
      <c r="Y1454"/>
      <c r="Z1454"/>
      <c r="AA1454"/>
      <c r="AB1454"/>
      <c r="AL1454"/>
      <c r="AM1454"/>
      <c r="AN1454"/>
      <c r="AO1454"/>
    </row>
    <row r="1455" spans="1:41" s="2" customFormat="1" x14ac:dyDescent="0.2">
      <c r="A1455"/>
      <c r="B1455"/>
      <c r="C1455"/>
      <c r="D1455"/>
      <c r="E1455"/>
      <c r="F1455"/>
      <c r="G1455"/>
      <c r="U1455"/>
      <c r="V1455"/>
      <c r="W1455"/>
      <c r="X1455"/>
      <c r="Y1455"/>
      <c r="Z1455"/>
      <c r="AA1455"/>
      <c r="AB1455"/>
      <c r="AL1455"/>
      <c r="AM1455"/>
      <c r="AN1455"/>
      <c r="AO1455"/>
    </row>
    <row r="1456" spans="1:41" s="2" customFormat="1" x14ac:dyDescent="0.2">
      <c r="A1456"/>
      <c r="B1456"/>
      <c r="C1456"/>
      <c r="D1456"/>
      <c r="E1456"/>
      <c r="F1456"/>
      <c r="G1456"/>
      <c r="U1456"/>
      <c r="V1456"/>
      <c r="W1456"/>
      <c r="X1456"/>
      <c r="Y1456"/>
      <c r="Z1456"/>
      <c r="AA1456"/>
      <c r="AB1456"/>
      <c r="AL1456"/>
      <c r="AM1456"/>
      <c r="AN1456"/>
      <c r="AO1456"/>
    </row>
    <row r="1457" spans="1:41" s="2" customFormat="1" x14ac:dyDescent="0.2">
      <c r="A1457"/>
      <c r="B1457"/>
      <c r="C1457"/>
      <c r="D1457"/>
      <c r="E1457"/>
      <c r="F1457"/>
      <c r="G1457"/>
      <c r="U1457"/>
      <c r="V1457"/>
      <c r="W1457"/>
      <c r="X1457"/>
      <c r="Y1457"/>
      <c r="Z1457"/>
      <c r="AA1457"/>
      <c r="AB1457"/>
      <c r="AL1457"/>
      <c r="AM1457"/>
      <c r="AN1457"/>
      <c r="AO1457"/>
    </row>
    <row r="1458" spans="1:41" s="2" customFormat="1" x14ac:dyDescent="0.2">
      <c r="A1458"/>
      <c r="B1458"/>
      <c r="C1458"/>
      <c r="D1458"/>
      <c r="E1458"/>
      <c r="F1458"/>
      <c r="G1458"/>
      <c r="U1458"/>
      <c r="V1458"/>
      <c r="W1458"/>
      <c r="X1458"/>
      <c r="Y1458"/>
      <c r="Z1458"/>
      <c r="AA1458"/>
      <c r="AB1458"/>
      <c r="AL1458"/>
      <c r="AM1458"/>
      <c r="AN1458"/>
      <c r="AO1458"/>
    </row>
    <row r="1459" spans="1:41" s="2" customFormat="1" x14ac:dyDescent="0.2">
      <c r="A1459"/>
      <c r="B1459"/>
      <c r="C1459"/>
      <c r="D1459"/>
      <c r="E1459"/>
      <c r="F1459"/>
      <c r="G1459"/>
      <c r="U1459"/>
      <c r="V1459"/>
      <c r="W1459"/>
      <c r="X1459"/>
      <c r="Y1459"/>
      <c r="Z1459"/>
      <c r="AA1459"/>
      <c r="AB1459"/>
      <c r="AL1459"/>
      <c r="AM1459"/>
      <c r="AN1459"/>
      <c r="AO1459"/>
    </row>
    <row r="1460" spans="1:41" s="2" customFormat="1" x14ac:dyDescent="0.2">
      <c r="A1460"/>
      <c r="B1460"/>
      <c r="C1460"/>
      <c r="D1460"/>
      <c r="E1460"/>
      <c r="F1460"/>
      <c r="G1460"/>
      <c r="U1460"/>
      <c r="V1460"/>
      <c r="W1460"/>
      <c r="X1460"/>
      <c r="Y1460"/>
      <c r="Z1460"/>
      <c r="AA1460"/>
      <c r="AB1460"/>
      <c r="AL1460"/>
      <c r="AM1460"/>
      <c r="AN1460"/>
      <c r="AO1460"/>
    </row>
    <row r="1461" spans="1:41" s="2" customFormat="1" x14ac:dyDescent="0.2">
      <c r="A1461"/>
      <c r="B1461"/>
      <c r="C1461"/>
      <c r="D1461"/>
      <c r="E1461"/>
      <c r="F1461"/>
      <c r="G1461"/>
      <c r="U1461"/>
      <c r="V1461"/>
      <c r="W1461"/>
      <c r="X1461"/>
      <c r="Y1461"/>
      <c r="Z1461"/>
      <c r="AA1461"/>
      <c r="AB1461"/>
      <c r="AL1461"/>
      <c r="AM1461"/>
      <c r="AN1461"/>
      <c r="AO1461"/>
    </row>
    <row r="1462" spans="1:41" s="2" customFormat="1" x14ac:dyDescent="0.2">
      <c r="A1462"/>
      <c r="B1462"/>
      <c r="C1462"/>
      <c r="D1462"/>
      <c r="E1462"/>
      <c r="F1462"/>
      <c r="G1462"/>
      <c r="U1462"/>
      <c r="V1462"/>
      <c r="W1462"/>
      <c r="X1462"/>
      <c r="Y1462"/>
      <c r="Z1462"/>
      <c r="AA1462"/>
      <c r="AB1462"/>
      <c r="AL1462"/>
      <c r="AM1462"/>
      <c r="AN1462"/>
      <c r="AO1462"/>
    </row>
    <row r="1463" spans="1:41" s="2" customFormat="1" x14ac:dyDescent="0.2">
      <c r="A1463"/>
      <c r="B1463"/>
      <c r="C1463"/>
      <c r="D1463"/>
      <c r="E1463"/>
      <c r="F1463"/>
      <c r="G1463"/>
      <c r="U1463"/>
      <c r="V1463"/>
      <c r="W1463"/>
      <c r="X1463"/>
      <c r="Y1463"/>
      <c r="Z1463"/>
      <c r="AA1463"/>
      <c r="AB1463"/>
      <c r="AL1463"/>
      <c r="AM1463"/>
      <c r="AN1463"/>
      <c r="AO1463"/>
    </row>
    <row r="1464" spans="1:41" s="2" customFormat="1" x14ac:dyDescent="0.2">
      <c r="A1464"/>
      <c r="B1464"/>
      <c r="C1464"/>
      <c r="D1464"/>
      <c r="E1464"/>
      <c r="F1464"/>
      <c r="G1464"/>
      <c r="U1464"/>
      <c r="V1464"/>
      <c r="W1464"/>
      <c r="X1464"/>
      <c r="Y1464"/>
      <c r="Z1464"/>
      <c r="AA1464"/>
      <c r="AB1464"/>
      <c r="AL1464"/>
      <c r="AM1464"/>
      <c r="AN1464"/>
      <c r="AO1464"/>
    </row>
    <row r="1465" spans="1:41" s="2" customFormat="1" x14ac:dyDescent="0.2">
      <c r="A1465"/>
      <c r="B1465"/>
      <c r="C1465"/>
      <c r="D1465"/>
      <c r="E1465"/>
      <c r="F1465"/>
      <c r="G1465"/>
      <c r="U1465"/>
      <c r="V1465"/>
      <c r="W1465"/>
      <c r="X1465"/>
      <c r="Y1465"/>
      <c r="Z1465"/>
      <c r="AA1465"/>
      <c r="AB1465"/>
      <c r="AL1465"/>
      <c r="AM1465"/>
      <c r="AN1465"/>
      <c r="AO1465"/>
    </row>
    <row r="1466" spans="1:41" s="2" customFormat="1" x14ac:dyDescent="0.2">
      <c r="A1466"/>
      <c r="B1466"/>
      <c r="C1466"/>
      <c r="D1466"/>
      <c r="E1466"/>
      <c r="F1466"/>
      <c r="G1466"/>
      <c r="U1466"/>
      <c r="V1466"/>
      <c r="W1466"/>
      <c r="X1466"/>
      <c r="Y1466"/>
      <c r="Z1466"/>
      <c r="AA1466"/>
      <c r="AB1466"/>
      <c r="AL1466"/>
      <c r="AM1466"/>
      <c r="AN1466"/>
      <c r="AO1466"/>
    </row>
    <row r="1467" spans="1:41" s="2" customFormat="1" x14ac:dyDescent="0.2">
      <c r="A1467"/>
      <c r="B1467"/>
      <c r="C1467"/>
      <c r="D1467"/>
      <c r="E1467"/>
      <c r="F1467"/>
      <c r="G1467"/>
      <c r="U1467"/>
      <c r="V1467"/>
      <c r="W1467"/>
      <c r="X1467"/>
      <c r="Y1467"/>
      <c r="Z1467"/>
      <c r="AA1467"/>
      <c r="AB1467"/>
      <c r="AL1467"/>
      <c r="AM1467"/>
      <c r="AN1467"/>
      <c r="AO1467"/>
    </row>
    <row r="1468" spans="1:41" s="2" customFormat="1" x14ac:dyDescent="0.2">
      <c r="A1468"/>
      <c r="B1468"/>
      <c r="C1468"/>
      <c r="D1468"/>
      <c r="E1468"/>
      <c r="F1468"/>
      <c r="G1468"/>
      <c r="U1468"/>
      <c r="V1468"/>
      <c r="W1468"/>
      <c r="X1468"/>
      <c r="Y1468"/>
      <c r="Z1468"/>
      <c r="AA1468"/>
      <c r="AB1468"/>
      <c r="AL1468"/>
      <c r="AM1468"/>
      <c r="AN1468"/>
      <c r="AO1468"/>
    </row>
    <row r="1469" spans="1:41" s="2" customFormat="1" x14ac:dyDescent="0.2">
      <c r="A1469"/>
      <c r="B1469"/>
      <c r="C1469"/>
      <c r="D1469"/>
      <c r="E1469"/>
      <c r="F1469"/>
      <c r="G1469"/>
      <c r="U1469"/>
      <c r="V1469"/>
      <c r="W1469"/>
      <c r="X1469"/>
      <c r="Y1469"/>
      <c r="Z1469"/>
      <c r="AA1469"/>
      <c r="AB1469"/>
      <c r="AL1469"/>
      <c r="AM1469"/>
      <c r="AN1469"/>
      <c r="AO1469"/>
    </row>
    <row r="1470" spans="1:41" s="2" customFormat="1" x14ac:dyDescent="0.2">
      <c r="A1470"/>
      <c r="B1470"/>
      <c r="C1470"/>
      <c r="D1470"/>
      <c r="E1470"/>
      <c r="F1470"/>
      <c r="G1470"/>
      <c r="U1470"/>
      <c r="V1470"/>
      <c r="W1470"/>
      <c r="X1470"/>
      <c r="Y1470"/>
      <c r="Z1470"/>
      <c r="AA1470"/>
      <c r="AB1470"/>
      <c r="AL1470"/>
      <c r="AM1470"/>
      <c r="AN1470"/>
      <c r="AO1470"/>
    </row>
    <row r="1471" spans="1:41" s="2" customFormat="1" x14ac:dyDescent="0.2">
      <c r="A1471"/>
      <c r="B1471"/>
      <c r="C1471"/>
      <c r="D1471"/>
      <c r="E1471"/>
      <c r="F1471"/>
      <c r="G1471"/>
      <c r="U1471"/>
      <c r="V1471"/>
      <c r="W1471"/>
      <c r="X1471"/>
      <c r="Y1471"/>
      <c r="Z1471"/>
      <c r="AA1471"/>
      <c r="AB1471"/>
      <c r="AL1471"/>
      <c r="AM1471"/>
      <c r="AN1471"/>
      <c r="AO1471"/>
    </row>
    <row r="1472" spans="1:41" s="2" customFormat="1" x14ac:dyDescent="0.2">
      <c r="A1472"/>
      <c r="B1472"/>
      <c r="C1472"/>
      <c r="D1472"/>
      <c r="E1472"/>
      <c r="F1472"/>
      <c r="G1472"/>
      <c r="U1472"/>
      <c r="V1472"/>
      <c r="W1472"/>
      <c r="X1472"/>
      <c r="Y1472"/>
      <c r="Z1472"/>
      <c r="AA1472"/>
      <c r="AB1472"/>
      <c r="AL1472"/>
      <c r="AM1472"/>
      <c r="AN1472"/>
      <c r="AO1472"/>
    </row>
    <row r="1473" spans="1:41" s="2" customFormat="1" x14ac:dyDescent="0.2">
      <c r="A1473"/>
      <c r="B1473"/>
      <c r="C1473"/>
      <c r="D1473"/>
      <c r="E1473"/>
      <c r="F1473"/>
      <c r="G1473"/>
      <c r="U1473"/>
      <c r="V1473"/>
      <c r="W1473"/>
      <c r="X1473"/>
      <c r="Y1473"/>
      <c r="Z1473"/>
      <c r="AA1473"/>
      <c r="AB1473"/>
      <c r="AL1473"/>
      <c r="AM1473"/>
      <c r="AN1473"/>
      <c r="AO1473"/>
    </row>
    <row r="1474" spans="1:41" s="2" customFormat="1" x14ac:dyDescent="0.2">
      <c r="A1474"/>
      <c r="B1474"/>
      <c r="C1474"/>
      <c r="D1474"/>
      <c r="E1474"/>
      <c r="F1474"/>
      <c r="G1474"/>
      <c r="U1474"/>
      <c r="V1474"/>
      <c r="W1474"/>
      <c r="X1474"/>
      <c r="Y1474"/>
      <c r="Z1474"/>
      <c r="AA1474"/>
      <c r="AB1474"/>
      <c r="AL1474"/>
      <c r="AM1474"/>
      <c r="AN1474"/>
      <c r="AO1474"/>
    </row>
    <row r="1475" spans="1:41" s="2" customFormat="1" x14ac:dyDescent="0.2">
      <c r="A1475"/>
      <c r="B1475"/>
      <c r="C1475"/>
      <c r="D1475"/>
      <c r="E1475"/>
      <c r="F1475"/>
      <c r="G1475"/>
      <c r="U1475"/>
      <c r="V1475"/>
      <c r="W1475"/>
      <c r="X1475"/>
      <c r="Y1475"/>
      <c r="Z1475"/>
      <c r="AA1475"/>
      <c r="AB1475"/>
      <c r="AL1475"/>
      <c r="AM1475"/>
      <c r="AN1475"/>
      <c r="AO1475"/>
    </row>
    <row r="1476" spans="1:41" s="2" customFormat="1" x14ac:dyDescent="0.2">
      <c r="A1476"/>
      <c r="B1476"/>
      <c r="C1476"/>
      <c r="D1476"/>
      <c r="E1476"/>
      <c r="F1476"/>
      <c r="G1476"/>
      <c r="U1476"/>
      <c r="V1476"/>
      <c r="W1476"/>
      <c r="X1476"/>
      <c r="Y1476"/>
      <c r="Z1476"/>
      <c r="AA1476"/>
      <c r="AB1476"/>
      <c r="AL1476"/>
      <c r="AM1476"/>
      <c r="AN1476"/>
      <c r="AO1476"/>
    </row>
    <row r="1477" spans="1:41" s="2" customFormat="1" x14ac:dyDescent="0.2">
      <c r="A1477"/>
      <c r="B1477"/>
      <c r="C1477"/>
      <c r="D1477"/>
      <c r="E1477"/>
      <c r="F1477"/>
      <c r="G1477"/>
      <c r="U1477"/>
      <c r="V1477"/>
      <c r="W1477"/>
      <c r="X1477"/>
      <c r="Y1477"/>
      <c r="Z1477"/>
      <c r="AA1477"/>
      <c r="AB1477"/>
      <c r="AL1477"/>
      <c r="AM1477"/>
      <c r="AN1477"/>
      <c r="AO1477"/>
    </row>
    <row r="1478" spans="1:41" s="2" customFormat="1" x14ac:dyDescent="0.2">
      <c r="A1478"/>
      <c r="B1478"/>
      <c r="C1478"/>
      <c r="D1478"/>
      <c r="E1478"/>
      <c r="F1478"/>
      <c r="G1478"/>
      <c r="U1478"/>
      <c r="V1478"/>
      <c r="W1478"/>
      <c r="X1478"/>
      <c r="Y1478"/>
      <c r="Z1478"/>
      <c r="AA1478"/>
      <c r="AB1478"/>
      <c r="AL1478"/>
      <c r="AM1478"/>
      <c r="AN1478"/>
      <c r="AO1478"/>
    </row>
    <row r="1479" spans="1:41" s="2" customFormat="1" x14ac:dyDescent="0.2">
      <c r="A1479"/>
      <c r="B1479"/>
      <c r="C1479"/>
      <c r="D1479"/>
      <c r="E1479"/>
      <c r="F1479"/>
      <c r="G1479"/>
      <c r="U1479"/>
      <c r="V1479"/>
      <c r="W1479"/>
      <c r="X1479"/>
      <c r="Y1479"/>
      <c r="Z1479"/>
      <c r="AA1479"/>
      <c r="AB1479"/>
      <c r="AL1479"/>
      <c r="AM1479"/>
      <c r="AN1479"/>
      <c r="AO1479"/>
    </row>
    <row r="1480" spans="1:41" s="2" customFormat="1" x14ac:dyDescent="0.2">
      <c r="A1480"/>
      <c r="B1480"/>
      <c r="C1480"/>
      <c r="D1480"/>
      <c r="E1480"/>
      <c r="F1480"/>
      <c r="G1480"/>
      <c r="U1480"/>
      <c r="V1480"/>
      <c r="W1480"/>
      <c r="X1480"/>
      <c r="Y1480"/>
      <c r="Z1480"/>
      <c r="AA1480"/>
      <c r="AB1480"/>
      <c r="AL1480"/>
      <c r="AM1480"/>
      <c r="AN1480"/>
      <c r="AO1480"/>
    </row>
    <row r="1481" spans="1:41" s="2" customFormat="1" x14ac:dyDescent="0.2">
      <c r="A1481"/>
      <c r="B1481"/>
      <c r="C1481"/>
      <c r="D1481"/>
      <c r="E1481"/>
      <c r="F1481"/>
      <c r="G1481"/>
      <c r="U1481"/>
      <c r="V1481"/>
      <c r="W1481"/>
      <c r="X1481"/>
      <c r="Y1481"/>
      <c r="Z1481"/>
      <c r="AA1481"/>
      <c r="AB1481"/>
      <c r="AL1481"/>
      <c r="AM1481"/>
      <c r="AN1481"/>
      <c r="AO1481"/>
    </row>
    <row r="1482" spans="1:41" s="2" customFormat="1" x14ac:dyDescent="0.2">
      <c r="A1482"/>
      <c r="B1482"/>
      <c r="C1482"/>
      <c r="D1482"/>
      <c r="E1482"/>
      <c r="F1482"/>
      <c r="G1482"/>
      <c r="U1482"/>
      <c r="V1482"/>
      <c r="W1482"/>
      <c r="X1482"/>
      <c r="Y1482"/>
      <c r="Z1482"/>
      <c r="AA1482"/>
      <c r="AB1482"/>
      <c r="AL1482"/>
      <c r="AM1482"/>
      <c r="AN1482"/>
      <c r="AO1482"/>
    </row>
    <row r="1483" spans="1:41" s="2" customFormat="1" x14ac:dyDescent="0.2">
      <c r="A1483"/>
      <c r="B1483"/>
      <c r="C1483"/>
      <c r="D1483"/>
      <c r="E1483"/>
      <c r="F1483"/>
      <c r="G1483"/>
      <c r="U1483"/>
      <c r="V1483"/>
      <c r="W1483"/>
      <c r="X1483"/>
      <c r="Y1483"/>
      <c r="Z1483"/>
      <c r="AA1483"/>
      <c r="AB1483"/>
      <c r="AL1483"/>
      <c r="AM1483"/>
      <c r="AN1483"/>
      <c r="AO1483"/>
    </row>
    <row r="1484" spans="1:41" s="2" customFormat="1" x14ac:dyDescent="0.2">
      <c r="A1484"/>
      <c r="B1484"/>
      <c r="C1484"/>
      <c r="D1484"/>
      <c r="E1484"/>
      <c r="F1484"/>
      <c r="G1484"/>
      <c r="U1484"/>
      <c r="V1484"/>
      <c r="W1484"/>
      <c r="X1484"/>
      <c r="Y1484"/>
      <c r="Z1484"/>
      <c r="AA1484"/>
      <c r="AB1484"/>
      <c r="AL1484"/>
      <c r="AM1484"/>
      <c r="AN1484"/>
      <c r="AO1484"/>
    </row>
    <row r="1485" spans="1:41" s="2" customFormat="1" x14ac:dyDescent="0.2">
      <c r="A1485"/>
      <c r="B1485"/>
      <c r="C1485"/>
      <c r="D1485"/>
      <c r="E1485"/>
      <c r="F1485"/>
      <c r="G1485"/>
      <c r="U1485"/>
      <c r="V1485"/>
      <c r="W1485"/>
      <c r="X1485"/>
      <c r="Y1485"/>
      <c r="Z1485"/>
      <c r="AA1485"/>
      <c r="AB1485"/>
      <c r="AL1485"/>
      <c r="AM1485"/>
      <c r="AN1485"/>
      <c r="AO1485"/>
    </row>
    <row r="1486" spans="1:41" s="2" customFormat="1" x14ac:dyDescent="0.2">
      <c r="A1486"/>
      <c r="B1486"/>
      <c r="C1486"/>
      <c r="D1486"/>
      <c r="E1486"/>
      <c r="F1486"/>
      <c r="G1486"/>
      <c r="U1486"/>
      <c r="V1486"/>
      <c r="W1486"/>
      <c r="X1486"/>
      <c r="Y1486"/>
      <c r="Z1486"/>
      <c r="AA1486"/>
      <c r="AB1486"/>
      <c r="AL1486"/>
      <c r="AM1486"/>
      <c r="AN1486"/>
      <c r="AO1486"/>
    </row>
    <row r="1487" spans="1:41" s="2" customFormat="1" x14ac:dyDescent="0.2">
      <c r="A1487"/>
      <c r="B1487"/>
      <c r="C1487"/>
      <c r="D1487"/>
      <c r="E1487"/>
      <c r="F1487"/>
      <c r="G1487"/>
      <c r="U1487"/>
      <c r="V1487"/>
      <c r="W1487"/>
      <c r="X1487"/>
      <c r="Y1487"/>
      <c r="Z1487"/>
      <c r="AA1487"/>
      <c r="AB1487"/>
      <c r="AL1487"/>
      <c r="AM1487"/>
      <c r="AN1487"/>
      <c r="AO1487"/>
    </row>
    <row r="1488" spans="1:41" s="2" customFormat="1" x14ac:dyDescent="0.2">
      <c r="A1488"/>
      <c r="B1488"/>
      <c r="C1488"/>
      <c r="D1488"/>
      <c r="E1488"/>
      <c r="F1488"/>
      <c r="G1488"/>
      <c r="U1488"/>
      <c r="V1488"/>
      <c r="W1488"/>
      <c r="X1488"/>
      <c r="Y1488"/>
      <c r="Z1488"/>
      <c r="AA1488"/>
      <c r="AB1488"/>
      <c r="AL1488"/>
      <c r="AM1488"/>
      <c r="AN1488"/>
      <c r="AO1488"/>
    </row>
    <row r="1489" spans="1:41" s="2" customFormat="1" x14ac:dyDescent="0.2">
      <c r="A1489"/>
      <c r="B1489"/>
      <c r="C1489"/>
      <c r="D1489"/>
      <c r="E1489"/>
      <c r="F1489"/>
      <c r="G1489"/>
      <c r="U1489"/>
      <c r="V1489"/>
      <c r="W1489"/>
      <c r="X1489"/>
      <c r="Y1489"/>
      <c r="Z1489"/>
      <c r="AA1489"/>
      <c r="AB1489"/>
      <c r="AL1489"/>
      <c r="AM1489"/>
      <c r="AN1489"/>
      <c r="AO1489"/>
    </row>
    <row r="1490" spans="1:41" s="2" customFormat="1" x14ac:dyDescent="0.2">
      <c r="A1490"/>
      <c r="B1490"/>
      <c r="C1490"/>
      <c r="D1490"/>
      <c r="E1490"/>
      <c r="F1490"/>
      <c r="G1490"/>
      <c r="U1490"/>
      <c r="V1490"/>
      <c r="W1490"/>
      <c r="X1490"/>
      <c r="Y1490"/>
      <c r="Z1490"/>
      <c r="AA1490"/>
      <c r="AB1490"/>
      <c r="AL1490"/>
      <c r="AM1490"/>
      <c r="AN1490"/>
      <c r="AO1490"/>
    </row>
    <row r="1491" spans="1:41" s="2" customFormat="1" x14ac:dyDescent="0.2">
      <c r="A1491"/>
      <c r="B1491"/>
      <c r="C1491"/>
      <c r="D1491"/>
      <c r="E1491"/>
      <c r="F1491"/>
      <c r="G1491"/>
      <c r="U1491"/>
      <c r="V1491"/>
      <c r="W1491"/>
      <c r="X1491"/>
      <c r="Y1491"/>
      <c r="Z1491"/>
      <c r="AA1491"/>
      <c r="AB1491"/>
      <c r="AL1491"/>
      <c r="AM1491"/>
      <c r="AN1491"/>
      <c r="AO1491"/>
    </row>
    <row r="1492" spans="1:41" s="2" customFormat="1" x14ac:dyDescent="0.2">
      <c r="A1492"/>
      <c r="B1492"/>
      <c r="C1492"/>
      <c r="D1492"/>
      <c r="E1492"/>
      <c r="F1492"/>
      <c r="G1492"/>
      <c r="U1492"/>
      <c r="V1492"/>
      <c r="W1492"/>
      <c r="X1492"/>
      <c r="Y1492"/>
      <c r="Z1492"/>
      <c r="AA1492"/>
      <c r="AB1492"/>
      <c r="AL1492"/>
      <c r="AM1492"/>
      <c r="AN1492"/>
      <c r="AO1492"/>
    </row>
    <row r="1493" spans="1:41" s="2" customFormat="1" x14ac:dyDescent="0.2">
      <c r="A1493"/>
      <c r="B1493"/>
      <c r="C1493"/>
      <c r="D1493"/>
      <c r="E1493"/>
      <c r="F1493"/>
      <c r="G1493"/>
      <c r="U1493"/>
      <c r="V1493"/>
      <c r="W1493"/>
      <c r="X1493"/>
      <c r="Y1493"/>
      <c r="Z1493"/>
      <c r="AA1493"/>
      <c r="AB1493"/>
      <c r="AL1493"/>
      <c r="AM1493"/>
      <c r="AN1493"/>
      <c r="AO1493"/>
    </row>
    <row r="1494" spans="1:41" s="2" customFormat="1" x14ac:dyDescent="0.2">
      <c r="A1494"/>
      <c r="B1494"/>
      <c r="C1494"/>
      <c r="D1494"/>
      <c r="E1494"/>
      <c r="F1494"/>
      <c r="G1494"/>
      <c r="U1494"/>
      <c r="V1494"/>
      <c r="W1494"/>
      <c r="X1494"/>
      <c r="Y1494"/>
      <c r="Z1494"/>
      <c r="AA1494"/>
      <c r="AB1494"/>
      <c r="AL1494"/>
      <c r="AM1494"/>
      <c r="AN1494"/>
      <c r="AO1494"/>
    </row>
    <row r="1495" spans="1:41" s="2" customFormat="1" x14ac:dyDescent="0.2">
      <c r="A1495"/>
      <c r="B1495"/>
      <c r="C1495"/>
      <c r="D1495"/>
      <c r="E1495"/>
      <c r="F1495"/>
      <c r="G1495"/>
      <c r="U1495"/>
      <c r="V1495"/>
      <c r="W1495"/>
      <c r="X1495"/>
      <c r="Y1495"/>
      <c r="Z1495"/>
      <c r="AA1495"/>
      <c r="AB1495"/>
      <c r="AL1495"/>
      <c r="AM1495"/>
      <c r="AN1495"/>
      <c r="AO1495"/>
    </row>
    <row r="1496" spans="1:41" s="2" customFormat="1" x14ac:dyDescent="0.2">
      <c r="A1496"/>
      <c r="B1496"/>
      <c r="C1496"/>
      <c r="D1496"/>
      <c r="E1496"/>
      <c r="F1496"/>
      <c r="G1496"/>
      <c r="U1496"/>
      <c r="V1496"/>
      <c r="W1496"/>
      <c r="X1496"/>
      <c r="Y1496"/>
      <c r="Z1496"/>
      <c r="AA1496"/>
      <c r="AB1496"/>
      <c r="AL1496"/>
      <c r="AM1496"/>
      <c r="AN1496"/>
      <c r="AO1496"/>
    </row>
    <row r="1497" spans="1:41" s="2" customFormat="1" x14ac:dyDescent="0.2">
      <c r="A1497"/>
      <c r="B1497"/>
      <c r="C1497"/>
      <c r="D1497"/>
      <c r="E1497"/>
      <c r="F1497"/>
      <c r="G1497"/>
      <c r="U1497"/>
      <c r="V1497"/>
      <c r="W1497"/>
      <c r="X1497"/>
      <c r="Y1497"/>
      <c r="Z1497"/>
      <c r="AA1497"/>
      <c r="AB1497"/>
      <c r="AL1497"/>
      <c r="AM1497"/>
      <c r="AN1497"/>
      <c r="AO1497"/>
    </row>
    <row r="1498" spans="1:41" s="2" customFormat="1" x14ac:dyDescent="0.2">
      <c r="A1498"/>
      <c r="B1498"/>
      <c r="C1498"/>
      <c r="D1498"/>
      <c r="E1498"/>
      <c r="F1498"/>
      <c r="G1498"/>
      <c r="U1498"/>
      <c r="V1498"/>
      <c r="W1498"/>
      <c r="X1498"/>
      <c r="Y1498"/>
      <c r="Z1498"/>
      <c r="AA1498"/>
      <c r="AB1498"/>
      <c r="AL1498"/>
      <c r="AM1498"/>
      <c r="AN1498"/>
      <c r="AO1498"/>
    </row>
    <row r="1499" spans="1:41" s="2" customFormat="1" x14ac:dyDescent="0.2">
      <c r="A1499"/>
      <c r="B1499"/>
      <c r="C1499"/>
      <c r="D1499"/>
      <c r="E1499"/>
      <c r="F1499"/>
      <c r="G1499"/>
      <c r="U1499"/>
      <c r="V1499"/>
      <c r="W1499"/>
      <c r="X1499"/>
      <c r="Y1499"/>
      <c r="Z1499"/>
      <c r="AA1499"/>
      <c r="AB1499"/>
      <c r="AL1499"/>
      <c r="AM1499"/>
      <c r="AN1499"/>
      <c r="AO1499"/>
    </row>
    <row r="1500" spans="1:41" s="2" customFormat="1" x14ac:dyDescent="0.2">
      <c r="A1500"/>
      <c r="B1500"/>
      <c r="C1500"/>
      <c r="D1500"/>
      <c r="E1500"/>
      <c r="F1500"/>
      <c r="G1500"/>
      <c r="U1500"/>
      <c r="V1500"/>
      <c r="W1500"/>
      <c r="X1500"/>
      <c r="Y1500"/>
      <c r="Z1500"/>
      <c r="AA1500"/>
      <c r="AB1500"/>
      <c r="AL1500"/>
      <c r="AM1500"/>
      <c r="AN1500"/>
      <c r="AO1500"/>
    </row>
    <row r="1501" spans="1:41" s="2" customFormat="1" x14ac:dyDescent="0.2">
      <c r="A1501"/>
      <c r="B1501"/>
      <c r="C1501"/>
      <c r="D1501"/>
      <c r="E1501"/>
      <c r="F1501"/>
      <c r="G1501"/>
      <c r="U1501"/>
      <c r="V1501"/>
      <c r="W1501"/>
      <c r="X1501"/>
      <c r="Y1501"/>
      <c r="Z1501"/>
      <c r="AA1501"/>
      <c r="AB1501"/>
      <c r="AL1501"/>
      <c r="AM1501"/>
      <c r="AN1501"/>
      <c r="AO1501"/>
    </row>
    <row r="1502" spans="1:41" s="2" customFormat="1" x14ac:dyDescent="0.2">
      <c r="A1502"/>
      <c r="B1502"/>
      <c r="C1502"/>
      <c r="D1502"/>
      <c r="E1502"/>
      <c r="F1502"/>
      <c r="G1502"/>
      <c r="U1502"/>
      <c r="V1502"/>
      <c r="W1502"/>
      <c r="X1502"/>
      <c r="Y1502"/>
      <c r="Z1502"/>
      <c r="AA1502"/>
      <c r="AB1502"/>
      <c r="AL1502"/>
      <c r="AM1502"/>
      <c r="AN1502"/>
      <c r="AO1502"/>
    </row>
    <row r="1503" spans="1:41" s="2" customFormat="1" x14ac:dyDescent="0.2">
      <c r="A1503"/>
      <c r="B1503"/>
      <c r="C1503"/>
      <c r="D1503"/>
      <c r="E1503"/>
      <c r="F1503"/>
      <c r="G1503"/>
      <c r="U1503"/>
      <c r="V1503"/>
      <c r="W1503"/>
      <c r="X1503"/>
      <c r="Y1503"/>
      <c r="Z1503"/>
      <c r="AA1503"/>
      <c r="AB1503"/>
      <c r="AL1503"/>
      <c r="AM1503"/>
      <c r="AN1503"/>
      <c r="AO1503"/>
    </row>
    <row r="1504" spans="1:41" s="2" customFormat="1" x14ac:dyDescent="0.2">
      <c r="A1504"/>
      <c r="B1504"/>
      <c r="C1504"/>
      <c r="D1504"/>
      <c r="E1504"/>
      <c r="F1504"/>
      <c r="G1504"/>
      <c r="U1504"/>
      <c r="V1504"/>
      <c r="W1504"/>
      <c r="X1504"/>
      <c r="Y1504"/>
      <c r="Z1504"/>
      <c r="AA1504"/>
      <c r="AB1504"/>
      <c r="AL1504"/>
      <c r="AM1504"/>
      <c r="AN1504"/>
      <c r="AO1504"/>
    </row>
    <row r="1505" spans="1:41" s="2" customFormat="1" x14ac:dyDescent="0.2">
      <c r="A1505"/>
      <c r="B1505"/>
      <c r="C1505"/>
      <c r="D1505"/>
      <c r="E1505"/>
      <c r="F1505"/>
      <c r="G1505"/>
      <c r="U1505"/>
      <c r="V1505"/>
      <c r="W1505"/>
      <c r="X1505"/>
      <c r="Y1505"/>
      <c r="Z1505"/>
      <c r="AA1505"/>
      <c r="AB1505"/>
      <c r="AL1505"/>
      <c r="AM1505"/>
      <c r="AN1505"/>
      <c r="AO1505"/>
    </row>
    <row r="1506" spans="1:41" s="2" customFormat="1" x14ac:dyDescent="0.2">
      <c r="A1506"/>
      <c r="B1506"/>
      <c r="C1506"/>
      <c r="D1506"/>
      <c r="E1506"/>
      <c r="F1506"/>
      <c r="G1506"/>
      <c r="U1506"/>
      <c r="V1506"/>
      <c r="W1506"/>
      <c r="X1506"/>
      <c r="Y1506"/>
      <c r="Z1506"/>
      <c r="AA1506"/>
      <c r="AB1506"/>
      <c r="AL1506"/>
      <c r="AM1506"/>
      <c r="AN1506"/>
      <c r="AO1506"/>
    </row>
    <row r="1507" spans="1:41" s="2" customFormat="1" x14ac:dyDescent="0.2">
      <c r="A1507"/>
      <c r="B1507"/>
      <c r="C1507"/>
      <c r="D1507"/>
      <c r="E1507"/>
      <c r="F1507"/>
      <c r="G1507"/>
      <c r="U1507"/>
      <c r="V1507"/>
      <c r="W1507"/>
      <c r="X1507"/>
      <c r="Y1507"/>
      <c r="Z1507"/>
      <c r="AA1507"/>
      <c r="AB1507"/>
      <c r="AL1507"/>
      <c r="AM1507"/>
      <c r="AN1507"/>
      <c r="AO1507"/>
    </row>
    <row r="1508" spans="1:41" s="2" customFormat="1" x14ac:dyDescent="0.2">
      <c r="A1508"/>
      <c r="B1508"/>
      <c r="C1508"/>
      <c r="D1508"/>
      <c r="E1508"/>
      <c r="F1508"/>
      <c r="G1508"/>
      <c r="U1508"/>
      <c r="V1508"/>
      <c r="W1508"/>
      <c r="X1508"/>
      <c r="Y1508"/>
      <c r="Z1508"/>
      <c r="AA1508"/>
      <c r="AB1508"/>
      <c r="AL1508"/>
      <c r="AM1508"/>
      <c r="AN1508"/>
      <c r="AO1508"/>
    </row>
    <row r="1509" spans="1:41" s="2" customFormat="1" x14ac:dyDescent="0.2">
      <c r="A1509"/>
      <c r="B1509"/>
      <c r="C1509"/>
      <c r="D1509"/>
      <c r="E1509"/>
      <c r="F1509"/>
      <c r="G1509"/>
      <c r="U1509"/>
      <c r="V1509"/>
      <c r="W1509"/>
      <c r="X1509"/>
      <c r="Y1509"/>
      <c r="Z1509"/>
      <c r="AA1509"/>
      <c r="AB1509"/>
      <c r="AL1509"/>
      <c r="AM1509"/>
      <c r="AN1509"/>
      <c r="AO1509"/>
    </row>
    <row r="1510" spans="1:41" s="2" customFormat="1" x14ac:dyDescent="0.2">
      <c r="A1510"/>
      <c r="B1510"/>
      <c r="C1510"/>
      <c r="D1510"/>
      <c r="E1510"/>
      <c r="F1510"/>
      <c r="G1510"/>
      <c r="U1510"/>
      <c r="V1510"/>
      <c r="W1510"/>
      <c r="X1510"/>
      <c r="Y1510"/>
      <c r="Z1510"/>
      <c r="AA1510"/>
      <c r="AB1510"/>
      <c r="AL1510"/>
      <c r="AM1510"/>
      <c r="AN1510"/>
      <c r="AO1510"/>
    </row>
    <row r="1511" spans="1:41" s="2" customFormat="1" x14ac:dyDescent="0.2">
      <c r="A1511"/>
      <c r="B1511"/>
      <c r="C1511"/>
      <c r="D1511"/>
      <c r="E1511"/>
      <c r="F1511"/>
      <c r="G1511"/>
      <c r="U1511"/>
      <c r="V1511"/>
      <c r="W1511"/>
      <c r="X1511"/>
      <c r="Y1511"/>
      <c r="Z1511"/>
      <c r="AA1511"/>
      <c r="AB1511"/>
      <c r="AL1511"/>
      <c r="AM1511"/>
      <c r="AN1511"/>
      <c r="AO1511"/>
    </row>
    <row r="1512" spans="1:41" s="2" customFormat="1" x14ac:dyDescent="0.2">
      <c r="A1512"/>
      <c r="B1512"/>
      <c r="C1512"/>
      <c r="D1512"/>
      <c r="E1512"/>
      <c r="F1512"/>
      <c r="G1512"/>
      <c r="U1512"/>
      <c r="V1512"/>
      <c r="W1512"/>
      <c r="X1512"/>
      <c r="Y1512"/>
      <c r="Z1512"/>
      <c r="AA1512"/>
      <c r="AB1512"/>
      <c r="AL1512"/>
      <c r="AM1512"/>
      <c r="AN1512"/>
      <c r="AO1512"/>
    </row>
    <row r="1513" spans="1:41" s="2" customFormat="1" x14ac:dyDescent="0.2">
      <c r="A1513"/>
      <c r="B1513"/>
      <c r="C1513"/>
      <c r="D1513"/>
      <c r="E1513"/>
      <c r="F1513"/>
      <c r="G1513"/>
      <c r="U1513"/>
      <c r="V1513"/>
      <c r="W1513"/>
      <c r="X1513"/>
      <c r="Y1513"/>
      <c r="Z1513"/>
      <c r="AA1513"/>
      <c r="AB1513"/>
      <c r="AL1513"/>
      <c r="AM1513"/>
      <c r="AN1513"/>
      <c r="AO1513"/>
    </row>
    <row r="1514" spans="1:41" s="2" customFormat="1" x14ac:dyDescent="0.2">
      <c r="A1514"/>
      <c r="B1514"/>
      <c r="C1514"/>
      <c r="D1514"/>
      <c r="E1514"/>
      <c r="F1514"/>
      <c r="G1514"/>
      <c r="U1514"/>
      <c r="V1514"/>
      <c r="W1514"/>
      <c r="X1514"/>
      <c r="Y1514"/>
      <c r="Z1514"/>
      <c r="AA1514"/>
      <c r="AB1514"/>
      <c r="AL1514"/>
      <c r="AM1514"/>
      <c r="AN1514"/>
      <c r="AO1514"/>
    </row>
    <row r="1515" spans="1:41" s="2" customFormat="1" x14ac:dyDescent="0.2">
      <c r="A1515"/>
      <c r="B1515"/>
      <c r="C1515"/>
      <c r="D1515"/>
      <c r="E1515"/>
      <c r="F1515"/>
      <c r="G1515"/>
      <c r="U1515"/>
      <c r="V1515"/>
      <c r="W1515"/>
      <c r="X1515"/>
      <c r="Y1515"/>
      <c r="Z1515"/>
      <c r="AA1515"/>
      <c r="AB1515"/>
      <c r="AL1515"/>
      <c r="AM1515"/>
      <c r="AN1515"/>
      <c r="AO1515"/>
    </row>
    <row r="1516" spans="1:41" s="2" customFormat="1" x14ac:dyDescent="0.2">
      <c r="A1516"/>
      <c r="B1516"/>
      <c r="C1516"/>
      <c r="D1516"/>
      <c r="E1516"/>
      <c r="F1516"/>
      <c r="G1516"/>
      <c r="U1516"/>
      <c r="V1516"/>
      <c r="W1516"/>
      <c r="X1516"/>
      <c r="Y1516"/>
      <c r="Z1516"/>
      <c r="AA1516"/>
      <c r="AB1516"/>
      <c r="AL1516"/>
      <c r="AM1516"/>
      <c r="AN1516"/>
      <c r="AO1516"/>
    </row>
    <row r="1517" spans="1:41" s="2" customFormat="1" x14ac:dyDescent="0.2">
      <c r="A1517"/>
      <c r="B1517"/>
      <c r="C1517"/>
      <c r="D1517"/>
      <c r="E1517"/>
      <c r="F1517"/>
      <c r="G1517"/>
      <c r="U1517"/>
      <c r="V1517"/>
      <c r="W1517"/>
      <c r="X1517"/>
      <c r="Y1517"/>
      <c r="Z1517"/>
      <c r="AA1517"/>
      <c r="AB1517"/>
      <c r="AL1517"/>
      <c r="AM1517"/>
      <c r="AN1517"/>
      <c r="AO1517"/>
    </row>
    <row r="1518" spans="1:41" s="2" customFormat="1" x14ac:dyDescent="0.2">
      <c r="A1518"/>
      <c r="B1518"/>
      <c r="C1518"/>
      <c r="D1518"/>
      <c r="E1518"/>
      <c r="F1518"/>
      <c r="G1518"/>
      <c r="U1518"/>
      <c r="V1518"/>
      <c r="W1518"/>
      <c r="X1518"/>
      <c r="Y1518"/>
      <c r="Z1518"/>
      <c r="AA1518"/>
      <c r="AB1518"/>
      <c r="AL1518"/>
      <c r="AM1518"/>
      <c r="AN1518"/>
      <c r="AO1518"/>
    </row>
    <row r="1519" spans="1:41" s="2" customFormat="1" x14ac:dyDescent="0.2">
      <c r="A1519"/>
      <c r="B1519"/>
      <c r="C1519"/>
      <c r="D1519"/>
      <c r="E1519"/>
      <c r="F1519"/>
      <c r="G1519"/>
      <c r="U1519"/>
      <c r="V1519"/>
      <c r="W1519"/>
      <c r="X1519"/>
      <c r="Y1519"/>
      <c r="Z1519"/>
      <c r="AA1519"/>
      <c r="AB1519"/>
      <c r="AL1519"/>
      <c r="AM1519"/>
      <c r="AN1519"/>
      <c r="AO1519"/>
    </row>
    <row r="1520" spans="1:41" s="2" customFormat="1" x14ac:dyDescent="0.2">
      <c r="A1520"/>
      <c r="B1520"/>
      <c r="C1520"/>
      <c r="D1520"/>
      <c r="E1520"/>
      <c r="F1520"/>
      <c r="G1520"/>
      <c r="U1520"/>
      <c r="V1520"/>
      <c r="W1520"/>
      <c r="X1520"/>
      <c r="Y1520"/>
      <c r="Z1520"/>
      <c r="AA1520"/>
      <c r="AB1520"/>
      <c r="AL1520"/>
      <c r="AM1520"/>
      <c r="AN1520"/>
      <c r="AO1520"/>
    </row>
    <row r="1521" spans="1:41" s="2" customFormat="1" x14ac:dyDescent="0.2">
      <c r="A1521"/>
      <c r="B1521"/>
      <c r="C1521"/>
      <c r="D1521"/>
      <c r="E1521"/>
      <c r="F1521"/>
      <c r="G1521"/>
      <c r="U1521"/>
      <c r="V1521"/>
      <c r="W1521"/>
      <c r="X1521"/>
      <c r="Y1521"/>
      <c r="Z1521"/>
      <c r="AA1521"/>
      <c r="AB1521"/>
      <c r="AL1521"/>
      <c r="AM1521"/>
      <c r="AN1521"/>
      <c r="AO1521"/>
    </row>
    <row r="1522" spans="1:41" s="2" customFormat="1" x14ac:dyDescent="0.2">
      <c r="A1522"/>
      <c r="B1522"/>
      <c r="C1522"/>
      <c r="D1522"/>
      <c r="E1522"/>
      <c r="F1522"/>
      <c r="G1522"/>
      <c r="U1522"/>
      <c r="V1522"/>
      <c r="W1522"/>
      <c r="X1522"/>
      <c r="Y1522"/>
      <c r="Z1522"/>
      <c r="AA1522"/>
      <c r="AB1522"/>
      <c r="AL1522"/>
      <c r="AM1522"/>
      <c r="AN1522"/>
      <c r="AO1522"/>
    </row>
    <row r="1523" spans="1:41" s="2" customFormat="1" x14ac:dyDescent="0.2">
      <c r="A1523"/>
      <c r="B1523"/>
      <c r="C1523"/>
      <c r="D1523"/>
      <c r="E1523"/>
      <c r="F1523"/>
      <c r="G1523"/>
      <c r="U1523"/>
      <c r="V1523"/>
      <c r="W1523"/>
      <c r="X1523"/>
      <c r="Y1523"/>
      <c r="Z1523"/>
      <c r="AA1523"/>
      <c r="AB1523"/>
      <c r="AL1523"/>
      <c r="AM1523"/>
      <c r="AN1523"/>
      <c r="AO1523"/>
    </row>
    <row r="1524" spans="1:41" s="2" customFormat="1" x14ac:dyDescent="0.2">
      <c r="A1524"/>
      <c r="B1524"/>
      <c r="C1524"/>
      <c r="D1524"/>
      <c r="E1524"/>
      <c r="F1524"/>
      <c r="G1524"/>
      <c r="U1524"/>
      <c r="V1524"/>
      <c r="W1524"/>
      <c r="X1524"/>
      <c r="Y1524"/>
      <c r="Z1524"/>
      <c r="AA1524"/>
      <c r="AB1524"/>
      <c r="AL1524"/>
      <c r="AM1524"/>
      <c r="AN1524"/>
      <c r="AO1524"/>
    </row>
    <row r="1525" spans="1:41" s="2" customFormat="1" x14ac:dyDescent="0.2">
      <c r="A1525"/>
      <c r="B1525"/>
      <c r="C1525"/>
      <c r="D1525"/>
      <c r="E1525"/>
      <c r="F1525"/>
      <c r="G1525"/>
      <c r="U1525"/>
      <c r="V1525"/>
      <c r="W1525"/>
      <c r="X1525"/>
      <c r="Y1525"/>
      <c r="Z1525"/>
      <c r="AA1525"/>
      <c r="AB1525"/>
      <c r="AL1525"/>
      <c r="AM1525"/>
      <c r="AN1525"/>
      <c r="AO1525"/>
    </row>
    <row r="1526" spans="1:41" s="2" customFormat="1" x14ac:dyDescent="0.2">
      <c r="A1526"/>
      <c r="B1526"/>
      <c r="C1526"/>
      <c r="D1526"/>
      <c r="E1526"/>
      <c r="F1526"/>
      <c r="G1526"/>
      <c r="U1526"/>
      <c r="V1526"/>
      <c r="W1526"/>
      <c r="X1526"/>
      <c r="Y1526"/>
      <c r="Z1526"/>
      <c r="AA1526"/>
      <c r="AB1526"/>
      <c r="AL1526"/>
      <c r="AM1526"/>
      <c r="AN1526"/>
      <c r="AO1526"/>
    </row>
    <row r="1527" spans="1:41" s="2" customFormat="1" x14ac:dyDescent="0.2">
      <c r="A1527"/>
      <c r="B1527"/>
      <c r="C1527"/>
      <c r="D1527"/>
      <c r="E1527"/>
      <c r="F1527"/>
      <c r="G1527"/>
      <c r="U1527"/>
      <c r="V1527"/>
      <c r="W1527"/>
      <c r="X1527"/>
      <c r="Y1527"/>
      <c r="Z1527"/>
      <c r="AA1527"/>
      <c r="AB1527"/>
      <c r="AL1527"/>
      <c r="AM1527"/>
      <c r="AN1527"/>
      <c r="AO1527"/>
    </row>
    <row r="1528" spans="1:41" s="2" customFormat="1" x14ac:dyDescent="0.2">
      <c r="A1528"/>
      <c r="B1528"/>
      <c r="C1528"/>
      <c r="D1528"/>
      <c r="E1528"/>
      <c r="F1528"/>
      <c r="G1528"/>
      <c r="U1528"/>
      <c r="V1528"/>
      <c r="W1528"/>
      <c r="X1528"/>
      <c r="Y1528"/>
      <c r="Z1528"/>
      <c r="AA1528"/>
      <c r="AB1528"/>
      <c r="AL1528"/>
      <c r="AM1528"/>
      <c r="AN1528"/>
      <c r="AO1528"/>
    </row>
    <row r="1529" spans="1:41" s="2" customFormat="1" x14ac:dyDescent="0.2">
      <c r="A1529"/>
      <c r="B1529"/>
      <c r="C1529"/>
      <c r="D1529"/>
      <c r="E1529"/>
      <c r="F1529"/>
      <c r="G1529"/>
      <c r="U1529"/>
      <c r="V1529"/>
      <c r="W1529"/>
      <c r="X1529"/>
      <c r="Y1529"/>
      <c r="Z1529"/>
      <c r="AA1529"/>
      <c r="AB1529"/>
      <c r="AL1529"/>
      <c r="AM1529"/>
      <c r="AN1529"/>
      <c r="AO1529"/>
    </row>
    <row r="1530" spans="1:41" s="2" customFormat="1" x14ac:dyDescent="0.2">
      <c r="A1530"/>
      <c r="B1530"/>
      <c r="C1530"/>
      <c r="D1530"/>
      <c r="E1530"/>
      <c r="F1530"/>
      <c r="G1530"/>
      <c r="U1530"/>
      <c r="V1530"/>
      <c r="W1530"/>
      <c r="X1530"/>
      <c r="Y1530"/>
      <c r="Z1530"/>
      <c r="AA1530"/>
      <c r="AB1530"/>
      <c r="AL1530"/>
      <c r="AM1530"/>
      <c r="AN1530"/>
      <c r="AO1530"/>
    </row>
    <row r="1531" spans="1:41" s="2" customFormat="1" x14ac:dyDescent="0.2">
      <c r="A1531"/>
      <c r="B1531"/>
      <c r="C1531"/>
      <c r="D1531"/>
      <c r="E1531"/>
      <c r="F1531"/>
      <c r="G1531"/>
      <c r="U1531"/>
      <c r="V1531"/>
      <c r="W1531"/>
      <c r="X1531"/>
      <c r="Y1531"/>
      <c r="Z1531"/>
      <c r="AA1531"/>
      <c r="AB1531"/>
      <c r="AL1531"/>
      <c r="AM1531"/>
      <c r="AN1531"/>
      <c r="AO1531"/>
    </row>
    <row r="1532" spans="1:41" s="2" customFormat="1" x14ac:dyDescent="0.2">
      <c r="A1532"/>
      <c r="B1532"/>
      <c r="C1532"/>
      <c r="D1532"/>
      <c r="E1532"/>
      <c r="F1532"/>
      <c r="G1532"/>
      <c r="U1532"/>
      <c r="V1532"/>
      <c r="W1532"/>
      <c r="X1532"/>
      <c r="Y1532"/>
      <c r="Z1532"/>
      <c r="AA1532"/>
      <c r="AB1532"/>
      <c r="AL1532"/>
      <c r="AM1532"/>
      <c r="AN1532"/>
      <c r="AO1532"/>
    </row>
    <row r="1533" spans="1:41" s="2" customFormat="1" x14ac:dyDescent="0.2">
      <c r="A1533"/>
      <c r="B1533"/>
      <c r="C1533"/>
      <c r="D1533"/>
      <c r="E1533"/>
      <c r="F1533"/>
      <c r="G1533"/>
      <c r="U1533"/>
      <c r="V1533"/>
      <c r="W1533"/>
      <c r="X1533"/>
      <c r="Y1533"/>
      <c r="Z1533"/>
      <c r="AA1533"/>
      <c r="AB1533"/>
      <c r="AL1533"/>
      <c r="AM1533"/>
      <c r="AN1533"/>
      <c r="AO1533"/>
    </row>
    <row r="1534" spans="1:41" s="2" customFormat="1" x14ac:dyDescent="0.2">
      <c r="A1534"/>
      <c r="B1534"/>
      <c r="C1534"/>
      <c r="D1534"/>
      <c r="E1534"/>
      <c r="F1534"/>
      <c r="G1534"/>
      <c r="U1534"/>
      <c r="V1534"/>
      <c r="W1534"/>
      <c r="X1534"/>
      <c r="Y1534"/>
      <c r="Z1534"/>
      <c r="AA1534"/>
      <c r="AB1534"/>
      <c r="AL1534"/>
      <c r="AM1534"/>
      <c r="AN1534"/>
      <c r="AO1534"/>
    </row>
    <row r="1535" spans="1:41" s="2" customFormat="1" x14ac:dyDescent="0.2">
      <c r="A1535"/>
      <c r="B1535"/>
      <c r="C1535"/>
      <c r="D1535"/>
      <c r="E1535"/>
      <c r="F1535"/>
      <c r="G1535"/>
      <c r="U1535"/>
      <c r="V1535"/>
      <c r="W1535"/>
      <c r="X1535"/>
      <c r="Y1535"/>
      <c r="Z1535"/>
      <c r="AA1535"/>
      <c r="AB1535"/>
      <c r="AL1535"/>
      <c r="AM1535"/>
      <c r="AN1535"/>
      <c r="AO1535"/>
    </row>
    <row r="1536" spans="1:41" s="2" customFormat="1" x14ac:dyDescent="0.2">
      <c r="A1536"/>
      <c r="B1536"/>
      <c r="C1536"/>
      <c r="D1536"/>
      <c r="E1536"/>
      <c r="F1536"/>
      <c r="G1536"/>
      <c r="U1536"/>
      <c r="V1536"/>
      <c r="W1536"/>
      <c r="X1536"/>
      <c r="Y1536"/>
      <c r="Z1536"/>
      <c r="AA1536"/>
      <c r="AB1536"/>
      <c r="AL1536"/>
      <c r="AM1536"/>
      <c r="AN1536"/>
      <c r="AO1536"/>
    </row>
    <row r="1537" spans="1:41" s="2" customFormat="1" x14ac:dyDescent="0.2">
      <c r="A1537"/>
      <c r="B1537"/>
      <c r="C1537"/>
      <c r="D1537"/>
      <c r="E1537"/>
      <c r="F1537"/>
      <c r="G1537"/>
      <c r="U1537"/>
      <c r="V1537"/>
      <c r="W1537"/>
      <c r="X1537"/>
      <c r="Y1537"/>
      <c r="Z1537"/>
      <c r="AA1537"/>
      <c r="AB1537"/>
      <c r="AL1537"/>
      <c r="AM1537"/>
      <c r="AN1537"/>
      <c r="AO1537"/>
    </row>
    <row r="1538" spans="1:41" s="2" customFormat="1" x14ac:dyDescent="0.2">
      <c r="A1538"/>
      <c r="B1538"/>
      <c r="C1538"/>
      <c r="D1538"/>
      <c r="E1538"/>
      <c r="F1538"/>
      <c r="G1538"/>
      <c r="U1538"/>
      <c r="V1538"/>
      <c r="W1538"/>
      <c r="X1538"/>
      <c r="Y1538"/>
      <c r="Z1538"/>
      <c r="AA1538"/>
      <c r="AB1538"/>
      <c r="AL1538"/>
      <c r="AM1538"/>
      <c r="AN1538"/>
      <c r="AO1538"/>
    </row>
    <row r="1539" spans="1:41" s="2" customFormat="1" x14ac:dyDescent="0.2">
      <c r="A1539"/>
      <c r="B1539"/>
      <c r="C1539"/>
      <c r="D1539"/>
      <c r="E1539"/>
      <c r="F1539"/>
      <c r="G1539"/>
      <c r="U1539"/>
      <c r="V1539"/>
      <c r="W1539"/>
      <c r="X1539"/>
      <c r="Y1539"/>
      <c r="Z1539"/>
      <c r="AA1539"/>
      <c r="AB1539"/>
      <c r="AL1539"/>
      <c r="AM1539"/>
      <c r="AN1539"/>
      <c r="AO1539"/>
    </row>
    <row r="1540" spans="1:41" s="2" customFormat="1" x14ac:dyDescent="0.2">
      <c r="A1540"/>
      <c r="B1540"/>
      <c r="C1540"/>
      <c r="D1540"/>
      <c r="E1540"/>
      <c r="F1540"/>
      <c r="G1540"/>
      <c r="U1540"/>
      <c r="V1540"/>
      <c r="W1540"/>
      <c r="X1540"/>
      <c r="Y1540"/>
      <c r="Z1540"/>
      <c r="AA1540"/>
      <c r="AB1540"/>
      <c r="AL1540"/>
      <c r="AM1540"/>
      <c r="AN1540"/>
      <c r="AO1540"/>
    </row>
    <row r="1541" spans="1:41" s="2" customFormat="1" x14ac:dyDescent="0.2">
      <c r="A1541"/>
      <c r="B1541"/>
      <c r="C1541"/>
      <c r="D1541"/>
      <c r="E1541"/>
      <c r="F1541"/>
      <c r="G1541"/>
      <c r="U1541"/>
      <c r="V1541"/>
      <c r="W1541"/>
      <c r="X1541"/>
      <c r="Y1541"/>
      <c r="Z1541"/>
      <c r="AA1541"/>
      <c r="AB1541"/>
      <c r="AL1541"/>
      <c r="AM1541"/>
      <c r="AN1541"/>
      <c r="AO1541"/>
    </row>
    <row r="1542" spans="1:41" s="2" customFormat="1" x14ac:dyDescent="0.2">
      <c r="A1542"/>
      <c r="B1542"/>
      <c r="C1542"/>
      <c r="D1542"/>
      <c r="E1542"/>
      <c r="F1542"/>
      <c r="G1542"/>
      <c r="U1542"/>
      <c r="V1542"/>
      <c r="W1542"/>
      <c r="X1542"/>
      <c r="Y1542"/>
      <c r="Z1542"/>
      <c r="AA1542"/>
      <c r="AB1542"/>
      <c r="AL1542"/>
      <c r="AM1542"/>
      <c r="AN1542"/>
      <c r="AO1542"/>
    </row>
    <row r="1543" spans="1:41" s="2" customFormat="1" x14ac:dyDescent="0.2">
      <c r="A1543"/>
      <c r="B1543"/>
      <c r="C1543"/>
      <c r="D1543"/>
      <c r="E1543"/>
      <c r="F1543"/>
      <c r="G1543"/>
      <c r="U1543"/>
      <c r="V1543"/>
      <c r="W1543"/>
      <c r="X1543"/>
      <c r="Y1543"/>
      <c r="Z1543"/>
      <c r="AA1543"/>
      <c r="AB1543"/>
      <c r="AL1543"/>
      <c r="AM1543"/>
      <c r="AN1543"/>
      <c r="AO1543"/>
    </row>
    <row r="1544" spans="1:41" s="2" customFormat="1" x14ac:dyDescent="0.2">
      <c r="A1544"/>
      <c r="B1544"/>
      <c r="C1544"/>
      <c r="D1544"/>
      <c r="E1544"/>
      <c r="F1544"/>
      <c r="G1544"/>
      <c r="U1544"/>
      <c r="V1544"/>
      <c r="W1544"/>
      <c r="X1544"/>
      <c r="Y1544"/>
      <c r="Z1544"/>
      <c r="AA1544"/>
      <c r="AB1544"/>
      <c r="AL1544"/>
      <c r="AM1544"/>
      <c r="AN1544"/>
      <c r="AO1544"/>
    </row>
    <row r="1545" spans="1:41" s="2" customFormat="1" x14ac:dyDescent="0.2">
      <c r="A1545"/>
      <c r="B1545"/>
      <c r="C1545"/>
      <c r="D1545"/>
      <c r="E1545"/>
      <c r="F1545"/>
      <c r="G1545"/>
      <c r="U1545"/>
      <c r="V1545"/>
      <c r="W1545"/>
      <c r="X1545"/>
      <c r="Y1545"/>
      <c r="Z1545"/>
      <c r="AA1545"/>
      <c r="AB1545"/>
      <c r="AL1545"/>
      <c r="AM1545"/>
      <c r="AN1545"/>
      <c r="AO1545"/>
    </row>
    <row r="1546" spans="1:41" s="2" customFormat="1" x14ac:dyDescent="0.2">
      <c r="A1546"/>
      <c r="B1546"/>
      <c r="C1546"/>
      <c r="D1546"/>
      <c r="E1546"/>
      <c r="F1546"/>
      <c r="G1546"/>
      <c r="U1546"/>
      <c r="V1546"/>
      <c r="W1546"/>
      <c r="X1546"/>
      <c r="Y1546"/>
      <c r="Z1546"/>
      <c r="AA1546"/>
      <c r="AB1546"/>
      <c r="AL1546"/>
      <c r="AM1546"/>
      <c r="AN1546"/>
      <c r="AO1546"/>
    </row>
    <row r="1547" spans="1:41" s="2" customFormat="1" x14ac:dyDescent="0.2">
      <c r="A1547"/>
      <c r="B1547"/>
      <c r="C1547"/>
      <c r="D1547"/>
      <c r="E1547"/>
      <c r="F1547"/>
      <c r="G1547"/>
      <c r="U1547"/>
      <c r="V1547"/>
      <c r="W1547"/>
      <c r="X1547"/>
      <c r="Y1547"/>
      <c r="Z1547"/>
      <c r="AA1547"/>
      <c r="AB1547"/>
      <c r="AL1547"/>
      <c r="AM1547"/>
      <c r="AN1547"/>
      <c r="AO1547"/>
    </row>
    <row r="1548" spans="1:41" s="2" customFormat="1" x14ac:dyDescent="0.2">
      <c r="A1548"/>
      <c r="B1548"/>
      <c r="C1548"/>
      <c r="D1548"/>
      <c r="E1548"/>
      <c r="F1548"/>
      <c r="G1548"/>
      <c r="U1548"/>
      <c r="V1548"/>
      <c r="W1548"/>
      <c r="X1548"/>
      <c r="Y1548"/>
      <c r="Z1548"/>
      <c r="AA1548"/>
      <c r="AB1548"/>
      <c r="AL1548"/>
      <c r="AM1548"/>
      <c r="AN1548"/>
      <c r="AO1548"/>
    </row>
    <row r="1549" spans="1:41" s="2" customFormat="1" x14ac:dyDescent="0.2">
      <c r="A1549"/>
      <c r="B1549"/>
      <c r="C1549"/>
      <c r="D1549"/>
      <c r="E1549"/>
      <c r="F1549"/>
      <c r="G1549"/>
      <c r="U1549"/>
      <c r="V1549"/>
      <c r="W1549"/>
      <c r="X1549"/>
      <c r="Y1549"/>
      <c r="Z1549"/>
      <c r="AA1549"/>
      <c r="AB1549"/>
      <c r="AL1549"/>
      <c r="AM1549"/>
      <c r="AN1549"/>
      <c r="AO1549"/>
    </row>
    <row r="1550" spans="1:41" s="2" customFormat="1" x14ac:dyDescent="0.2">
      <c r="A1550"/>
      <c r="B1550"/>
      <c r="C1550"/>
      <c r="D1550"/>
      <c r="E1550"/>
      <c r="F1550"/>
      <c r="G1550"/>
      <c r="U1550"/>
      <c r="V1550"/>
      <c r="W1550"/>
      <c r="X1550"/>
      <c r="Y1550"/>
      <c r="Z1550"/>
      <c r="AA1550"/>
      <c r="AB1550"/>
      <c r="AL1550"/>
      <c r="AM1550"/>
      <c r="AN1550"/>
      <c r="AO1550"/>
    </row>
    <row r="1551" spans="1:41" s="2" customFormat="1" x14ac:dyDescent="0.2">
      <c r="A1551"/>
      <c r="B1551"/>
      <c r="C1551"/>
      <c r="D1551"/>
      <c r="E1551"/>
      <c r="F1551"/>
      <c r="G1551"/>
      <c r="U1551"/>
      <c r="V1551"/>
      <c r="W1551"/>
      <c r="X1551"/>
      <c r="Y1551"/>
      <c r="Z1551"/>
      <c r="AA1551"/>
      <c r="AB1551"/>
      <c r="AL1551"/>
      <c r="AM1551"/>
      <c r="AN1551"/>
      <c r="AO1551"/>
    </row>
    <row r="1552" spans="1:41" s="2" customFormat="1" x14ac:dyDescent="0.2">
      <c r="A1552"/>
      <c r="B1552"/>
      <c r="C1552"/>
      <c r="D1552"/>
      <c r="E1552"/>
      <c r="F1552"/>
      <c r="G1552"/>
      <c r="U1552"/>
      <c r="V1552"/>
      <c r="W1552"/>
      <c r="X1552"/>
      <c r="Y1552"/>
      <c r="Z1552"/>
      <c r="AA1552"/>
      <c r="AB1552"/>
      <c r="AL1552"/>
      <c r="AM1552"/>
      <c r="AN1552"/>
      <c r="AO1552"/>
    </row>
    <row r="1553" spans="1:41" s="2" customFormat="1" x14ac:dyDescent="0.2">
      <c r="A1553"/>
      <c r="B1553"/>
      <c r="C1553"/>
      <c r="D1553"/>
      <c r="E1553"/>
      <c r="F1553"/>
      <c r="G1553"/>
      <c r="U1553"/>
      <c r="V1553"/>
      <c r="W1553"/>
      <c r="X1553"/>
      <c r="Y1553"/>
      <c r="Z1553"/>
      <c r="AA1553"/>
      <c r="AB1553"/>
      <c r="AL1553"/>
      <c r="AM1553"/>
      <c r="AN1553"/>
      <c r="AO1553"/>
    </row>
    <row r="1554" spans="1:41" s="2" customFormat="1" x14ac:dyDescent="0.2">
      <c r="A1554"/>
      <c r="B1554"/>
      <c r="C1554"/>
      <c r="D1554"/>
      <c r="E1554"/>
      <c r="F1554"/>
      <c r="G1554"/>
      <c r="U1554"/>
      <c r="V1554"/>
      <c r="W1554"/>
      <c r="X1554"/>
      <c r="Y1554"/>
      <c r="Z1554"/>
      <c r="AA1554"/>
      <c r="AB1554"/>
      <c r="AL1554"/>
      <c r="AM1554"/>
      <c r="AN1554"/>
      <c r="AO1554"/>
    </row>
    <row r="1555" spans="1:41" s="2" customFormat="1" x14ac:dyDescent="0.2">
      <c r="A1555"/>
      <c r="B1555"/>
      <c r="C1555"/>
      <c r="D1555"/>
      <c r="E1555"/>
      <c r="F1555"/>
      <c r="G1555"/>
      <c r="U1555"/>
      <c r="V1555"/>
      <c r="W1555"/>
      <c r="X1555"/>
      <c r="Y1555"/>
      <c r="Z1555"/>
      <c r="AA1555"/>
      <c r="AB1555"/>
      <c r="AL1555"/>
      <c r="AM1555"/>
      <c r="AN1555"/>
      <c r="AO1555"/>
    </row>
    <row r="1556" spans="1:41" s="2" customFormat="1" x14ac:dyDescent="0.2">
      <c r="A1556"/>
      <c r="B1556"/>
      <c r="C1556"/>
      <c r="D1556"/>
      <c r="E1556"/>
      <c r="F1556"/>
      <c r="G1556"/>
      <c r="U1556"/>
      <c r="V1556"/>
      <c r="W1556"/>
      <c r="X1556"/>
      <c r="Y1556"/>
      <c r="Z1556"/>
      <c r="AA1556"/>
      <c r="AB1556"/>
      <c r="AL1556"/>
      <c r="AM1556"/>
      <c r="AN1556"/>
      <c r="AO1556"/>
    </row>
    <row r="1557" spans="1:41" s="2" customFormat="1" x14ac:dyDescent="0.2">
      <c r="A1557"/>
      <c r="B1557"/>
      <c r="C1557"/>
      <c r="D1557"/>
      <c r="E1557"/>
      <c r="F1557"/>
      <c r="G1557"/>
      <c r="U1557"/>
      <c r="V1557"/>
      <c r="W1557"/>
      <c r="X1557"/>
      <c r="Y1557"/>
      <c r="Z1557"/>
      <c r="AA1557"/>
      <c r="AB1557"/>
      <c r="AL1557"/>
      <c r="AM1557"/>
      <c r="AN1557"/>
      <c r="AO1557"/>
    </row>
    <row r="1558" spans="1:41" s="2" customFormat="1" x14ac:dyDescent="0.2">
      <c r="A1558"/>
      <c r="B1558"/>
      <c r="C1558"/>
      <c r="D1558"/>
      <c r="E1558"/>
      <c r="F1558"/>
      <c r="G1558"/>
      <c r="U1558"/>
      <c r="V1558"/>
      <c r="W1558"/>
      <c r="X1558"/>
      <c r="Y1558"/>
      <c r="Z1558"/>
      <c r="AA1558"/>
      <c r="AB1558"/>
      <c r="AL1558"/>
      <c r="AM1558"/>
      <c r="AN1558"/>
      <c r="AO1558"/>
    </row>
    <row r="1559" spans="1:41" s="2" customFormat="1" x14ac:dyDescent="0.2">
      <c r="A1559"/>
      <c r="B1559"/>
      <c r="C1559"/>
      <c r="D1559"/>
      <c r="E1559"/>
      <c r="F1559"/>
      <c r="G1559"/>
      <c r="U1559"/>
      <c r="V1559"/>
      <c r="W1559"/>
      <c r="X1559"/>
      <c r="Y1559"/>
      <c r="Z1559"/>
      <c r="AA1559"/>
      <c r="AB1559"/>
      <c r="AL1559"/>
      <c r="AM1559"/>
      <c r="AN1559"/>
      <c r="AO1559"/>
    </row>
    <row r="1560" spans="1:41" s="2" customFormat="1" x14ac:dyDescent="0.2">
      <c r="A1560"/>
      <c r="B1560"/>
      <c r="C1560"/>
      <c r="D1560"/>
      <c r="E1560"/>
      <c r="F1560"/>
      <c r="G1560"/>
      <c r="U1560"/>
      <c r="V1560"/>
      <c r="W1560"/>
      <c r="X1560"/>
      <c r="Y1560"/>
      <c r="Z1560"/>
      <c r="AA1560"/>
      <c r="AB1560"/>
      <c r="AL1560"/>
      <c r="AM1560"/>
      <c r="AN1560"/>
      <c r="AO1560"/>
    </row>
    <row r="1561" spans="1:41" s="2" customFormat="1" x14ac:dyDescent="0.2">
      <c r="A1561"/>
      <c r="B1561"/>
      <c r="C1561"/>
      <c r="D1561"/>
      <c r="E1561"/>
      <c r="F1561"/>
      <c r="G1561"/>
      <c r="U1561"/>
      <c r="V1561"/>
      <c r="W1561"/>
      <c r="X1561"/>
      <c r="Y1561"/>
      <c r="Z1561"/>
      <c r="AA1561"/>
      <c r="AB1561"/>
      <c r="AL1561"/>
      <c r="AM1561"/>
      <c r="AN1561"/>
      <c r="AO1561"/>
    </row>
    <row r="1562" spans="1:41" s="2" customFormat="1" x14ac:dyDescent="0.2">
      <c r="A1562"/>
      <c r="B1562"/>
      <c r="C1562"/>
      <c r="D1562"/>
      <c r="E1562"/>
      <c r="F1562"/>
      <c r="G1562"/>
      <c r="U1562"/>
      <c r="V1562"/>
      <c r="W1562"/>
      <c r="X1562"/>
      <c r="Y1562"/>
      <c r="Z1562"/>
      <c r="AA1562"/>
      <c r="AB1562"/>
      <c r="AL1562"/>
      <c r="AM1562"/>
      <c r="AN1562"/>
      <c r="AO1562"/>
    </row>
    <row r="1563" spans="1:41" s="2" customFormat="1" x14ac:dyDescent="0.2">
      <c r="A1563"/>
      <c r="B1563"/>
      <c r="C1563"/>
      <c r="D1563"/>
      <c r="E1563"/>
      <c r="F1563"/>
      <c r="G1563"/>
      <c r="U1563"/>
      <c r="V1563"/>
      <c r="W1563"/>
      <c r="X1563"/>
      <c r="Y1563"/>
      <c r="Z1563"/>
      <c r="AA1563"/>
      <c r="AB1563"/>
      <c r="AL1563"/>
      <c r="AM1563"/>
      <c r="AN1563"/>
      <c r="AO1563"/>
    </row>
    <row r="1564" spans="1:41" s="2" customFormat="1" x14ac:dyDescent="0.2">
      <c r="A1564"/>
      <c r="B1564"/>
      <c r="C1564"/>
      <c r="D1564"/>
      <c r="E1564"/>
      <c r="F1564"/>
      <c r="G1564"/>
      <c r="U1564"/>
      <c r="V1564"/>
      <c r="W1564"/>
      <c r="X1564"/>
      <c r="Y1564"/>
      <c r="Z1564"/>
      <c r="AA1564"/>
      <c r="AB1564"/>
      <c r="AL1564"/>
      <c r="AM1564"/>
      <c r="AN1564"/>
      <c r="AO1564"/>
    </row>
    <row r="1565" spans="1:41" s="2" customFormat="1" x14ac:dyDescent="0.2">
      <c r="A1565"/>
      <c r="B1565"/>
      <c r="C1565"/>
      <c r="D1565"/>
      <c r="E1565"/>
      <c r="F1565"/>
      <c r="G1565"/>
      <c r="U1565"/>
      <c r="V1565"/>
      <c r="W1565"/>
      <c r="X1565"/>
      <c r="Y1565"/>
      <c r="Z1565"/>
      <c r="AA1565"/>
      <c r="AB1565"/>
      <c r="AL1565"/>
      <c r="AM1565"/>
      <c r="AN1565"/>
      <c r="AO1565"/>
    </row>
    <row r="1566" spans="1:41" s="2" customFormat="1" x14ac:dyDescent="0.2">
      <c r="A1566"/>
      <c r="B1566"/>
      <c r="C1566"/>
      <c r="D1566"/>
      <c r="E1566"/>
      <c r="F1566"/>
      <c r="G1566"/>
      <c r="U1566"/>
      <c r="V1566"/>
      <c r="W1566"/>
      <c r="X1566"/>
      <c r="Y1566"/>
      <c r="Z1566"/>
      <c r="AA1566"/>
      <c r="AB1566"/>
      <c r="AL1566"/>
      <c r="AM1566"/>
      <c r="AN1566"/>
      <c r="AO1566"/>
    </row>
    <row r="1567" spans="1:41" s="2" customFormat="1" x14ac:dyDescent="0.2">
      <c r="A1567"/>
      <c r="B1567"/>
      <c r="C1567"/>
      <c r="D1567"/>
      <c r="E1567"/>
      <c r="F1567"/>
      <c r="G1567"/>
      <c r="U1567"/>
      <c r="V1567"/>
      <c r="W1567"/>
      <c r="X1567"/>
      <c r="Y1567"/>
      <c r="Z1567"/>
      <c r="AA1567"/>
      <c r="AB1567"/>
      <c r="AL1567"/>
      <c r="AM1567"/>
      <c r="AN1567"/>
      <c r="AO1567"/>
    </row>
    <row r="1568" spans="1:41" s="2" customFormat="1" x14ac:dyDescent="0.2">
      <c r="A1568"/>
      <c r="B1568"/>
      <c r="C1568"/>
      <c r="D1568"/>
      <c r="E1568"/>
      <c r="F1568"/>
      <c r="G1568"/>
      <c r="U1568"/>
      <c r="V1568"/>
      <c r="W1568"/>
      <c r="X1568"/>
      <c r="Y1568"/>
      <c r="Z1568"/>
      <c r="AA1568"/>
      <c r="AB1568"/>
      <c r="AL1568"/>
      <c r="AM1568"/>
      <c r="AN1568"/>
      <c r="AO1568"/>
    </row>
    <row r="1569" spans="1:41" s="2" customFormat="1" x14ac:dyDescent="0.2">
      <c r="A1569"/>
      <c r="B1569"/>
      <c r="C1569"/>
      <c r="D1569"/>
      <c r="E1569"/>
      <c r="F1569"/>
      <c r="G1569"/>
      <c r="U1569"/>
      <c r="V1569"/>
      <c r="W1569"/>
      <c r="X1569"/>
      <c r="Y1569"/>
      <c r="Z1569"/>
      <c r="AA1569"/>
      <c r="AB1569"/>
      <c r="AL1569"/>
      <c r="AM1569"/>
      <c r="AN1569"/>
      <c r="AO1569"/>
    </row>
    <row r="1570" spans="1:41" s="2" customFormat="1" x14ac:dyDescent="0.2">
      <c r="A1570"/>
      <c r="B1570"/>
      <c r="C1570"/>
      <c r="D1570"/>
      <c r="E1570"/>
      <c r="F1570"/>
      <c r="G1570"/>
      <c r="U1570"/>
      <c r="V1570"/>
      <c r="W1570"/>
      <c r="X1570"/>
      <c r="Y1570"/>
      <c r="Z1570"/>
      <c r="AA1570"/>
      <c r="AB1570"/>
      <c r="AL1570"/>
      <c r="AM1570"/>
      <c r="AN1570"/>
      <c r="AO1570"/>
    </row>
    <row r="1571" spans="1:41" s="2" customFormat="1" x14ac:dyDescent="0.2">
      <c r="A1571"/>
      <c r="B1571"/>
      <c r="C1571"/>
      <c r="D1571"/>
      <c r="E1571"/>
      <c r="F1571"/>
      <c r="G1571"/>
      <c r="U1571"/>
      <c r="V1571"/>
      <c r="W1571"/>
      <c r="X1571"/>
      <c r="Y1571"/>
      <c r="Z1571"/>
      <c r="AA1571"/>
      <c r="AB1571"/>
      <c r="AL1571"/>
      <c r="AM1571"/>
      <c r="AN1571"/>
      <c r="AO1571"/>
    </row>
    <row r="1572" spans="1:41" s="2" customFormat="1" x14ac:dyDescent="0.2">
      <c r="A1572"/>
      <c r="B1572"/>
      <c r="C1572"/>
      <c r="D1572"/>
      <c r="E1572"/>
      <c r="F1572"/>
      <c r="G1572"/>
      <c r="U1572"/>
      <c r="V1572"/>
      <c r="W1572"/>
      <c r="X1572"/>
      <c r="Y1572"/>
      <c r="Z1572"/>
      <c r="AA1572"/>
      <c r="AB1572"/>
      <c r="AL1572"/>
      <c r="AM1572"/>
      <c r="AN1572"/>
      <c r="AO1572"/>
    </row>
    <row r="1573" spans="1:41" s="2" customFormat="1" x14ac:dyDescent="0.2">
      <c r="A1573"/>
      <c r="B1573"/>
      <c r="C1573"/>
      <c r="D1573"/>
      <c r="E1573"/>
      <c r="F1573"/>
      <c r="G1573"/>
      <c r="U1573"/>
      <c r="V1573"/>
      <c r="W1573"/>
      <c r="X1573"/>
      <c r="Y1573"/>
      <c r="Z1573"/>
      <c r="AA1573"/>
      <c r="AB1573"/>
      <c r="AL1573"/>
      <c r="AM1573"/>
      <c r="AN1573"/>
      <c r="AO1573"/>
    </row>
    <row r="1574" spans="1:41" s="2" customFormat="1" x14ac:dyDescent="0.2">
      <c r="A1574"/>
      <c r="B1574"/>
      <c r="C1574"/>
      <c r="D1574"/>
      <c r="E1574"/>
      <c r="F1574"/>
      <c r="G1574"/>
      <c r="U1574"/>
      <c r="V1574"/>
      <c r="W1574"/>
      <c r="X1574"/>
      <c r="Y1574"/>
      <c r="Z1574"/>
      <c r="AA1574"/>
      <c r="AB1574"/>
      <c r="AL1574"/>
      <c r="AM1574"/>
      <c r="AN1574"/>
      <c r="AO1574"/>
    </row>
    <row r="1575" spans="1:41" s="2" customFormat="1" x14ac:dyDescent="0.2">
      <c r="A1575"/>
      <c r="B1575"/>
      <c r="C1575"/>
      <c r="D1575"/>
      <c r="E1575"/>
      <c r="F1575"/>
      <c r="G1575"/>
      <c r="U1575"/>
      <c r="V1575"/>
      <c r="W1575"/>
      <c r="X1575"/>
      <c r="Y1575"/>
      <c r="Z1575"/>
      <c r="AA1575"/>
      <c r="AB1575"/>
      <c r="AL1575"/>
      <c r="AM1575"/>
      <c r="AN1575"/>
      <c r="AO1575"/>
    </row>
    <row r="1576" spans="1:41" s="2" customFormat="1" x14ac:dyDescent="0.2">
      <c r="A1576"/>
      <c r="B1576"/>
      <c r="C1576"/>
      <c r="D1576"/>
      <c r="E1576"/>
      <c r="F1576"/>
      <c r="G1576"/>
      <c r="U1576"/>
      <c r="V1576"/>
      <c r="W1576"/>
      <c r="X1576"/>
      <c r="Y1576"/>
      <c r="Z1576"/>
      <c r="AA1576"/>
      <c r="AB1576"/>
      <c r="AL1576"/>
      <c r="AM1576"/>
      <c r="AN1576"/>
      <c r="AO1576"/>
    </row>
    <row r="1577" spans="1:41" s="2" customFormat="1" x14ac:dyDescent="0.2">
      <c r="A1577"/>
      <c r="B1577"/>
      <c r="C1577"/>
      <c r="D1577"/>
      <c r="E1577"/>
      <c r="F1577"/>
      <c r="G1577"/>
      <c r="U1577"/>
      <c r="V1577"/>
      <c r="W1577"/>
      <c r="X1577"/>
      <c r="Y1577"/>
      <c r="Z1577"/>
      <c r="AA1577"/>
      <c r="AB1577"/>
      <c r="AL1577"/>
      <c r="AM1577"/>
      <c r="AN1577"/>
      <c r="AO1577"/>
    </row>
    <row r="1578" spans="1:41" s="2" customFormat="1" x14ac:dyDescent="0.2">
      <c r="A1578"/>
      <c r="B1578"/>
      <c r="C1578"/>
      <c r="D1578"/>
      <c r="E1578"/>
      <c r="F1578"/>
      <c r="G1578"/>
      <c r="U1578"/>
      <c r="V1578"/>
      <c r="W1578"/>
      <c r="X1578"/>
      <c r="Y1578"/>
      <c r="Z1578"/>
      <c r="AA1578"/>
      <c r="AB1578"/>
      <c r="AL1578"/>
      <c r="AM1578"/>
      <c r="AN1578"/>
      <c r="AO1578"/>
    </row>
    <row r="1579" spans="1:41" s="2" customFormat="1" x14ac:dyDescent="0.2">
      <c r="A1579"/>
      <c r="B1579"/>
      <c r="C1579"/>
      <c r="D1579"/>
      <c r="E1579"/>
      <c r="F1579"/>
      <c r="G1579"/>
      <c r="U1579"/>
      <c r="V1579"/>
      <c r="W1579"/>
      <c r="X1579"/>
      <c r="Y1579"/>
      <c r="Z1579"/>
      <c r="AA1579"/>
      <c r="AB1579"/>
      <c r="AL1579"/>
      <c r="AM1579"/>
      <c r="AN1579"/>
      <c r="AO1579"/>
    </row>
    <row r="1580" spans="1:41" s="2" customFormat="1" x14ac:dyDescent="0.2">
      <c r="A1580"/>
      <c r="B1580"/>
      <c r="C1580"/>
      <c r="D1580"/>
      <c r="E1580"/>
      <c r="F1580"/>
      <c r="G1580"/>
      <c r="U1580"/>
      <c r="V1580"/>
      <c r="W1580"/>
      <c r="X1580"/>
      <c r="Y1580"/>
      <c r="Z1580"/>
      <c r="AA1580"/>
      <c r="AB1580"/>
      <c r="AL1580"/>
      <c r="AM1580"/>
      <c r="AN1580"/>
      <c r="AO1580"/>
    </row>
    <row r="1581" spans="1:41" s="2" customFormat="1" x14ac:dyDescent="0.2">
      <c r="A1581"/>
      <c r="B1581"/>
      <c r="C1581"/>
      <c r="D1581"/>
      <c r="E1581"/>
      <c r="F1581"/>
      <c r="G1581"/>
      <c r="U1581"/>
      <c r="V1581"/>
      <c r="W1581"/>
      <c r="X1581"/>
      <c r="Y1581"/>
      <c r="Z1581"/>
      <c r="AA1581"/>
      <c r="AB1581"/>
      <c r="AL1581"/>
      <c r="AM1581"/>
      <c r="AN1581"/>
      <c r="AO1581"/>
    </row>
    <row r="1582" spans="1:41" s="2" customFormat="1" x14ac:dyDescent="0.2">
      <c r="A1582"/>
      <c r="B1582"/>
      <c r="C1582"/>
      <c r="D1582"/>
      <c r="E1582"/>
      <c r="F1582"/>
      <c r="G1582"/>
      <c r="U1582"/>
      <c r="V1582"/>
      <c r="W1582"/>
      <c r="X1582"/>
      <c r="Y1582"/>
      <c r="Z1582"/>
      <c r="AA1582"/>
      <c r="AB1582"/>
      <c r="AL1582"/>
      <c r="AM1582"/>
      <c r="AN1582"/>
      <c r="AO1582"/>
    </row>
    <row r="1583" spans="1:41" s="2" customFormat="1" x14ac:dyDescent="0.2">
      <c r="A1583"/>
      <c r="B1583"/>
      <c r="C1583"/>
      <c r="D1583"/>
      <c r="E1583"/>
      <c r="F1583"/>
      <c r="G1583"/>
      <c r="U1583"/>
      <c r="V1583"/>
      <c r="W1583"/>
      <c r="X1583"/>
      <c r="Y1583"/>
      <c r="Z1583"/>
      <c r="AA1583"/>
      <c r="AB1583"/>
      <c r="AL1583"/>
      <c r="AM1583"/>
      <c r="AN1583"/>
      <c r="AO1583"/>
    </row>
    <row r="1584" spans="1:41" s="2" customFormat="1" x14ac:dyDescent="0.2">
      <c r="A1584"/>
      <c r="B1584"/>
      <c r="C1584"/>
      <c r="D1584"/>
      <c r="E1584"/>
      <c r="F1584"/>
      <c r="G1584"/>
      <c r="U1584"/>
      <c r="V1584"/>
      <c r="W1584"/>
      <c r="X1584"/>
      <c r="Y1584"/>
      <c r="Z1584"/>
      <c r="AA1584"/>
      <c r="AB1584"/>
      <c r="AL1584"/>
      <c r="AM1584"/>
      <c r="AN1584"/>
      <c r="AO1584"/>
    </row>
    <row r="1585" spans="1:41" s="2" customFormat="1" x14ac:dyDescent="0.2">
      <c r="A1585"/>
      <c r="B1585"/>
      <c r="C1585"/>
      <c r="D1585"/>
      <c r="E1585"/>
      <c r="F1585"/>
      <c r="G1585"/>
      <c r="U1585"/>
      <c r="V1585"/>
      <c r="W1585"/>
      <c r="X1585"/>
      <c r="Y1585"/>
      <c r="Z1585"/>
      <c r="AA1585"/>
      <c r="AB1585"/>
      <c r="AL1585"/>
      <c r="AM1585"/>
      <c r="AN1585"/>
      <c r="AO1585"/>
    </row>
    <row r="1586" spans="1:41" s="2" customFormat="1" x14ac:dyDescent="0.2">
      <c r="A1586"/>
      <c r="B1586"/>
      <c r="C1586"/>
      <c r="D1586"/>
      <c r="E1586"/>
      <c r="F1586"/>
      <c r="G1586"/>
      <c r="U1586"/>
      <c r="V1586"/>
      <c r="W1586"/>
      <c r="X1586"/>
      <c r="Y1586"/>
      <c r="Z1586"/>
      <c r="AA1586"/>
      <c r="AB1586"/>
      <c r="AL1586"/>
      <c r="AM1586"/>
      <c r="AN1586"/>
      <c r="AO1586"/>
    </row>
    <row r="1587" spans="1:41" s="2" customFormat="1" x14ac:dyDescent="0.2">
      <c r="A1587"/>
      <c r="B1587"/>
      <c r="C1587"/>
      <c r="D1587"/>
      <c r="E1587"/>
      <c r="F1587"/>
      <c r="G1587"/>
      <c r="U1587"/>
      <c r="V1587"/>
      <c r="W1587"/>
      <c r="X1587"/>
      <c r="Y1587"/>
      <c r="Z1587"/>
      <c r="AA1587"/>
      <c r="AB1587"/>
      <c r="AL1587"/>
      <c r="AM1587"/>
      <c r="AN1587"/>
      <c r="AO1587"/>
    </row>
    <row r="1588" spans="1:41" s="2" customFormat="1" x14ac:dyDescent="0.2">
      <c r="A1588"/>
      <c r="B1588"/>
      <c r="C1588"/>
      <c r="D1588"/>
      <c r="E1588"/>
      <c r="F1588"/>
      <c r="G1588"/>
      <c r="U1588"/>
      <c r="V1588"/>
      <c r="W1588"/>
      <c r="X1588"/>
      <c r="Y1588"/>
      <c r="Z1588"/>
      <c r="AA1588"/>
      <c r="AB1588"/>
      <c r="AL1588"/>
      <c r="AM1588"/>
      <c r="AN1588"/>
      <c r="AO1588"/>
    </row>
    <row r="1589" spans="1:41" s="2" customFormat="1" x14ac:dyDescent="0.2">
      <c r="A1589"/>
      <c r="B1589"/>
      <c r="C1589"/>
      <c r="D1589"/>
      <c r="E1589"/>
      <c r="F1589"/>
      <c r="G1589"/>
      <c r="U1589"/>
      <c r="V1589"/>
      <c r="W1589"/>
      <c r="X1589"/>
      <c r="Y1589"/>
      <c r="Z1589"/>
      <c r="AA1589"/>
      <c r="AB1589"/>
      <c r="AL1589"/>
      <c r="AM1589"/>
      <c r="AN1589"/>
      <c r="AO1589"/>
    </row>
    <row r="1590" spans="1:41" s="2" customFormat="1" x14ac:dyDescent="0.2">
      <c r="A1590"/>
      <c r="B1590"/>
      <c r="C1590"/>
      <c r="D1590"/>
      <c r="E1590"/>
      <c r="F1590"/>
      <c r="G1590"/>
      <c r="U1590"/>
      <c r="V1590"/>
      <c r="W1590"/>
      <c r="X1590"/>
      <c r="Y1590"/>
      <c r="Z1590"/>
      <c r="AA1590"/>
      <c r="AB1590"/>
      <c r="AL1590"/>
      <c r="AM1590"/>
      <c r="AN1590"/>
      <c r="AO1590"/>
    </row>
    <row r="1591" spans="1:41" s="2" customFormat="1" x14ac:dyDescent="0.2">
      <c r="A1591"/>
      <c r="B1591"/>
      <c r="C1591"/>
      <c r="D1591"/>
      <c r="E1591"/>
      <c r="F1591"/>
      <c r="G1591"/>
      <c r="U1591"/>
      <c r="V1591"/>
      <c r="W1591"/>
      <c r="X1591"/>
      <c r="Y1591"/>
      <c r="Z1591"/>
      <c r="AA1591"/>
      <c r="AB1591"/>
      <c r="AL1591"/>
      <c r="AM1591"/>
      <c r="AN1591"/>
      <c r="AO1591"/>
    </row>
    <row r="1592" spans="1:41" s="2" customFormat="1" x14ac:dyDescent="0.2">
      <c r="A1592"/>
      <c r="B1592"/>
      <c r="C1592"/>
      <c r="D1592"/>
      <c r="E1592"/>
      <c r="F1592"/>
      <c r="G1592"/>
      <c r="U1592"/>
      <c r="V1592"/>
      <c r="W1592"/>
      <c r="X1592"/>
      <c r="Y1592"/>
      <c r="Z1592"/>
      <c r="AA1592"/>
      <c r="AB1592"/>
      <c r="AL1592"/>
      <c r="AM1592"/>
      <c r="AN1592"/>
      <c r="AO1592"/>
    </row>
    <row r="1593" spans="1:41" s="2" customFormat="1" x14ac:dyDescent="0.2">
      <c r="A1593"/>
      <c r="B1593"/>
      <c r="C1593"/>
      <c r="D1593"/>
      <c r="E1593"/>
      <c r="F1593"/>
      <c r="G1593"/>
      <c r="U1593"/>
      <c r="V1593"/>
      <c r="W1593"/>
      <c r="X1593"/>
      <c r="Y1593"/>
      <c r="Z1593"/>
      <c r="AA1593"/>
      <c r="AB1593"/>
      <c r="AL1593"/>
      <c r="AM1593"/>
      <c r="AN1593"/>
      <c r="AO1593"/>
    </row>
    <row r="1594" spans="1:41" s="2" customFormat="1" x14ac:dyDescent="0.2">
      <c r="A1594"/>
      <c r="B1594"/>
      <c r="C1594"/>
      <c r="D1594"/>
      <c r="E1594"/>
      <c r="F1594"/>
      <c r="G1594"/>
      <c r="U1594"/>
      <c r="V1594"/>
      <c r="W1594"/>
      <c r="X1594"/>
      <c r="Y1594"/>
      <c r="Z1594"/>
      <c r="AA1594"/>
      <c r="AB1594"/>
      <c r="AL1594"/>
      <c r="AM1594"/>
      <c r="AN1594"/>
      <c r="AO1594"/>
    </row>
    <row r="1595" spans="1:41" s="2" customFormat="1" x14ac:dyDescent="0.2">
      <c r="A1595"/>
      <c r="B1595"/>
      <c r="C1595"/>
      <c r="D1595"/>
      <c r="E1595"/>
      <c r="F1595"/>
      <c r="G1595"/>
      <c r="U1595"/>
      <c r="V1595"/>
      <c r="W1595"/>
      <c r="X1595"/>
      <c r="Y1595"/>
      <c r="Z1595"/>
      <c r="AA1595"/>
      <c r="AB1595"/>
      <c r="AL1595"/>
      <c r="AM1595"/>
      <c r="AN1595"/>
      <c r="AO1595"/>
    </row>
    <row r="1596" spans="1:41" s="2" customFormat="1" x14ac:dyDescent="0.2">
      <c r="A1596"/>
      <c r="B1596"/>
      <c r="C1596"/>
      <c r="D1596"/>
      <c r="E1596"/>
      <c r="F1596"/>
      <c r="G1596"/>
      <c r="U1596"/>
      <c r="V1596"/>
      <c r="W1596"/>
      <c r="X1596"/>
      <c r="Y1596"/>
      <c r="Z1596"/>
      <c r="AA1596"/>
      <c r="AB1596"/>
      <c r="AL1596"/>
      <c r="AM1596"/>
      <c r="AN1596"/>
      <c r="AO1596"/>
    </row>
    <row r="1597" spans="1:41" s="2" customFormat="1" x14ac:dyDescent="0.2">
      <c r="A1597"/>
      <c r="B1597"/>
      <c r="C1597"/>
      <c r="D1597"/>
      <c r="E1597"/>
      <c r="F1597"/>
      <c r="G1597"/>
      <c r="U1597"/>
      <c r="V1597"/>
      <c r="W1597"/>
      <c r="X1597"/>
      <c r="Y1597"/>
      <c r="Z1597"/>
      <c r="AA1597"/>
      <c r="AB1597"/>
      <c r="AL1597"/>
      <c r="AM1597"/>
      <c r="AN1597"/>
      <c r="AO1597"/>
    </row>
    <row r="1598" spans="1:41" s="2" customFormat="1" x14ac:dyDescent="0.2">
      <c r="A1598"/>
      <c r="B1598"/>
      <c r="C1598"/>
      <c r="D1598"/>
      <c r="E1598"/>
      <c r="F1598"/>
      <c r="G1598"/>
      <c r="U1598"/>
      <c r="V1598"/>
      <c r="W1598"/>
      <c r="X1598"/>
      <c r="Y1598"/>
      <c r="Z1598"/>
      <c r="AA1598"/>
      <c r="AB1598"/>
      <c r="AL1598"/>
      <c r="AM1598"/>
      <c r="AN1598"/>
      <c r="AO1598"/>
    </row>
    <row r="1599" spans="1:41" s="2" customFormat="1" x14ac:dyDescent="0.2">
      <c r="A1599"/>
      <c r="B1599"/>
      <c r="C1599"/>
      <c r="D1599"/>
      <c r="E1599"/>
      <c r="F1599"/>
      <c r="G1599"/>
      <c r="U1599"/>
      <c r="V1599"/>
      <c r="W1599"/>
      <c r="X1599"/>
      <c r="Y1599"/>
      <c r="Z1599"/>
      <c r="AA1599"/>
      <c r="AB1599"/>
      <c r="AL1599"/>
      <c r="AM1599"/>
      <c r="AN1599"/>
      <c r="AO1599"/>
    </row>
    <row r="1600" spans="1:41" s="2" customFormat="1" x14ac:dyDescent="0.2">
      <c r="A1600"/>
      <c r="B1600"/>
      <c r="C1600"/>
      <c r="D1600"/>
      <c r="E1600"/>
      <c r="F1600"/>
      <c r="G1600"/>
      <c r="U1600"/>
      <c r="V1600"/>
      <c r="W1600"/>
      <c r="X1600"/>
      <c r="Y1600"/>
      <c r="Z1600"/>
      <c r="AA1600"/>
      <c r="AB1600"/>
      <c r="AL1600"/>
      <c r="AM1600"/>
      <c r="AN1600"/>
      <c r="AO1600"/>
    </row>
    <row r="1601" spans="1:41" s="2" customFormat="1" x14ac:dyDescent="0.2">
      <c r="A1601"/>
      <c r="B1601"/>
      <c r="C1601"/>
      <c r="D1601"/>
      <c r="E1601"/>
      <c r="F1601"/>
      <c r="G1601"/>
      <c r="U1601"/>
      <c r="V1601"/>
      <c r="W1601"/>
      <c r="X1601"/>
      <c r="Y1601"/>
      <c r="Z1601"/>
      <c r="AA1601"/>
      <c r="AB1601"/>
      <c r="AL1601"/>
      <c r="AM1601"/>
      <c r="AN1601"/>
      <c r="AO1601"/>
    </row>
    <row r="1602" spans="1:41" s="2" customFormat="1" x14ac:dyDescent="0.2">
      <c r="A1602"/>
      <c r="B1602"/>
      <c r="C1602"/>
      <c r="D1602"/>
      <c r="E1602"/>
      <c r="F1602"/>
      <c r="G1602"/>
      <c r="U1602"/>
      <c r="V1602"/>
      <c r="W1602"/>
      <c r="X1602"/>
      <c r="Y1602"/>
      <c r="Z1602"/>
      <c r="AA1602"/>
      <c r="AB1602"/>
      <c r="AL1602"/>
      <c r="AM1602"/>
      <c r="AN1602"/>
      <c r="AO1602"/>
    </row>
    <row r="1603" spans="1:41" s="2" customFormat="1" x14ac:dyDescent="0.2">
      <c r="A1603"/>
      <c r="B1603"/>
      <c r="C1603"/>
      <c r="D1603"/>
      <c r="E1603"/>
      <c r="F1603"/>
      <c r="G1603"/>
      <c r="U1603"/>
      <c r="V1603"/>
      <c r="W1603"/>
      <c r="X1603"/>
      <c r="Y1603"/>
      <c r="Z1603"/>
      <c r="AA1603"/>
      <c r="AB1603"/>
      <c r="AL1603"/>
      <c r="AM1603"/>
      <c r="AN1603"/>
      <c r="AO1603"/>
    </row>
    <row r="1604" spans="1:41" s="2" customFormat="1" x14ac:dyDescent="0.2">
      <c r="A1604"/>
      <c r="B1604"/>
      <c r="C1604"/>
      <c r="D1604"/>
      <c r="E1604"/>
      <c r="F1604"/>
      <c r="G1604"/>
      <c r="U1604"/>
      <c r="V1604"/>
      <c r="W1604"/>
      <c r="X1604"/>
      <c r="Y1604"/>
      <c r="Z1604"/>
      <c r="AA1604"/>
      <c r="AB1604"/>
      <c r="AL1604"/>
      <c r="AM1604"/>
      <c r="AN1604"/>
      <c r="AO1604"/>
    </row>
    <row r="1605" spans="1:41" s="2" customFormat="1" x14ac:dyDescent="0.2">
      <c r="A1605"/>
      <c r="B1605"/>
      <c r="C1605"/>
      <c r="D1605"/>
      <c r="E1605"/>
      <c r="F1605"/>
      <c r="G1605"/>
      <c r="U1605"/>
      <c r="V1605"/>
      <c r="W1605"/>
      <c r="X1605"/>
      <c r="Y1605"/>
      <c r="Z1605"/>
      <c r="AA1605"/>
      <c r="AB1605"/>
      <c r="AL1605"/>
      <c r="AM1605"/>
      <c r="AN1605"/>
      <c r="AO1605"/>
    </row>
    <row r="1606" spans="1:41" s="2" customFormat="1" x14ac:dyDescent="0.2">
      <c r="A1606"/>
      <c r="B1606"/>
      <c r="C1606"/>
      <c r="D1606"/>
      <c r="E1606"/>
      <c r="F1606"/>
      <c r="G1606"/>
      <c r="U1606"/>
      <c r="V1606"/>
      <c r="W1606"/>
      <c r="X1606"/>
      <c r="Y1606"/>
      <c r="Z1606"/>
      <c r="AA1606"/>
      <c r="AB1606"/>
      <c r="AL1606"/>
      <c r="AM1606"/>
      <c r="AN1606"/>
      <c r="AO1606"/>
    </row>
    <row r="1607" spans="1:41" s="2" customFormat="1" x14ac:dyDescent="0.2">
      <c r="A1607"/>
      <c r="B1607"/>
      <c r="C1607"/>
      <c r="D1607"/>
      <c r="E1607"/>
      <c r="F1607"/>
      <c r="G1607"/>
      <c r="U1607"/>
      <c r="V1607"/>
      <c r="W1607"/>
      <c r="X1607"/>
      <c r="Y1607"/>
      <c r="Z1607"/>
      <c r="AA1607"/>
      <c r="AB1607"/>
      <c r="AL1607"/>
      <c r="AM1607"/>
      <c r="AN1607"/>
      <c r="AO1607"/>
    </row>
    <row r="1608" spans="1:41" s="2" customFormat="1" x14ac:dyDescent="0.2">
      <c r="A1608"/>
      <c r="B1608"/>
      <c r="C1608"/>
      <c r="D1608"/>
      <c r="E1608"/>
      <c r="F1608"/>
      <c r="G1608"/>
      <c r="U1608"/>
      <c r="V1608"/>
      <c r="W1608"/>
      <c r="X1608"/>
      <c r="Y1608"/>
      <c r="Z1608"/>
      <c r="AA1608"/>
      <c r="AB1608"/>
      <c r="AL1608"/>
      <c r="AM1608"/>
      <c r="AN1608"/>
      <c r="AO1608"/>
    </row>
    <row r="1609" spans="1:41" s="2" customFormat="1" x14ac:dyDescent="0.2">
      <c r="A1609"/>
      <c r="B1609"/>
      <c r="C1609"/>
      <c r="D1609"/>
      <c r="E1609"/>
      <c r="F1609"/>
      <c r="G1609"/>
      <c r="U1609"/>
      <c r="V1609"/>
      <c r="W1609"/>
      <c r="X1609"/>
      <c r="Y1609"/>
      <c r="Z1609"/>
      <c r="AA1609"/>
      <c r="AB1609"/>
      <c r="AL1609"/>
      <c r="AM1609"/>
      <c r="AN1609"/>
      <c r="AO1609"/>
    </row>
    <row r="1610" spans="1:41" s="2" customFormat="1" x14ac:dyDescent="0.2">
      <c r="A1610"/>
      <c r="B1610"/>
      <c r="C1610"/>
      <c r="D1610"/>
      <c r="E1610"/>
      <c r="F1610"/>
      <c r="G1610"/>
      <c r="U1610"/>
      <c r="V1610"/>
      <c r="W1610"/>
      <c r="X1610"/>
      <c r="Y1610"/>
      <c r="Z1610"/>
      <c r="AA1610"/>
      <c r="AB1610"/>
      <c r="AL1610"/>
      <c r="AM1610"/>
      <c r="AN1610"/>
      <c r="AO1610"/>
    </row>
    <row r="1611" spans="1:41" s="2" customFormat="1" x14ac:dyDescent="0.2">
      <c r="A1611"/>
      <c r="B1611"/>
      <c r="C1611"/>
      <c r="D1611"/>
      <c r="E1611"/>
      <c r="F1611"/>
      <c r="G1611"/>
      <c r="U1611"/>
      <c r="V1611"/>
      <c r="W1611"/>
      <c r="X1611"/>
      <c r="Y1611"/>
      <c r="Z1611"/>
      <c r="AA1611"/>
      <c r="AB1611"/>
      <c r="AL1611"/>
      <c r="AM1611"/>
      <c r="AN1611"/>
      <c r="AO1611"/>
    </row>
    <row r="1612" spans="1:41" s="2" customFormat="1" x14ac:dyDescent="0.2">
      <c r="A1612"/>
      <c r="B1612"/>
      <c r="C1612"/>
      <c r="D1612"/>
      <c r="E1612"/>
      <c r="F1612"/>
      <c r="G1612"/>
      <c r="U1612"/>
      <c r="V1612"/>
      <c r="W1612"/>
      <c r="X1612"/>
      <c r="Y1612"/>
      <c r="Z1612"/>
      <c r="AA1612"/>
      <c r="AB1612"/>
      <c r="AL1612"/>
      <c r="AM1612"/>
      <c r="AN1612"/>
      <c r="AO1612"/>
    </row>
    <row r="1613" spans="1:41" s="2" customFormat="1" x14ac:dyDescent="0.2">
      <c r="A1613"/>
      <c r="B1613"/>
      <c r="C1613"/>
      <c r="D1613"/>
      <c r="E1613"/>
      <c r="F1613"/>
      <c r="G1613"/>
      <c r="U1613"/>
      <c r="V1613"/>
      <c r="W1613"/>
      <c r="X1613"/>
      <c r="Y1613"/>
      <c r="Z1613"/>
      <c r="AA1613"/>
      <c r="AB1613"/>
      <c r="AL1613"/>
      <c r="AM1613"/>
      <c r="AN1613"/>
      <c r="AO1613"/>
    </row>
    <row r="1614" spans="1:41" s="2" customFormat="1" x14ac:dyDescent="0.2">
      <c r="A1614"/>
      <c r="B1614"/>
      <c r="C1614"/>
      <c r="D1614"/>
      <c r="E1614"/>
      <c r="F1614"/>
      <c r="G1614"/>
      <c r="U1614"/>
      <c r="V1614"/>
      <c r="W1614"/>
      <c r="X1614"/>
      <c r="Y1614"/>
      <c r="Z1614"/>
      <c r="AA1614"/>
      <c r="AB1614"/>
      <c r="AL1614"/>
      <c r="AM1614"/>
      <c r="AN1614"/>
      <c r="AO1614"/>
    </row>
    <row r="1615" spans="1:41" s="2" customFormat="1" x14ac:dyDescent="0.2">
      <c r="A1615"/>
      <c r="B1615"/>
      <c r="C1615"/>
      <c r="D1615"/>
      <c r="E1615"/>
      <c r="F1615"/>
      <c r="G1615"/>
      <c r="U1615"/>
      <c r="V1615"/>
      <c r="W1615"/>
      <c r="X1615"/>
      <c r="Y1615"/>
      <c r="Z1615"/>
      <c r="AA1615"/>
      <c r="AB1615"/>
      <c r="AL1615"/>
      <c r="AM1615"/>
      <c r="AN1615"/>
      <c r="AO1615"/>
    </row>
    <row r="1616" spans="1:41" s="2" customFormat="1" x14ac:dyDescent="0.2">
      <c r="A1616"/>
      <c r="B1616"/>
      <c r="C1616"/>
      <c r="D1616"/>
      <c r="E1616"/>
      <c r="F1616"/>
      <c r="G1616"/>
      <c r="U1616"/>
      <c r="V1616"/>
      <c r="W1616"/>
      <c r="X1616"/>
      <c r="Y1616"/>
      <c r="Z1616"/>
      <c r="AA1616"/>
      <c r="AB1616"/>
      <c r="AL1616"/>
      <c r="AM1616"/>
      <c r="AN1616"/>
      <c r="AO1616"/>
    </row>
    <row r="1617" spans="1:41" s="2" customFormat="1" x14ac:dyDescent="0.2">
      <c r="A1617"/>
      <c r="B1617"/>
      <c r="C1617"/>
      <c r="D1617"/>
      <c r="E1617"/>
      <c r="F1617"/>
      <c r="G1617"/>
      <c r="U1617"/>
      <c r="V1617"/>
      <c r="W1617"/>
      <c r="X1617"/>
      <c r="Y1617"/>
      <c r="Z1617"/>
      <c r="AA1617"/>
      <c r="AB1617"/>
      <c r="AL1617"/>
      <c r="AM1617"/>
      <c r="AN1617"/>
      <c r="AO1617"/>
    </row>
    <row r="1618" spans="1:41" s="2" customFormat="1" x14ac:dyDescent="0.2">
      <c r="A1618"/>
      <c r="B1618"/>
      <c r="C1618"/>
      <c r="D1618"/>
      <c r="E1618"/>
      <c r="F1618"/>
      <c r="G1618"/>
      <c r="U1618"/>
      <c r="V1618"/>
      <c r="W1618"/>
      <c r="X1618"/>
      <c r="Y1618"/>
      <c r="Z1618"/>
      <c r="AA1618"/>
      <c r="AB1618"/>
      <c r="AL1618"/>
      <c r="AM1618"/>
      <c r="AN1618"/>
      <c r="AO1618"/>
    </row>
    <row r="1619" spans="1:41" s="2" customFormat="1" x14ac:dyDescent="0.2">
      <c r="A1619"/>
      <c r="B1619"/>
      <c r="C1619"/>
      <c r="D1619"/>
      <c r="E1619"/>
      <c r="F1619"/>
      <c r="G1619"/>
      <c r="U1619"/>
      <c r="V1619"/>
      <c r="W1619"/>
      <c r="X1619"/>
      <c r="Y1619"/>
      <c r="Z1619"/>
      <c r="AA1619"/>
      <c r="AB1619"/>
      <c r="AL1619"/>
      <c r="AM1619"/>
      <c r="AN1619"/>
      <c r="AO1619"/>
    </row>
    <row r="1620" spans="1:41" s="2" customFormat="1" x14ac:dyDescent="0.2">
      <c r="A1620"/>
      <c r="B1620"/>
      <c r="C1620"/>
      <c r="D1620"/>
      <c r="E1620"/>
      <c r="F1620"/>
      <c r="G1620"/>
      <c r="U1620"/>
      <c r="V1620"/>
      <c r="W1620"/>
      <c r="X1620"/>
      <c r="Y1620"/>
      <c r="Z1620"/>
      <c r="AA1620"/>
      <c r="AB1620"/>
      <c r="AL1620"/>
      <c r="AM1620"/>
      <c r="AN1620"/>
      <c r="AO1620"/>
    </row>
    <row r="1621" spans="1:41" s="2" customFormat="1" x14ac:dyDescent="0.2">
      <c r="A1621"/>
      <c r="B1621"/>
      <c r="C1621"/>
      <c r="D1621"/>
      <c r="E1621"/>
      <c r="F1621"/>
      <c r="G1621"/>
      <c r="U1621"/>
      <c r="V1621"/>
      <c r="W1621"/>
      <c r="X1621"/>
      <c r="Y1621"/>
      <c r="Z1621"/>
      <c r="AA1621"/>
      <c r="AB1621"/>
      <c r="AL1621"/>
      <c r="AM1621"/>
      <c r="AN1621"/>
      <c r="AO1621"/>
    </row>
    <row r="1622" spans="1:41" s="2" customFormat="1" x14ac:dyDescent="0.2">
      <c r="A1622"/>
      <c r="B1622"/>
      <c r="C1622"/>
      <c r="D1622"/>
      <c r="E1622"/>
      <c r="F1622"/>
      <c r="G1622"/>
      <c r="U1622"/>
      <c r="V1622"/>
      <c r="W1622"/>
      <c r="X1622"/>
      <c r="Y1622"/>
      <c r="Z1622"/>
      <c r="AA1622"/>
      <c r="AB1622"/>
      <c r="AL1622"/>
      <c r="AM1622"/>
      <c r="AN1622"/>
      <c r="AO1622"/>
    </row>
    <row r="1623" spans="1:41" s="2" customFormat="1" x14ac:dyDescent="0.2">
      <c r="A1623"/>
      <c r="B1623"/>
      <c r="C1623"/>
      <c r="D1623"/>
      <c r="E1623"/>
      <c r="F1623"/>
      <c r="G1623"/>
      <c r="U1623"/>
      <c r="V1623"/>
      <c r="W1623"/>
      <c r="X1623"/>
      <c r="Y1623"/>
      <c r="Z1623"/>
      <c r="AA1623"/>
      <c r="AB1623"/>
      <c r="AL1623"/>
      <c r="AM1623"/>
      <c r="AN1623"/>
      <c r="AO1623"/>
    </row>
    <row r="1624" spans="1:41" s="2" customFormat="1" x14ac:dyDescent="0.2">
      <c r="A1624"/>
      <c r="B1624"/>
      <c r="C1624"/>
      <c r="D1624"/>
      <c r="E1624"/>
      <c r="F1624"/>
      <c r="G1624"/>
      <c r="U1624"/>
      <c r="V1624"/>
      <c r="W1624"/>
      <c r="X1624"/>
      <c r="Y1624"/>
      <c r="Z1624"/>
      <c r="AA1624"/>
      <c r="AB1624"/>
      <c r="AL1624"/>
      <c r="AM1624"/>
      <c r="AN1624"/>
      <c r="AO1624"/>
    </row>
    <row r="1625" spans="1:41" s="2" customFormat="1" x14ac:dyDescent="0.2">
      <c r="A1625"/>
      <c r="B1625"/>
      <c r="C1625"/>
      <c r="D1625"/>
      <c r="E1625"/>
      <c r="F1625"/>
      <c r="G1625"/>
      <c r="U1625"/>
      <c r="V1625"/>
      <c r="W1625"/>
      <c r="X1625"/>
      <c r="Y1625"/>
      <c r="Z1625"/>
      <c r="AA1625"/>
      <c r="AB1625"/>
      <c r="AL1625"/>
      <c r="AM1625"/>
      <c r="AN1625"/>
      <c r="AO1625"/>
    </row>
    <row r="1626" spans="1:41" s="2" customFormat="1" x14ac:dyDescent="0.2">
      <c r="A1626"/>
      <c r="B1626"/>
      <c r="C1626"/>
      <c r="D1626"/>
      <c r="E1626"/>
      <c r="F1626"/>
      <c r="G1626"/>
      <c r="U1626"/>
      <c r="V1626"/>
      <c r="W1626"/>
      <c r="X1626"/>
      <c r="Y1626"/>
      <c r="Z1626"/>
      <c r="AA1626"/>
      <c r="AB1626"/>
      <c r="AL1626"/>
      <c r="AM1626"/>
      <c r="AN1626"/>
      <c r="AO1626"/>
    </row>
    <row r="1627" spans="1:41" s="2" customFormat="1" x14ac:dyDescent="0.2">
      <c r="A1627"/>
      <c r="B1627"/>
      <c r="C1627"/>
      <c r="D1627"/>
      <c r="E1627"/>
      <c r="F1627"/>
      <c r="G1627"/>
      <c r="U1627"/>
      <c r="V1627"/>
      <c r="W1627"/>
      <c r="X1627"/>
      <c r="Y1627"/>
      <c r="Z1627"/>
      <c r="AA1627"/>
      <c r="AB1627"/>
      <c r="AL1627"/>
      <c r="AM1627"/>
      <c r="AN1627"/>
      <c r="AO1627"/>
    </row>
    <row r="1628" spans="1:41" s="2" customFormat="1" x14ac:dyDescent="0.2">
      <c r="A1628"/>
      <c r="B1628"/>
      <c r="C1628"/>
      <c r="D1628"/>
      <c r="E1628"/>
      <c r="F1628"/>
      <c r="G1628"/>
      <c r="U1628"/>
      <c r="V1628"/>
      <c r="W1628"/>
      <c r="X1628"/>
      <c r="Y1628"/>
      <c r="Z1628"/>
      <c r="AA1628"/>
      <c r="AB1628"/>
      <c r="AL1628"/>
      <c r="AM1628"/>
      <c r="AN1628"/>
      <c r="AO1628"/>
    </row>
    <row r="1629" spans="1:41" s="2" customFormat="1" x14ac:dyDescent="0.2">
      <c r="A1629"/>
      <c r="B1629"/>
      <c r="C1629"/>
      <c r="D1629"/>
      <c r="E1629"/>
      <c r="F1629"/>
      <c r="G1629"/>
      <c r="U1629"/>
      <c r="V1629"/>
      <c r="W1629"/>
      <c r="X1629"/>
      <c r="Y1629"/>
      <c r="Z1629"/>
      <c r="AA1629"/>
      <c r="AB1629"/>
      <c r="AL1629"/>
      <c r="AM1629"/>
      <c r="AN1629"/>
      <c r="AO1629"/>
    </row>
    <row r="1630" spans="1:41" s="2" customFormat="1" x14ac:dyDescent="0.2">
      <c r="A1630"/>
      <c r="B1630"/>
      <c r="C1630"/>
      <c r="D1630"/>
      <c r="E1630"/>
      <c r="F1630"/>
      <c r="G1630"/>
      <c r="U1630"/>
      <c r="V1630"/>
      <c r="W1630"/>
      <c r="X1630"/>
      <c r="Y1630"/>
      <c r="Z1630"/>
      <c r="AA1630"/>
      <c r="AB1630"/>
      <c r="AL1630"/>
      <c r="AM1630"/>
      <c r="AN1630"/>
      <c r="AO1630"/>
    </row>
    <row r="1631" spans="1:41" s="2" customFormat="1" x14ac:dyDescent="0.2">
      <c r="A1631"/>
      <c r="B1631"/>
      <c r="C1631"/>
      <c r="D1631"/>
      <c r="E1631"/>
      <c r="F1631"/>
      <c r="G1631"/>
      <c r="U1631"/>
      <c r="V1631"/>
      <c r="W1631"/>
      <c r="X1631"/>
      <c r="Y1631"/>
      <c r="Z1631"/>
      <c r="AA1631"/>
      <c r="AB1631"/>
      <c r="AL1631"/>
      <c r="AM1631"/>
      <c r="AN1631"/>
      <c r="AO1631"/>
    </row>
    <row r="1632" spans="1:41" s="2" customFormat="1" x14ac:dyDescent="0.2">
      <c r="A1632"/>
      <c r="B1632"/>
      <c r="C1632"/>
      <c r="D1632"/>
      <c r="E1632"/>
      <c r="F1632"/>
      <c r="G1632"/>
      <c r="U1632"/>
      <c r="V1632"/>
      <c r="W1632"/>
      <c r="X1632"/>
      <c r="Y1632"/>
      <c r="Z1632"/>
      <c r="AA1632"/>
      <c r="AB1632"/>
      <c r="AL1632"/>
      <c r="AM1632"/>
      <c r="AN1632"/>
      <c r="AO1632"/>
    </row>
    <row r="1633" spans="1:41" s="2" customFormat="1" x14ac:dyDescent="0.2">
      <c r="A1633"/>
      <c r="B1633"/>
      <c r="C1633"/>
      <c r="D1633"/>
      <c r="E1633"/>
      <c r="F1633"/>
      <c r="G1633"/>
      <c r="U1633"/>
      <c r="V1633"/>
      <c r="W1633"/>
      <c r="X1633"/>
      <c r="Y1633"/>
      <c r="Z1633"/>
      <c r="AA1633"/>
      <c r="AB1633"/>
      <c r="AL1633"/>
      <c r="AM1633"/>
      <c r="AN1633"/>
      <c r="AO1633"/>
    </row>
    <row r="1634" spans="1:41" s="2" customFormat="1" x14ac:dyDescent="0.2">
      <c r="A1634"/>
      <c r="B1634"/>
      <c r="C1634"/>
      <c r="D1634"/>
      <c r="E1634"/>
      <c r="F1634"/>
      <c r="G1634"/>
      <c r="U1634"/>
      <c r="V1634"/>
      <c r="W1634"/>
      <c r="X1634"/>
      <c r="Y1634"/>
      <c r="Z1634"/>
      <c r="AA1634"/>
      <c r="AB1634"/>
      <c r="AL1634"/>
      <c r="AM1634"/>
      <c r="AN1634"/>
      <c r="AO1634"/>
    </row>
    <row r="1635" spans="1:41" s="2" customFormat="1" x14ac:dyDescent="0.2">
      <c r="A1635"/>
      <c r="B1635"/>
      <c r="C1635"/>
      <c r="D1635"/>
      <c r="E1635"/>
      <c r="F1635"/>
      <c r="G1635"/>
      <c r="U1635"/>
      <c r="V1635"/>
      <c r="W1635"/>
      <c r="X1635"/>
      <c r="Y1635"/>
      <c r="Z1635"/>
      <c r="AA1635"/>
      <c r="AB1635"/>
      <c r="AL1635"/>
      <c r="AM1635"/>
      <c r="AN1635"/>
      <c r="AO1635"/>
    </row>
    <row r="1636" spans="1:41" s="2" customFormat="1" x14ac:dyDescent="0.2">
      <c r="A1636"/>
      <c r="B1636"/>
      <c r="C1636"/>
      <c r="D1636"/>
      <c r="E1636"/>
      <c r="F1636"/>
      <c r="G1636"/>
      <c r="U1636"/>
      <c r="V1636"/>
      <c r="W1636"/>
      <c r="X1636"/>
      <c r="Y1636"/>
      <c r="Z1636"/>
      <c r="AA1636"/>
      <c r="AB1636"/>
      <c r="AL1636"/>
      <c r="AM1636"/>
      <c r="AN1636"/>
      <c r="AO1636"/>
    </row>
    <row r="1637" spans="1:41" s="2" customFormat="1" x14ac:dyDescent="0.2">
      <c r="A1637"/>
      <c r="B1637"/>
      <c r="C1637"/>
      <c r="D1637"/>
      <c r="E1637"/>
      <c r="F1637"/>
      <c r="G1637"/>
      <c r="U1637"/>
      <c r="V1637"/>
      <c r="W1637"/>
      <c r="X1637"/>
      <c r="Y1637"/>
      <c r="Z1637"/>
      <c r="AA1637"/>
      <c r="AB1637"/>
      <c r="AL1637"/>
      <c r="AM1637"/>
      <c r="AN1637"/>
      <c r="AO1637"/>
    </row>
    <row r="1638" spans="1:41" s="2" customFormat="1" x14ac:dyDescent="0.2">
      <c r="A1638"/>
      <c r="B1638"/>
      <c r="C1638"/>
      <c r="D1638"/>
      <c r="E1638"/>
      <c r="F1638"/>
      <c r="G1638"/>
      <c r="U1638"/>
      <c r="V1638"/>
      <c r="W1638"/>
      <c r="X1638"/>
      <c r="Y1638"/>
      <c r="Z1638"/>
      <c r="AA1638"/>
      <c r="AB1638"/>
      <c r="AL1638"/>
      <c r="AM1638"/>
      <c r="AN1638"/>
      <c r="AO1638"/>
    </row>
    <row r="1639" spans="1:41" s="2" customFormat="1" x14ac:dyDescent="0.2">
      <c r="A1639"/>
      <c r="B1639"/>
      <c r="C1639"/>
      <c r="D1639"/>
      <c r="E1639"/>
      <c r="F1639"/>
      <c r="G1639"/>
      <c r="U1639"/>
      <c r="V1639"/>
      <c r="W1639"/>
      <c r="X1639"/>
      <c r="Y1639"/>
      <c r="Z1639"/>
      <c r="AA1639"/>
      <c r="AB1639"/>
      <c r="AL1639"/>
      <c r="AM1639"/>
      <c r="AN1639"/>
      <c r="AO1639"/>
    </row>
    <row r="1640" spans="1:41" s="2" customFormat="1" x14ac:dyDescent="0.2">
      <c r="A1640"/>
      <c r="B1640"/>
      <c r="C1640"/>
      <c r="D1640"/>
      <c r="E1640"/>
      <c r="F1640"/>
      <c r="G1640"/>
      <c r="U1640"/>
      <c r="V1640"/>
      <c r="W1640"/>
      <c r="X1640"/>
      <c r="Y1640"/>
      <c r="Z1640"/>
      <c r="AA1640"/>
      <c r="AB1640"/>
      <c r="AL1640"/>
      <c r="AM1640"/>
      <c r="AN1640"/>
      <c r="AO1640"/>
    </row>
    <row r="1641" spans="1:41" s="2" customFormat="1" x14ac:dyDescent="0.2">
      <c r="A1641"/>
      <c r="B1641"/>
      <c r="C1641"/>
      <c r="D1641"/>
      <c r="E1641"/>
      <c r="F1641"/>
      <c r="G1641"/>
      <c r="U1641"/>
      <c r="V1641"/>
      <c r="W1641"/>
      <c r="X1641"/>
      <c r="Y1641"/>
      <c r="Z1641"/>
      <c r="AA1641"/>
      <c r="AB1641"/>
      <c r="AL1641"/>
      <c r="AM1641"/>
      <c r="AN1641"/>
      <c r="AO1641"/>
    </row>
    <row r="1642" spans="1:41" s="2" customFormat="1" x14ac:dyDescent="0.2">
      <c r="A1642"/>
      <c r="B1642"/>
      <c r="C1642"/>
      <c r="D1642"/>
      <c r="E1642"/>
      <c r="F1642"/>
      <c r="G1642"/>
      <c r="U1642"/>
      <c r="V1642"/>
      <c r="W1642"/>
      <c r="X1642"/>
      <c r="Y1642"/>
      <c r="Z1642"/>
      <c r="AA1642"/>
      <c r="AB1642"/>
      <c r="AL1642"/>
      <c r="AM1642"/>
      <c r="AN1642"/>
      <c r="AO1642"/>
    </row>
    <row r="1643" spans="1:41" s="2" customFormat="1" x14ac:dyDescent="0.2">
      <c r="A1643"/>
      <c r="B1643"/>
      <c r="C1643"/>
      <c r="D1643"/>
      <c r="E1643"/>
      <c r="F1643"/>
      <c r="G1643"/>
      <c r="U1643"/>
      <c r="V1643"/>
      <c r="W1643"/>
      <c r="X1643"/>
      <c r="Y1643"/>
      <c r="Z1643"/>
      <c r="AA1643"/>
      <c r="AB1643"/>
      <c r="AL1643"/>
      <c r="AM1643"/>
      <c r="AN1643"/>
      <c r="AO1643"/>
    </row>
    <row r="1644" spans="1:41" s="2" customFormat="1" x14ac:dyDescent="0.2">
      <c r="A1644"/>
      <c r="B1644"/>
      <c r="C1644"/>
      <c r="D1644"/>
      <c r="E1644"/>
      <c r="F1644"/>
      <c r="G1644"/>
      <c r="U1644"/>
      <c r="V1644"/>
      <c r="W1644"/>
      <c r="X1644"/>
      <c r="Y1644"/>
      <c r="Z1644"/>
      <c r="AA1644"/>
      <c r="AB1644"/>
      <c r="AL1644"/>
      <c r="AM1644"/>
      <c r="AN1644"/>
      <c r="AO1644"/>
    </row>
    <row r="1645" spans="1:41" s="2" customFormat="1" x14ac:dyDescent="0.2">
      <c r="A1645"/>
      <c r="B1645"/>
      <c r="C1645"/>
      <c r="D1645"/>
      <c r="E1645"/>
      <c r="F1645"/>
      <c r="G1645"/>
      <c r="U1645"/>
      <c r="V1645"/>
      <c r="W1645"/>
      <c r="X1645"/>
      <c r="Y1645"/>
      <c r="Z1645"/>
      <c r="AA1645"/>
      <c r="AB1645"/>
      <c r="AL1645"/>
      <c r="AM1645"/>
      <c r="AN1645"/>
      <c r="AO1645"/>
    </row>
    <row r="1646" spans="1:41" s="2" customFormat="1" x14ac:dyDescent="0.2">
      <c r="A1646"/>
      <c r="B1646"/>
      <c r="C1646"/>
      <c r="D1646"/>
      <c r="E1646"/>
      <c r="F1646"/>
      <c r="G1646"/>
      <c r="U1646"/>
      <c r="V1646"/>
      <c r="W1646"/>
      <c r="X1646"/>
      <c r="Y1646"/>
      <c r="Z1646"/>
      <c r="AA1646"/>
      <c r="AB1646"/>
      <c r="AL1646"/>
      <c r="AM1646"/>
      <c r="AN1646"/>
      <c r="AO1646"/>
    </row>
    <row r="1647" spans="1:41" s="2" customFormat="1" x14ac:dyDescent="0.2">
      <c r="A1647"/>
      <c r="B1647"/>
      <c r="C1647"/>
      <c r="D1647"/>
      <c r="E1647"/>
      <c r="F1647"/>
      <c r="G1647"/>
      <c r="U1647"/>
      <c r="V1647"/>
      <c r="W1647"/>
      <c r="X1647"/>
      <c r="Y1647"/>
      <c r="Z1647"/>
      <c r="AA1647"/>
      <c r="AB1647"/>
      <c r="AL1647"/>
      <c r="AM1647"/>
      <c r="AN1647"/>
      <c r="AO1647"/>
    </row>
    <row r="1648" spans="1:41" s="2" customFormat="1" x14ac:dyDescent="0.2">
      <c r="A1648"/>
      <c r="B1648"/>
      <c r="C1648"/>
      <c r="D1648"/>
      <c r="E1648"/>
      <c r="F1648"/>
      <c r="G1648"/>
      <c r="U1648"/>
      <c r="V1648"/>
      <c r="W1648"/>
      <c r="X1648"/>
      <c r="Y1648"/>
      <c r="Z1648"/>
      <c r="AA1648"/>
      <c r="AB1648"/>
      <c r="AL1648"/>
      <c r="AM1648"/>
      <c r="AN1648"/>
      <c r="AO1648"/>
    </row>
    <row r="1649" spans="1:41" s="2" customFormat="1" x14ac:dyDescent="0.2">
      <c r="A1649"/>
      <c r="B1649"/>
      <c r="C1649"/>
      <c r="D1649"/>
      <c r="E1649"/>
      <c r="F1649"/>
      <c r="G1649"/>
      <c r="U1649"/>
      <c r="V1649"/>
      <c r="W1649"/>
      <c r="X1649"/>
      <c r="Y1649"/>
      <c r="Z1649"/>
      <c r="AA1649"/>
      <c r="AB1649"/>
      <c r="AL1649"/>
      <c r="AM1649"/>
      <c r="AN1649"/>
      <c r="AO1649"/>
    </row>
    <row r="1650" spans="1:41" s="2" customFormat="1" x14ac:dyDescent="0.2">
      <c r="A1650"/>
      <c r="B1650"/>
      <c r="C1650"/>
      <c r="D1650"/>
      <c r="E1650"/>
      <c r="F1650"/>
      <c r="G1650"/>
      <c r="U1650"/>
      <c r="V1650"/>
      <c r="W1650"/>
      <c r="X1650"/>
      <c r="Y1650"/>
      <c r="Z1650"/>
      <c r="AA1650"/>
      <c r="AB1650"/>
      <c r="AL1650"/>
      <c r="AM1650"/>
      <c r="AN1650"/>
      <c r="AO1650"/>
    </row>
    <row r="1651" spans="1:41" s="2" customFormat="1" x14ac:dyDescent="0.2">
      <c r="A1651"/>
      <c r="B1651"/>
      <c r="C1651"/>
      <c r="D1651"/>
      <c r="E1651"/>
      <c r="F1651"/>
      <c r="G1651"/>
      <c r="U1651"/>
      <c r="V1651"/>
      <c r="W1651"/>
      <c r="X1651"/>
      <c r="Y1651"/>
      <c r="Z1651"/>
      <c r="AA1651"/>
      <c r="AB1651"/>
      <c r="AL1651"/>
      <c r="AM1651"/>
      <c r="AN1651"/>
      <c r="AO1651"/>
    </row>
    <row r="1652" spans="1:41" s="2" customFormat="1" x14ac:dyDescent="0.2">
      <c r="A1652"/>
      <c r="B1652"/>
      <c r="C1652"/>
      <c r="D1652"/>
      <c r="E1652"/>
      <c r="F1652"/>
      <c r="G1652"/>
      <c r="U1652"/>
      <c r="V1652"/>
      <c r="W1652"/>
      <c r="X1652"/>
      <c r="Y1652"/>
      <c r="Z1652"/>
      <c r="AA1652"/>
      <c r="AB1652"/>
      <c r="AL1652"/>
      <c r="AM1652"/>
      <c r="AN1652"/>
      <c r="AO1652"/>
    </row>
    <row r="1653" spans="1:41" s="2" customFormat="1" x14ac:dyDescent="0.2">
      <c r="A1653"/>
      <c r="B1653"/>
      <c r="C1653"/>
      <c r="D1653"/>
      <c r="E1653"/>
      <c r="F1653"/>
      <c r="G1653"/>
      <c r="U1653"/>
      <c r="V1653"/>
      <c r="W1653"/>
      <c r="X1653"/>
      <c r="Y1653"/>
      <c r="Z1653"/>
      <c r="AA1653"/>
      <c r="AB1653"/>
      <c r="AL1653"/>
      <c r="AM1653"/>
      <c r="AN1653"/>
      <c r="AO1653"/>
    </row>
    <row r="1654" spans="1:41" s="2" customFormat="1" x14ac:dyDescent="0.2">
      <c r="A1654"/>
      <c r="B1654"/>
      <c r="C1654"/>
      <c r="D1654"/>
      <c r="E1654"/>
      <c r="F1654"/>
      <c r="G1654"/>
      <c r="U1654"/>
      <c r="V1654"/>
      <c r="W1654"/>
      <c r="X1654"/>
      <c r="Y1654"/>
      <c r="Z1654"/>
      <c r="AA1654"/>
      <c r="AB1654"/>
      <c r="AL1654"/>
      <c r="AM1654"/>
      <c r="AN1654"/>
      <c r="AO1654"/>
    </row>
    <row r="1655" spans="1:41" s="2" customFormat="1" x14ac:dyDescent="0.2">
      <c r="A1655"/>
      <c r="B1655"/>
      <c r="C1655"/>
      <c r="D1655"/>
      <c r="E1655"/>
      <c r="F1655"/>
      <c r="G1655"/>
      <c r="U1655"/>
      <c r="V1655"/>
      <c r="W1655"/>
      <c r="X1655"/>
      <c r="Y1655"/>
      <c r="Z1655"/>
      <c r="AA1655"/>
      <c r="AB1655"/>
      <c r="AL1655"/>
      <c r="AM1655"/>
      <c r="AN1655"/>
      <c r="AO1655"/>
    </row>
    <row r="1656" spans="1:41" s="2" customFormat="1" x14ac:dyDescent="0.2">
      <c r="A1656"/>
      <c r="B1656"/>
      <c r="C1656"/>
      <c r="D1656"/>
      <c r="E1656"/>
      <c r="F1656"/>
      <c r="G1656"/>
      <c r="U1656"/>
      <c r="V1656"/>
      <c r="W1656"/>
      <c r="X1656"/>
      <c r="Y1656"/>
      <c r="Z1656"/>
      <c r="AA1656"/>
      <c r="AB1656"/>
      <c r="AL1656"/>
      <c r="AM1656"/>
      <c r="AN1656"/>
      <c r="AO1656"/>
    </row>
    <row r="1657" spans="1:41" s="2" customFormat="1" x14ac:dyDescent="0.2">
      <c r="A1657"/>
      <c r="B1657"/>
      <c r="C1657"/>
      <c r="D1657"/>
      <c r="E1657"/>
      <c r="F1657"/>
      <c r="G1657"/>
      <c r="U1657"/>
      <c r="V1657"/>
      <c r="W1657"/>
      <c r="X1657"/>
      <c r="Y1657"/>
      <c r="Z1657"/>
      <c r="AA1657"/>
      <c r="AB1657"/>
      <c r="AL1657"/>
      <c r="AM1657"/>
      <c r="AN1657"/>
      <c r="AO1657"/>
    </row>
    <row r="1658" spans="1:41" s="2" customFormat="1" x14ac:dyDescent="0.2">
      <c r="A1658"/>
      <c r="B1658"/>
      <c r="C1658"/>
      <c r="D1658"/>
      <c r="E1658"/>
      <c r="F1658"/>
      <c r="G1658"/>
      <c r="U1658"/>
      <c r="V1658"/>
      <c r="W1658"/>
      <c r="X1658"/>
      <c r="Y1658"/>
      <c r="Z1658"/>
      <c r="AA1658"/>
      <c r="AB1658"/>
      <c r="AL1658"/>
      <c r="AM1658"/>
      <c r="AN1658"/>
      <c r="AO1658"/>
    </row>
    <row r="1659" spans="1:41" s="2" customFormat="1" x14ac:dyDescent="0.2">
      <c r="A1659"/>
      <c r="B1659"/>
      <c r="C1659"/>
      <c r="D1659"/>
      <c r="E1659"/>
      <c r="F1659"/>
      <c r="G1659"/>
      <c r="U1659"/>
      <c r="V1659"/>
      <c r="W1659"/>
      <c r="X1659"/>
      <c r="Y1659"/>
      <c r="Z1659"/>
      <c r="AA1659"/>
      <c r="AB1659"/>
      <c r="AL1659"/>
      <c r="AM1659"/>
      <c r="AN1659"/>
      <c r="AO1659"/>
    </row>
    <row r="1660" spans="1:41" s="2" customFormat="1" x14ac:dyDescent="0.2">
      <c r="A1660"/>
      <c r="B1660"/>
      <c r="C1660"/>
      <c r="D1660"/>
      <c r="E1660"/>
      <c r="F1660"/>
      <c r="G1660"/>
      <c r="U1660"/>
      <c r="V1660"/>
      <c r="W1660"/>
      <c r="X1660"/>
      <c r="Y1660"/>
      <c r="Z1660"/>
      <c r="AA1660"/>
      <c r="AB1660"/>
      <c r="AL1660"/>
      <c r="AM1660"/>
      <c r="AN1660"/>
      <c r="AO1660"/>
    </row>
    <row r="1661" spans="1:41" s="2" customFormat="1" x14ac:dyDescent="0.2">
      <c r="A1661"/>
      <c r="B1661"/>
      <c r="C1661"/>
      <c r="D1661"/>
      <c r="E1661"/>
      <c r="F1661"/>
      <c r="G1661"/>
      <c r="U1661"/>
      <c r="V1661"/>
      <c r="W1661"/>
      <c r="X1661"/>
      <c r="Y1661"/>
      <c r="Z1661"/>
      <c r="AA1661"/>
      <c r="AB1661"/>
      <c r="AL1661"/>
      <c r="AM1661"/>
      <c r="AN1661"/>
      <c r="AO1661"/>
    </row>
    <row r="1662" spans="1:41" s="2" customFormat="1" x14ac:dyDescent="0.2">
      <c r="A1662"/>
      <c r="B1662"/>
      <c r="C1662"/>
      <c r="D1662"/>
      <c r="E1662"/>
      <c r="F1662"/>
      <c r="G1662"/>
      <c r="U1662"/>
      <c r="V1662"/>
      <c r="W1662"/>
      <c r="X1662"/>
      <c r="Y1662"/>
      <c r="Z1662"/>
      <c r="AA1662"/>
      <c r="AB1662"/>
      <c r="AL1662"/>
      <c r="AM1662"/>
      <c r="AN1662"/>
      <c r="AO1662"/>
    </row>
    <row r="1663" spans="1:41" s="2" customFormat="1" x14ac:dyDescent="0.2">
      <c r="A1663"/>
      <c r="B1663"/>
      <c r="C1663"/>
      <c r="D1663"/>
      <c r="E1663"/>
      <c r="F1663"/>
      <c r="G1663"/>
      <c r="U1663"/>
      <c r="V1663"/>
      <c r="W1663"/>
      <c r="X1663"/>
      <c r="Y1663"/>
      <c r="Z1663"/>
      <c r="AA1663"/>
      <c r="AB1663"/>
      <c r="AL1663"/>
      <c r="AM1663"/>
      <c r="AN1663"/>
      <c r="AO1663"/>
    </row>
    <row r="1664" spans="1:41" s="2" customFormat="1" x14ac:dyDescent="0.2">
      <c r="A1664"/>
      <c r="B1664"/>
      <c r="C1664"/>
      <c r="D1664"/>
      <c r="E1664"/>
      <c r="F1664"/>
      <c r="G1664"/>
      <c r="U1664"/>
      <c r="V1664"/>
      <c r="W1664"/>
      <c r="X1664"/>
      <c r="Y1664"/>
      <c r="Z1664"/>
      <c r="AA1664"/>
      <c r="AB1664"/>
      <c r="AL1664"/>
      <c r="AM1664"/>
      <c r="AN1664"/>
      <c r="AO1664"/>
    </row>
    <row r="1665" spans="1:41" s="2" customFormat="1" x14ac:dyDescent="0.2">
      <c r="A1665"/>
      <c r="B1665"/>
      <c r="C1665"/>
      <c r="D1665"/>
      <c r="E1665"/>
      <c r="F1665"/>
      <c r="G1665"/>
      <c r="U1665"/>
      <c r="V1665"/>
      <c r="W1665"/>
      <c r="X1665"/>
      <c r="Y1665"/>
      <c r="Z1665"/>
      <c r="AA1665"/>
      <c r="AB1665"/>
      <c r="AL1665"/>
      <c r="AM1665"/>
      <c r="AN1665"/>
      <c r="AO1665"/>
    </row>
    <row r="1666" spans="1:41" s="2" customFormat="1" x14ac:dyDescent="0.2">
      <c r="A1666"/>
      <c r="B1666"/>
      <c r="C1666"/>
      <c r="D1666"/>
      <c r="E1666"/>
      <c r="F1666"/>
      <c r="G1666"/>
      <c r="U1666"/>
      <c r="V1666"/>
      <c r="W1666"/>
      <c r="X1666"/>
      <c r="Y1666"/>
      <c r="Z1666"/>
      <c r="AA1666"/>
      <c r="AB1666"/>
      <c r="AL1666"/>
      <c r="AM1666"/>
      <c r="AN1666"/>
      <c r="AO1666"/>
    </row>
    <row r="1667" spans="1:41" s="2" customFormat="1" x14ac:dyDescent="0.2">
      <c r="A1667"/>
      <c r="B1667"/>
      <c r="C1667"/>
      <c r="D1667"/>
      <c r="E1667"/>
      <c r="F1667"/>
      <c r="G1667"/>
      <c r="U1667"/>
      <c r="V1667"/>
      <c r="W1667"/>
      <c r="X1667"/>
      <c r="Y1667"/>
      <c r="Z1667"/>
      <c r="AA1667"/>
      <c r="AB1667"/>
      <c r="AL1667"/>
      <c r="AM1667"/>
      <c r="AN1667"/>
      <c r="AO1667"/>
    </row>
    <row r="1668" spans="1:41" s="2" customFormat="1" x14ac:dyDescent="0.2">
      <c r="A1668"/>
      <c r="B1668"/>
      <c r="C1668"/>
      <c r="D1668"/>
      <c r="E1668"/>
      <c r="F1668"/>
      <c r="G1668"/>
      <c r="U1668"/>
      <c r="V1668"/>
      <c r="W1668"/>
      <c r="X1668"/>
      <c r="Y1668"/>
      <c r="Z1668"/>
      <c r="AA1668"/>
      <c r="AB1668"/>
      <c r="AL1668"/>
      <c r="AM1668"/>
      <c r="AN1668"/>
      <c r="AO1668"/>
    </row>
    <row r="1669" spans="1:41" s="2" customFormat="1" x14ac:dyDescent="0.2">
      <c r="A1669"/>
      <c r="B1669"/>
      <c r="C1669"/>
      <c r="D1669"/>
      <c r="E1669"/>
      <c r="F1669"/>
      <c r="G1669"/>
      <c r="U1669"/>
      <c r="V1669"/>
      <c r="W1669"/>
      <c r="X1669"/>
      <c r="Y1669"/>
      <c r="Z1669"/>
      <c r="AA1669"/>
      <c r="AB1669"/>
      <c r="AL1669"/>
      <c r="AM1669"/>
      <c r="AN1669"/>
      <c r="AO1669"/>
    </row>
    <row r="1670" spans="1:41" s="2" customFormat="1" x14ac:dyDescent="0.2">
      <c r="A1670"/>
      <c r="B1670"/>
      <c r="C1670"/>
      <c r="D1670"/>
      <c r="E1670"/>
      <c r="F1670"/>
      <c r="G1670"/>
      <c r="U1670"/>
      <c r="V1670"/>
      <c r="W1670"/>
      <c r="X1670"/>
      <c r="Y1670"/>
      <c r="Z1670"/>
      <c r="AA1670"/>
      <c r="AB1670"/>
      <c r="AL1670"/>
      <c r="AM1670"/>
      <c r="AN1670"/>
      <c r="AO1670"/>
    </row>
    <row r="1671" spans="1:41" s="2" customFormat="1" x14ac:dyDescent="0.2">
      <c r="A1671"/>
      <c r="B1671"/>
      <c r="C1671"/>
      <c r="D1671"/>
      <c r="E1671"/>
      <c r="F1671"/>
      <c r="G1671"/>
      <c r="U1671"/>
      <c r="V1671"/>
      <c r="W1671"/>
      <c r="X1671"/>
      <c r="Y1671"/>
      <c r="Z1671"/>
      <c r="AA1671"/>
      <c r="AB1671"/>
      <c r="AL1671"/>
      <c r="AM1671"/>
      <c r="AN1671"/>
      <c r="AO1671"/>
    </row>
    <row r="1672" spans="1:41" s="2" customFormat="1" x14ac:dyDescent="0.2">
      <c r="A1672"/>
      <c r="B1672"/>
      <c r="C1672"/>
      <c r="D1672"/>
      <c r="E1672"/>
      <c r="F1672"/>
      <c r="G1672"/>
      <c r="U1672"/>
      <c r="V1672"/>
      <c r="W1672"/>
      <c r="X1672"/>
      <c r="Y1672"/>
      <c r="Z1672"/>
      <c r="AA1672"/>
      <c r="AB1672"/>
      <c r="AL1672"/>
      <c r="AM1672"/>
      <c r="AN1672"/>
      <c r="AO1672"/>
    </row>
    <row r="1673" spans="1:41" s="2" customFormat="1" x14ac:dyDescent="0.2">
      <c r="A1673"/>
      <c r="B1673"/>
      <c r="C1673"/>
      <c r="D1673"/>
      <c r="E1673"/>
      <c r="F1673"/>
      <c r="G1673"/>
      <c r="U1673"/>
      <c r="V1673"/>
      <c r="W1673"/>
      <c r="X1673"/>
      <c r="Y1673"/>
      <c r="Z1673"/>
      <c r="AA1673"/>
      <c r="AB1673"/>
      <c r="AL1673"/>
      <c r="AM1673"/>
      <c r="AN1673"/>
      <c r="AO1673"/>
    </row>
    <row r="1674" spans="1:41" s="2" customFormat="1" x14ac:dyDescent="0.2">
      <c r="A1674"/>
      <c r="B1674"/>
      <c r="C1674"/>
      <c r="D1674"/>
      <c r="E1674"/>
      <c r="F1674"/>
      <c r="G1674"/>
      <c r="U1674"/>
      <c r="V1674"/>
      <c r="W1674"/>
      <c r="X1674"/>
      <c r="Y1674"/>
      <c r="Z1674"/>
      <c r="AA1674"/>
      <c r="AB1674"/>
      <c r="AL1674"/>
      <c r="AM1674"/>
      <c r="AN1674"/>
      <c r="AO1674"/>
    </row>
    <row r="1675" spans="1:41" s="2" customFormat="1" x14ac:dyDescent="0.2">
      <c r="A1675"/>
      <c r="B1675"/>
      <c r="C1675"/>
      <c r="D1675"/>
      <c r="E1675"/>
      <c r="F1675"/>
      <c r="G1675"/>
      <c r="U1675"/>
      <c r="V1675"/>
      <c r="W1675"/>
      <c r="X1675"/>
      <c r="Y1675"/>
      <c r="Z1675"/>
      <c r="AA1675"/>
      <c r="AB1675"/>
      <c r="AL1675"/>
      <c r="AM1675"/>
      <c r="AN1675"/>
      <c r="AO1675"/>
    </row>
    <row r="1676" spans="1:41" s="2" customFormat="1" x14ac:dyDescent="0.2">
      <c r="A1676"/>
      <c r="B1676"/>
      <c r="C1676"/>
      <c r="D1676"/>
      <c r="E1676"/>
      <c r="F1676"/>
      <c r="G1676"/>
      <c r="U1676"/>
      <c r="V1676"/>
      <c r="W1676"/>
      <c r="X1676"/>
      <c r="Y1676"/>
      <c r="Z1676"/>
      <c r="AA1676"/>
      <c r="AB1676"/>
      <c r="AL1676"/>
      <c r="AM1676"/>
      <c r="AN1676"/>
      <c r="AO1676"/>
    </row>
    <row r="1677" spans="1:41" s="2" customFormat="1" x14ac:dyDescent="0.2">
      <c r="A1677"/>
      <c r="B1677"/>
      <c r="C1677"/>
      <c r="D1677"/>
      <c r="E1677"/>
      <c r="F1677"/>
      <c r="G1677"/>
      <c r="U1677"/>
      <c r="V1677"/>
      <c r="W1677"/>
      <c r="X1677"/>
      <c r="Y1677"/>
      <c r="Z1677"/>
      <c r="AA1677"/>
      <c r="AB1677"/>
      <c r="AL1677"/>
      <c r="AM1677"/>
      <c r="AN1677"/>
      <c r="AO1677"/>
    </row>
    <row r="1678" spans="1:41" s="2" customFormat="1" x14ac:dyDescent="0.2">
      <c r="A1678"/>
      <c r="B1678"/>
      <c r="C1678"/>
      <c r="D1678"/>
      <c r="E1678"/>
      <c r="F1678"/>
      <c r="G1678"/>
      <c r="U1678"/>
      <c r="V1678"/>
      <c r="W1678"/>
      <c r="X1678"/>
      <c r="Y1678"/>
      <c r="Z1678"/>
      <c r="AA1678"/>
      <c r="AB1678"/>
      <c r="AL1678"/>
      <c r="AM1678"/>
      <c r="AN1678"/>
      <c r="AO1678"/>
    </row>
    <row r="1679" spans="1:41" s="2" customFormat="1" x14ac:dyDescent="0.2">
      <c r="A1679"/>
      <c r="B1679"/>
      <c r="C1679"/>
      <c r="D1679"/>
      <c r="E1679"/>
      <c r="F1679"/>
      <c r="G1679"/>
      <c r="U1679"/>
      <c r="V1679"/>
      <c r="W1679"/>
      <c r="X1679"/>
      <c r="Y1679"/>
      <c r="Z1679"/>
      <c r="AA1679"/>
      <c r="AB1679"/>
      <c r="AL1679"/>
      <c r="AM1679"/>
      <c r="AN1679"/>
      <c r="AO1679"/>
    </row>
    <row r="1680" spans="1:41" s="2" customFormat="1" x14ac:dyDescent="0.2">
      <c r="A1680"/>
      <c r="B1680"/>
      <c r="C1680"/>
      <c r="D1680"/>
      <c r="E1680"/>
      <c r="F1680"/>
      <c r="G1680"/>
      <c r="U1680"/>
      <c r="V1680"/>
      <c r="W1680"/>
      <c r="X1680"/>
      <c r="Y1680"/>
      <c r="Z1680"/>
      <c r="AA1680"/>
      <c r="AB1680"/>
      <c r="AL1680"/>
      <c r="AM1680"/>
      <c r="AN1680"/>
      <c r="AO1680"/>
    </row>
    <row r="1681" spans="1:41" s="2" customFormat="1" x14ac:dyDescent="0.2">
      <c r="A1681"/>
      <c r="B1681"/>
      <c r="C1681"/>
      <c r="D1681"/>
      <c r="E1681"/>
      <c r="F1681"/>
      <c r="G1681"/>
      <c r="U1681"/>
      <c r="V1681"/>
      <c r="W1681"/>
      <c r="X1681"/>
      <c r="Y1681"/>
      <c r="Z1681"/>
      <c r="AA1681"/>
      <c r="AB1681"/>
      <c r="AL1681"/>
      <c r="AM1681"/>
      <c r="AN1681"/>
      <c r="AO1681"/>
    </row>
    <row r="1682" spans="1:41" s="2" customFormat="1" x14ac:dyDescent="0.2">
      <c r="A1682"/>
      <c r="B1682"/>
      <c r="C1682"/>
      <c r="D1682"/>
      <c r="E1682"/>
      <c r="F1682"/>
      <c r="G1682"/>
      <c r="U1682"/>
      <c r="V1682"/>
      <c r="W1682"/>
      <c r="X1682"/>
      <c r="Y1682"/>
      <c r="Z1682"/>
      <c r="AA1682"/>
      <c r="AB1682"/>
      <c r="AL1682"/>
      <c r="AM1682"/>
      <c r="AN1682"/>
      <c r="AO1682"/>
    </row>
    <row r="1683" spans="1:41" s="2" customFormat="1" x14ac:dyDescent="0.2">
      <c r="A1683"/>
      <c r="B1683"/>
      <c r="C1683"/>
      <c r="D1683"/>
      <c r="E1683"/>
      <c r="F1683"/>
      <c r="G1683"/>
      <c r="U1683"/>
      <c r="V1683"/>
      <c r="W1683"/>
      <c r="X1683"/>
      <c r="Y1683"/>
      <c r="Z1683"/>
      <c r="AA1683"/>
      <c r="AB1683"/>
      <c r="AL1683"/>
      <c r="AM1683"/>
      <c r="AN1683"/>
      <c r="AO1683"/>
    </row>
    <row r="1684" spans="1:41" s="2" customFormat="1" x14ac:dyDescent="0.2">
      <c r="A1684"/>
      <c r="B1684"/>
      <c r="C1684"/>
      <c r="D1684"/>
      <c r="E1684"/>
      <c r="F1684"/>
      <c r="G1684"/>
      <c r="U1684"/>
      <c r="V1684"/>
      <c r="W1684"/>
      <c r="X1684"/>
      <c r="Y1684"/>
      <c r="Z1684"/>
      <c r="AA1684"/>
      <c r="AB1684"/>
      <c r="AL1684"/>
      <c r="AM1684"/>
      <c r="AN1684"/>
      <c r="AO1684"/>
    </row>
    <row r="1685" spans="1:41" s="2" customFormat="1" x14ac:dyDescent="0.2">
      <c r="A1685"/>
      <c r="B1685"/>
      <c r="C1685"/>
      <c r="D1685"/>
      <c r="E1685"/>
      <c r="F1685"/>
      <c r="G1685"/>
      <c r="U1685"/>
      <c r="V1685"/>
      <c r="W1685"/>
      <c r="X1685"/>
      <c r="Y1685"/>
      <c r="Z1685"/>
      <c r="AA1685"/>
      <c r="AB1685"/>
      <c r="AL1685"/>
      <c r="AM1685"/>
      <c r="AN1685"/>
      <c r="AO1685"/>
    </row>
    <row r="1686" spans="1:41" s="2" customFormat="1" x14ac:dyDescent="0.2">
      <c r="A1686"/>
      <c r="B1686"/>
      <c r="C1686"/>
      <c r="D1686"/>
      <c r="E1686"/>
      <c r="F1686"/>
      <c r="G1686"/>
      <c r="U1686"/>
      <c r="V1686"/>
      <c r="W1686"/>
      <c r="X1686"/>
      <c r="Y1686"/>
      <c r="Z1686"/>
      <c r="AA1686"/>
      <c r="AB1686"/>
      <c r="AL1686"/>
      <c r="AM1686"/>
      <c r="AN1686"/>
      <c r="AO1686"/>
    </row>
    <row r="1687" spans="1:41" s="2" customFormat="1" x14ac:dyDescent="0.2">
      <c r="A1687"/>
      <c r="B1687"/>
      <c r="C1687"/>
      <c r="D1687"/>
      <c r="E1687"/>
      <c r="F1687"/>
      <c r="G1687"/>
      <c r="U1687"/>
      <c r="V1687"/>
      <c r="W1687"/>
      <c r="X1687"/>
      <c r="Y1687"/>
      <c r="Z1687"/>
      <c r="AA1687"/>
      <c r="AB1687"/>
      <c r="AL1687"/>
      <c r="AM1687"/>
      <c r="AN1687"/>
      <c r="AO1687"/>
    </row>
    <row r="1688" spans="1:41" s="2" customFormat="1" x14ac:dyDescent="0.2">
      <c r="A1688"/>
      <c r="B1688"/>
      <c r="C1688"/>
      <c r="D1688"/>
      <c r="E1688"/>
      <c r="F1688"/>
      <c r="G1688"/>
      <c r="U1688"/>
      <c r="V1688"/>
      <c r="W1688"/>
      <c r="X1688"/>
      <c r="Y1688"/>
      <c r="Z1688"/>
      <c r="AA1688"/>
      <c r="AB1688"/>
      <c r="AL1688"/>
      <c r="AM1688"/>
      <c r="AN1688"/>
      <c r="AO1688"/>
    </row>
    <row r="1689" spans="1:41" s="2" customFormat="1" x14ac:dyDescent="0.2">
      <c r="A1689"/>
      <c r="B1689"/>
      <c r="C1689"/>
      <c r="D1689"/>
      <c r="E1689"/>
      <c r="F1689"/>
      <c r="G1689"/>
      <c r="U1689"/>
      <c r="V1689"/>
      <c r="W1689"/>
      <c r="X1689"/>
      <c r="Y1689"/>
      <c r="Z1689"/>
      <c r="AA1689"/>
      <c r="AB1689"/>
      <c r="AL1689"/>
      <c r="AM1689"/>
      <c r="AN1689"/>
      <c r="AO1689"/>
    </row>
    <row r="1690" spans="1:41" s="2" customFormat="1" x14ac:dyDescent="0.2">
      <c r="A1690"/>
      <c r="B1690"/>
      <c r="C1690"/>
      <c r="D1690"/>
      <c r="E1690"/>
      <c r="F1690"/>
      <c r="G1690"/>
      <c r="U1690"/>
      <c r="V1690"/>
      <c r="W1690"/>
      <c r="X1690"/>
      <c r="Y1690"/>
      <c r="Z1690"/>
      <c r="AA1690"/>
      <c r="AB1690"/>
      <c r="AL1690"/>
      <c r="AM1690"/>
      <c r="AN1690"/>
      <c r="AO1690"/>
    </row>
    <row r="1691" spans="1:41" s="2" customFormat="1" x14ac:dyDescent="0.2">
      <c r="A1691"/>
      <c r="B1691"/>
      <c r="C1691"/>
      <c r="D1691"/>
      <c r="E1691"/>
      <c r="F1691"/>
      <c r="G1691"/>
      <c r="U1691"/>
      <c r="V1691"/>
      <c r="W1691"/>
      <c r="X1691"/>
      <c r="Y1691"/>
      <c r="Z1691"/>
      <c r="AA1691"/>
      <c r="AB1691"/>
      <c r="AL1691"/>
      <c r="AM1691"/>
      <c r="AN1691"/>
      <c r="AO1691"/>
    </row>
    <row r="1692" spans="1:41" s="2" customFormat="1" x14ac:dyDescent="0.2">
      <c r="A1692"/>
      <c r="B1692"/>
      <c r="C1692"/>
      <c r="D1692"/>
      <c r="E1692"/>
      <c r="F1692"/>
      <c r="G1692"/>
      <c r="U1692"/>
      <c r="V1692"/>
      <c r="W1692"/>
      <c r="X1692"/>
      <c r="Y1692"/>
      <c r="Z1692"/>
      <c r="AA1692"/>
      <c r="AB1692"/>
      <c r="AL1692"/>
      <c r="AM1692"/>
      <c r="AN1692"/>
      <c r="AO1692"/>
    </row>
    <row r="1693" spans="1:41" s="2" customFormat="1" x14ac:dyDescent="0.2">
      <c r="A1693"/>
      <c r="B1693"/>
      <c r="C1693"/>
      <c r="D1693"/>
      <c r="E1693"/>
      <c r="F1693"/>
      <c r="G1693"/>
      <c r="U1693"/>
      <c r="V1693"/>
      <c r="W1693"/>
      <c r="X1693"/>
      <c r="Y1693"/>
      <c r="Z1693"/>
      <c r="AA1693"/>
      <c r="AB1693"/>
      <c r="AL1693"/>
      <c r="AM1693"/>
      <c r="AN1693"/>
      <c r="AO1693"/>
    </row>
    <row r="1694" spans="1:41" s="2" customFormat="1" x14ac:dyDescent="0.2">
      <c r="A1694"/>
      <c r="B1694"/>
      <c r="C1694"/>
      <c r="D1694"/>
      <c r="E1694"/>
      <c r="F1694"/>
      <c r="G1694"/>
      <c r="U1694"/>
      <c r="V1694"/>
      <c r="W1694"/>
      <c r="X1694"/>
      <c r="Y1694"/>
      <c r="Z1694"/>
      <c r="AA1694"/>
      <c r="AB1694"/>
      <c r="AL1694"/>
      <c r="AM1694"/>
      <c r="AN1694"/>
      <c r="AO1694"/>
    </row>
    <row r="1695" spans="1:41" s="2" customFormat="1" x14ac:dyDescent="0.2">
      <c r="A1695"/>
      <c r="B1695"/>
      <c r="C1695"/>
      <c r="D1695"/>
      <c r="E1695"/>
      <c r="F1695"/>
      <c r="G1695"/>
      <c r="U1695"/>
      <c r="V1695"/>
      <c r="W1695"/>
      <c r="X1695"/>
      <c r="Y1695"/>
      <c r="Z1695"/>
      <c r="AA1695"/>
      <c r="AB1695"/>
      <c r="AL1695"/>
      <c r="AM1695"/>
      <c r="AN1695"/>
      <c r="AO1695"/>
    </row>
    <row r="1696" spans="1:41" s="2" customFormat="1" x14ac:dyDescent="0.2">
      <c r="A1696"/>
      <c r="B1696"/>
      <c r="C1696"/>
      <c r="D1696"/>
      <c r="E1696"/>
      <c r="F1696"/>
      <c r="G1696"/>
      <c r="U1696"/>
      <c r="V1696"/>
      <c r="W1696"/>
      <c r="X1696"/>
      <c r="Y1696"/>
      <c r="Z1696"/>
      <c r="AA1696"/>
      <c r="AB1696"/>
      <c r="AL1696"/>
      <c r="AM1696"/>
      <c r="AN1696"/>
      <c r="AO1696"/>
    </row>
    <row r="1697" spans="1:41" s="2" customFormat="1" x14ac:dyDescent="0.2">
      <c r="A1697"/>
      <c r="B1697"/>
      <c r="C1697"/>
      <c r="D1697"/>
      <c r="E1697"/>
      <c r="F1697"/>
      <c r="G1697"/>
      <c r="U1697"/>
      <c r="V1697"/>
      <c r="W1697"/>
      <c r="X1697"/>
      <c r="Y1697"/>
      <c r="Z1697"/>
      <c r="AA1697"/>
      <c r="AB1697"/>
      <c r="AL1697"/>
      <c r="AM1697"/>
      <c r="AN1697"/>
      <c r="AO1697"/>
    </row>
    <row r="1698" spans="1:41" s="2" customFormat="1" x14ac:dyDescent="0.2">
      <c r="A1698"/>
      <c r="B1698"/>
      <c r="C1698"/>
      <c r="D1698"/>
      <c r="E1698"/>
      <c r="F1698"/>
      <c r="G1698"/>
      <c r="U1698"/>
      <c r="V1698"/>
      <c r="W1698"/>
      <c r="X1698"/>
      <c r="Y1698"/>
      <c r="Z1698"/>
      <c r="AA1698"/>
      <c r="AB1698"/>
      <c r="AL1698"/>
      <c r="AM1698"/>
      <c r="AN1698"/>
      <c r="AO1698"/>
    </row>
    <row r="1699" spans="1:41" s="2" customFormat="1" x14ac:dyDescent="0.2">
      <c r="A1699"/>
      <c r="B1699"/>
      <c r="C1699"/>
      <c r="D1699"/>
      <c r="E1699"/>
      <c r="F1699"/>
      <c r="G1699"/>
      <c r="U1699"/>
      <c r="V1699"/>
      <c r="W1699"/>
      <c r="X1699"/>
      <c r="Y1699"/>
      <c r="Z1699"/>
      <c r="AA1699"/>
      <c r="AB1699"/>
      <c r="AL1699"/>
      <c r="AM1699"/>
      <c r="AN1699"/>
      <c r="AO1699"/>
    </row>
    <row r="1700" spans="1:41" s="2" customFormat="1" x14ac:dyDescent="0.2">
      <c r="A1700"/>
      <c r="B1700"/>
      <c r="C1700"/>
      <c r="D1700"/>
      <c r="E1700"/>
      <c r="F1700"/>
      <c r="G1700"/>
      <c r="U1700"/>
      <c r="V1700"/>
      <c r="W1700"/>
      <c r="X1700"/>
      <c r="Y1700"/>
      <c r="Z1700"/>
      <c r="AA1700"/>
      <c r="AB1700"/>
      <c r="AL1700"/>
      <c r="AM1700"/>
      <c r="AN1700"/>
      <c r="AO1700"/>
    </row>
    <row r="1701" spans="1:41" s="2" customFormat="1" x14ac:dyDescent="0.2">
      <c r="A1701"/>
      <c r="B1701"/>
      <c r="C1701"/>
      <c r="D1701"/>
      <c r="E1701"/>
      <c r="F1701"/>
      <c r="G1701"/>
      <c r="U1701"/>
      <c r="V1701"/>
      <c r="W1701"/>
      <c r="X1701"/>
      <c r="Y1701"/>
      <c r="Z1701"/>
      <c r="AA1701"/>
      <c r="AB1701"/>
      <c r="AL1701"/>
      <c r="AM1701"/>
      <c r="AN1701"/>
      <c r="AO1701"/>
    </row>
    <row r="1702" spans="1:41" s="2" customFormat="1" x14ac:dyDescent="0.2">
      <c r="A1702"/>
      <c r="B1702"/>
      <c r="C1702"/>
      <c r="D1702"/>
      <c r="E1702"/>
      <c r="F1702"/>
      <c r="G1702"/>
      <c r="U1702"/>
      <c r="V1702"/>
      <c r="W1702"/>
      <c r="X1702"/>
      <c r="Y1702"/>
      <c r="Z1702"/>
      <c r="AA1702"/>
      <c r="AB1702"/>
      <c r="AL1702"/>
      <c r="AM1702"/>
      <c r="AN1702"/>
      <c r="AO1702"/>
    </row>
    <row r="1703" spans="1:41" s="2" customFormat="1" x14ac:dyDescent="0.2">
      <c r="A1703"/>
      <c r="B1703"/>
      <c r="C1703"/>
      <c r="D1703"/>
      <c r="E1703"/>
      <c r="F1703"/>
      <c r="G1703"/>
      <c r="U1703"/>
      <c r="V1703"/>
      <c r="W1703"/>
      <c r="X1703"/>
      <c r="Y1703"/>
      <c r="Z1703"/>
      <c r="AA1703"/>
      <c r="AB1703"/>
      <c r="AL1703"/>
      <c r="AM1703"/>
      <c r="AN1703"/>
      <c r="AO1703"/>
    </row>
    <row r="1704" spans="1:41" s="2" customFormat="1" x14ac:dyDescent="0.2">
      <c r="A1704"/>
      <c r="B1704"/>
      <c r="C1704"/>
      <c r="D1704"/>
      <c r="E1704"/>
      <c r="F1704"/>
      <c r="G1704"/>
      <c r="U1704"/>
      <c r="V1704"/>
      <c r="W1704"/>
      <c r="X1704"/>
      <c r="Y1704"/>
      <c r="Z1704"/>
      <c r="AA1704"/>
      <c r="AB1704"/>
      <c r="AL1704"/>
      <c r="AM1704"/>
      <c r="AN1704"/>
      <c r="AO1704"/>
    </row>
    <row r="1705" spans="1:41" s="2" customFormat="1" x14ac:dyDescent="0.2">
      <c r="A1705"/>
      <c r="B1705"/>
      <c r="C1705"/>
      <c r="D1705"/>
      <c r="E1705"/>
      <c r="F1705"/>
      <c r="G1705"/>
      <c r="U1705"/>
      <c r="V1705"/>
      <c r="W1705"/>
      <c r="X1705"/>
      <c r="Y1705"/>
      <c r="Z1705"/>
      <c r="AA1705"/>
      <c r="AB1705"/>
      <c r="AL1705"/>
      <c r="AM1705"/>
      <c r="AN1705"/>
      <c r="AO1705"/>
    </row>
    <row r="1706" spans="1:41" s="2" customFormat="1" x14ac:dyDescent="0.2">
      <c r="A1706"/>
      <c r="B1706"/>
      <c r="C1706"/>
      <c r="D1706"/>
      <c r="E1706"/>
      <c r="F1706"/>
      <c r="G1706"/>
      <c r="U1706"/>
      <c r="V1706"/>
      <c r="W1706"/>
      <c r="X1706"/>
      <c r="Y1706"/>
      <c r="Z1706"/>
      <c r="AA1706"/>
      <c r="AB1706"/>
      <c r="AL1706"/>
      <c r="AM1706"/>
      <c r="AN1706"/>
      <c r="AO1706"/>
    </row>
    <row r="1707" spans="1:41" s="2" customFormat="1" x14ac:dyDescent="0.2">
      <c r="A1707"/>
      <c r="B1707"/>
      <c r="C1707"/>
      <c r="D1707"/>
      <c r="E1707"/>
      <c r="F1707"/>
      <c r="G1707"/>
      <c r="U1707"/>
      <c r="V1707"/>
      <c r="W1707"/>
      <c r="X1707"/>
      <c r="Y1707"/>
      <c r="Z1707"/>
      <c r="AA1707"/>
      <c r="AB1707"/>
      <c r="AL1707"/>
      <c r="AM1707"/>
      <c r="AN1707"/>
      <c r="AO1707"/>
    </row>
    <row r="1708" spans="1:41" s="2" customFormat="1" x14ac:dyDescent="0.2">
      <c r="A1708"/>
      <c r="B1708"/>
      <c r="C1708"/>
      <c r="D1708"/>
      <c r="E1708"/>
      <c r="F1708"/>
      <c r="G1708"/>
      <c r="U1708"/>
      <c r="V1708"/>
      <c r="W1708"/>
      <c r="X1708"/>
      <c r="Y1708"/>
      <c r="Z1708"/>
      <c r="AA1708"/>
      <c r="AB1708"/>
      <c r="AL1708"/>
      <c r="AM1708"/>
      <c r="AN1708"/>
      <c r="AO1708"/>
    </row>
    <row r="1709" spans="1:41" s="2" customFormat="1" x14ac:dyDescent="0.2">
      <c r="A1709"/>
      <c r="B1709"/>
      <c r="C1709"/>
      <c r="D1709"/>
      <c r="E1709"/>
      <c r="F1709"/>
      <c r="G1709"/>
      <c r="U1709"/>
      <c r="V1709"/>
      <c r="W1709"/>
      <c r="X1709"/>
      <c r="Y1709"/>
      <c r="Z1709"/>
      <c r="AA1709"/>
      <c r="AB1709"/>
      <c r="AL1709"/>
      <c r="AM1709"/>
      <c r="AN1709"/>
      <c r="AO1709"/>
    </row>
    <row r="1710" spans="1:41" s="2" customFormat="1" x14ac:dyDescent="0.2">
      <c r="A1710"/>
      <c r="B1710"/>
      <c r="C1710"/>
      <c r="D1710"/>
      <c r="E1710"/>
      <c r="F1710"/>
      <c r="G1710"/>
      <c r="U1710"/>
      <c r="V1710"/>
      <c r="W1710"/>
      <c r="X1710"/>
      <c r="Y1710"/>
      <c r="Z1710"/>
      <c r="AA1710"/>
      <c r="AB1710"/>
      <c r="AL1710"/>
      <c r="AM1710"/>
      <c r="AN1710"/>
      <c r="AO1710"/>
    </row>
    <row r="1711" spans="1:41" s="2" customFormat="1" x14ac:dyDescent="0.2">
      <c r="A1711"/>
      <c r="B1711"/>
      <c r="C1711"/>
      <c r="D1711"/>
      <c r="E1711"/>
      <c r="F1711"/>
      <c r="G1711"/>
      <c r="U1711"/>
      <c r="V1711"/>
      <c r="W1711"/>
      <c r="X1711"/>
      <c r="Y1711"/>
      <c r="Z1711"/>
      <c r="AA1711"/>
      <c r="AB1711"/>
      <c r="AL1711"/>
      <c r="AM1711"/>
      <c r="AN1711"/>
      <c r="AO1711"/>
    </row>
    <row r="1712" spans="1:41" s="2" customFormat="1" x14ac:dyDescent="0.2">
      <c r="A1712"/>
      <c r="B1712"/>
      <c r="C1712"/>
      <c r="D1712"/>
      <c r="E1712"/>
      <c r="F1712"/>
      <c r="G1712"/>
      <c r="U1712"/>
      <c r="V1712"/>
      <c r="W1712"/>
      <c r="X1712"/>
      <c r="Y1712"/>
      <c r="Z1712"/>
      <c r="AA1712"/>
      <c r="AB1712"/>
      <c r="AL1712"/>
      <c r="AM1712"/>
      <c r="AN1712"/>
      <c r="AO1712"/>
    </row>
    <row r="1713" spans="1:41" s="2" customFormat="1" x14ac:dyDescent="0.2">
      <c r="A1713"/>
      <c r="B1713"/>
      <c r="C1713"/>
      <c r="D1713"/>
      <c r="E1713"/>
      <c r="F1713"/>
      <c r="G1713"/>
      <c r="U1713"/>
      <c r="V1713"/>
      <c r="W1713"/>
      <c r="X1713"/>
      <c r="Y1713"/>
      <c r="Z1713"/>
      <c r="AA1713"/>
      <c r="AB1713"/>
      <c r="AL1713"/>
      <c r="AM1713"/>
      <c r="AN1713"/>
      <c r="AO1713"/>
    </row>
    <row r="1714" spans="1:41" s="2" customFormat="1" x14ac:dyDescent="0.2">
      <c r="A1714"/>
      <c r="B1714"/>
      <c r="C1714"/>
      <c r="D1714"/>
      <c r="E1714"/>
      <c r="F1714"/>
      <c r="G1714"/>
      <c r="U1714"/>
      <c r="V1714"/>
      <c r="W1714"/>
      <c r="X1714"/>
      <c r="Y1714"/>
      <c r="Z1714"/>
      <c r="AA1714"/>
      <c r="AB1714"/>
      <c r="AL1714"/>
      <c r="AM1714"/>
      <c r="AN1714"/>
      <c r="AO1714"/>
    </row>
    <row r="1715" spans="1:41" s="2" customFormat="1" x14ac:dyDescent="0.2">
      <c r="A1715"/>
      <c r="B1715"/>
      <c r="C1715"/>
      <c r="D1715"/>
      <c r="E1715"/>
      <c r="F1715"/>
      <c r="G1715"/>
      <c r="U1715"/>
      <c r="V1715"/>
      <c r="W1715"/>
      <c r="X1715"/>
      <c r="Y1715"/>
      <c r="Z1715"/>
      <c r="AA1715"/>
      <c r="AB1715"/>
      <c r="AL1715"/>
      <c r="AM1715"/>
      <c r="AN1715"/>
      <c r="AO1715"/>
    </row>
    <row r="1716" spans="1:41" s="2" customFormat="1" x14ac:dyDescent="0.2">
      <c r="A1716"/>
      <c r="B1716"/>
      <c r="C1716"/>
      <c r="D1716"/>
      <c r="E1716"/>
      <c r="F1716"/>
      <c r="G1716"/>
      <c r="U1716"/>
      <c r="V1716"/>
      <c r="W1716"/>
      <c r="X1716"/>
      <c r="Y1716"/>
      <c r="Z1716"/>
      <c r="AA1716"/>
      <c r="AB1716"/>
      <c r="AL1716"/>
      <c r="AM1716"/>
      <c r="AN1716"/>
      <c r="AO1716"/>
    </row>
    <row r="1717" spans="1:41" s="2" customFormat="1" x14ac:dyDescent="0.2">
      <c r="A1717"/>
      <c r="B1717"/>
      <c r="C1717"/>
      <c r="D1717"/>
      <c r="E1717"/>
      <c r="F1717"/>
      <c r="G1717"/>
      <c r="U1717"/>
      <c r="V1717"/>
      <c r="W1717"/>
      <c r="X1717"/>
      <c r="Y1717"/>
      <c r="Z1717"/>
      <c r="AA1717"/>
      <c r="AB1717"/>
      <c r="AL1717"/>
      <c r="AM1717"/>
      <c r="AN1717"/>
      <c r="AO1717"/>
    </row>
    <row r="1718" spans="1:41" s="2" customFormat="1" x14ac:dyDescent="0.2">
      <c r="A1718"/>
      <c r="B1718"/>
      <c r="C1718"/>
      <c r="D1718"/>
      <c r="E1718"/>
      <c r="F1718"/>
      <c r="G1718"/>
      <c r="U1718"/>
      <c r="V1718"/>
      <c r="W1718"/>
      <c r="X1718"/>
      <c r="Y1718"/>
      <c r="Z1718"/>
      <c r="AA1718"/>
      <c r="AB1718"/>
      <c r="AL1718"/>
      <c r="AM1718"/>
      <c r="AN1718"/>
      <c r="AO1718"/>
    </row>
    <row r="1719" spans="1:41" s="2" customFormat="1" x14ac:dyDescent="0.2">
      <c r="A1719"/>
      <c r="B1719"/>
      <c r="C1719"/>
      <c r="D1719"/>
      <c r="E1719"/>
      <c r="F1719"/>
      <c r="G1719"/>
      <c r="U1719"/>
      <c r="V1719"/>
      <c r="W1719"/>
      <c r="X1719"/>
      <c r="Y1719"/>
      <c r="Z1719"/>
      <c r="AA1719"/>
      <c r="AB1719"/>
      <c r="AL1719"/>
      <c r="AM1719"/>
      <c r="AN1719"/>
      <c r="AO1719"/>
    </row>
    <row r="1720" spans="1:41" s="2" customFormat="1" x14ac:dyDescent="0.2">
      <c r="A1720"/>
      <c r="B1720"/>
      <c r="C1720"/>
      <c r="D1720"/>
      <c r="E1720"/>
      <c r="F1720"/>
      <c r="G1720"/>
      <c r="U1720"/>
      <c r="V1720"/>
      <c r="W1720"/>
      <c r="X1720"/>
      <c r="Y1720"/>
      <c r="Z1720"/>
      <c r="AA1720"/>
      <c r="AB1720"/>
      <c r="AL1720"/>
      <c r="AM1720"/>
      <c r="AN1720"/>
      <c r="AO1720"/>
    </row>
    <row r="1721" spans="1:41" s="2" customFormat="1" x14ac:dyDescent="0.2">
      <c r="A1721"/>
      <c r="B1721"/>
      <c r="C1721"/>
      <c r="D1721"/>
      <c r="E1721"/>
      <c r="F1721"/>
      <c r="G1721"/>
      <c r="U1721"/>
      <c r="V1721"/>
      <c r="W1721"/>
      <c r="X1721"/>
      <c r="Y1721"/>
      <c r="Z1721"/>
      <c r="AA1721"/>
      <c r="AB1721"/>
      <c r="AL1721"/>
      <c r="AM1721"/>
      <c r="AN1721"/>
      <c r="AO1721"/>
    </row>
    <row r="1722" spans="1:41" s="2" customFormat="1" x14ac:dyDescent="0.2">
      <c r="A1722"/>
      <c r="B1722"/>
      <c r="C1722"/>
      <c r="D1722"/>
      <c r="E1722"/>
      <c r="F1722"/>
      <c r="G1722"/>
      <c r="U1722"/>
      <c r="V1722"/>
      <c r="W1722"/>
      <c r="X1722"/>
      <c r="Y1722"/>
      <c r="Z1722"/>
      <c r="AA1722"/>
      <c r="AB1722"/>
      <c r="AL1722"/>
      <c r="AM1722"/>
      <c r="AN1722"/>
      <c r="AO1722"/>
    </row>
    <row r="1723" spans="1:41" s="2" customFormat="1" x14ac:dyDescent="0.2">
      <c r="A1723"/>
      <c r="B1723"/>
      <c r="C1723"/>
      <c r="D1723"/>
      <c r="E1723"/>
      <c r="F1723"/>
      <c r="G1723"/>
      <c r="U1723"/>
      <c r="V1723"/>
      <c r="W1723"/>
      <c r="X1723"/>
      <c r="Y1723"/>
      <c r="Z1723"/>
      <c r="AA1723"/>
      <c r="AB1723"/>
      <c r="AL1723"/>
      <c r="AM1723"/>
      <c r="AN1723"/>
      <c r="AO1723"/>
    </row>
    <row r="1724" spans="1:41" s="2" customFormat="1" x14ac:dyDescent="0.2">
      <c r="A1724"/>
      <c r="B1724"/>
      <c r="C1724"/>
      <c r="D1724"/>
      <c r="E1724"/>
      <c r="F1724"/>
      <c r="G1724"/>
      <c r="U1724"/>
      <c r="V1724"/>
      <c r="W1724"/>
      <c r="X1724"/>
      <c r="Y1724"/>
      <c r="Z1724"/>
      <c r="AA1724"/>
      <c r="AB1724"/>
      <c r="AL1724"/>
      <c r="AM1724"/>
      <c r="AN1724"/>
      <c r="AO1724"/>
    </row>
    <row r="1725" spans="1:41" s="2" customFormat="1" x14ac:dyDescent="0.2">
      <c r="A1725"/>
      <c r="B1725"/>
      <c r="C1725"/>
      <c r="D1725"/>
      <c r="E1725"/>
      <c r="F1725"/>
      <c r="G1725"/>
      <c r="U1725"/>
      <c r="V1725"/>
      <c r="W1725"/>
      <c r="X1725"/>
      <c r="Y1725"/>
      <c r="Z1725"/>
      <c r="AA1725"/>
      <c r="AB1725"/>
      <c r="AL1725"/>
      <c r="AM1725"/>
      <c r="AN1725"/>
      <c r="AO1725"/>
    </row>
    <row r="1726" spans="1:41" s="2" customFormat="1" x14ac:dyDescent="0.2">
      <c r="A1726"/>
      <c r="B1726"/>
      <c r="C1726"/>
      <c r="D1726"/>
      <c r="E1726"/>
      <c r="F1726"/>
      <c r="G1726"/>
      <c r="U1726"/>
      <c r="V1726"/>
      <c r="W1726"/>
      <c r="X1726"/>
      <c r="Y1726"/>
      <c r="Z1726"/>
      <c r="AA1726"/>
      <c r="AB1726"/>
      <c r="AL1726"/>
      <c r="AM1726"/>
      <c r="AN1726"/>
      <c r="AO1726"/>
    </row>
    <row r="1727" spans="1:41" s="2" customFormat="1" x14ac:dyDescent="0.2">
      <c r="A1727"/>
      <c r="B1727"/>
      <c r="C1727"/>
      <c r="D1727"/>
      <c r="E1727"/>
      <c r="F1727"/>
      <c r="G1727"/>
      <c r="U1727"/>
      <c r="V1727"/>
      <c r="W1727"/>
      <c r="X1727"/>
      <c r="Y1727"/>
      <c r="Z1727"/>
      <c r="AA1727"/>
      <c r="AB1727"/>
      <c r="AL1727"/>
      <c r="AM1727"/>
      <c r="AN1727"/>
      <c r="AO1727"/>
    </row>
    <row r="1728" spans="1:41" s="2" customFormat="1" x14ac:dyDescent="0.2">
      <c r="A1728"/>
      <c r="B1728"/>
      <c r="C1728"/>
      <c r="D1728"/>
      <c r="E1728"/>
      <c r="F1728"/>
      <c r="G1728"/>
      <c r="U1728"/>
      <c r="V1728"/>
      <c r="W1728"/>
      <c r="X1728"/>
      <c r="Y1728"/>
      <c r="Z1728"/>
      <c r="AA1728"/>
      <c r="AB1728"/>
      <c r="AL1728"/>
      <c r="AM1728"/>
      <c r="AN1728"/>
      <c r="AO1728"/>
    </row>
    <row r="1729" spans="1:41" s="2" customFormat="1" x14ac:dyDescent="0.2">
      <c r="A1729"/>
      <c r="B1729"/>
      <c r="C1729"/>
      <c r="D1729"/>
      <c r="E1729"/>
      <c r="F1729"/>
      <c r="G1729"/>
      <c r="U1729"/>
      <c r="V1729"/>
      <c r="W1729"/>
      <c r="X1729"/>
      <c r="Y1729"/>
      <c r="Z1729"/>
      <c r="AA1729"/>
      <c r="AB1729"/>
      <c r="AL1729"/>
      <c r="AM1729"/>
      <c r="AN1729"/>
      <c r="AO1729"/>
    </row>
    <row r="1730" spans="1:41" s="2" customFormat="1" x14ac:dyDescent="0.2">
      <c r="A1730"/>
      <c r="B1730"/>
      <c r="C1730"/>
      <c r="D1730"/>
      <c r="E1730"/>
      <c r="F1730"/>
      <c r="G1730"/>
      <c r="U1730"/>
      <c r="V1730"/>
      <c r="W1730"/>
      <c r="X1730"/>
      <c r="Y1730"/>
      <c r="Z1730"/>
      <c r="AA1730"/>
      <c r="AB1730"/>
      <c r="AL1730"/>
      <c r="AM1730"/>
      <c r="AN1730"/>
      <c r="AO1730"/>
    </row>
    <row r="1731" spans="1:41" s="2" customFormat="1" x14ac:dyDescent="0.2">
      <c r="A1731"/>
      <c r="B1731"/>
      <c r="C1731"/>
      <c r="D1731"/>
      <c r="E1731"/>
      <c r="F1731"/>
      <c r="G1731"/>
      <c r="U1731"/>
      <c r="V1731"/>
      <c r="W1731"/>
      <c r="X1731"/>
      <c r="Y1731"/>
      <c r="Z1731"/>
      <c r="AA1731"/>
      <c r="AB1731"/>
      <c r="AL1731"/>
      <c r="AM1731"/>
      <c r="AN1731"/>
      <c r="AO1731"/>
    </row>
    <row r="1732" spans="1:41" s="2" customFormat="1" x14ac:dyDescent="0.2">
      <c r="A1732"/>
      <c r="B1732"/>
      <c r="C1732"/>
      <c r="D1732"/>
      <c r="E1732"/>
      <c r="F1732"/>
      <c r="G1732"/>
      <c r="U1732"/>
      <c r="V1732"/>
      <c r="W1732"/>
      <c r="X1732"/>
      <c r="Y1732"/>
      <c r="Z1732"/>
      <c r="AA1732"/>
      <c r="AB1732"/>
      <c r="AL1732"/>
      <c r="AM1732"/>
      <c r="AN1732"/>
      <c r="AO1732"/>
    </row>
    <row r="1733" spans="1:41" s="2" customFormat="1" x14ac:dyDescent="0.2">
      <c r="A1733"/>
      <c r="B1733"/>
      <c r="C1733"/>
      <c r="D1733"/>
      <c r="E1733"/>
      <c r="F1733"/>
      <c r="G1733"/>
      <c r="U1733"/>
      <c r="V1733"/>
      <c r="W1733"/>
      <c r="X1733"/>
      <c r="Y1733"/>
      <c r="Z1733"/>
      <c r="AA1733"/>
      <c r="AB1733"/>
      <c r="AL1733"/>
      <c r="AM1733"/>
      <c r="AN1733"/>
      <c r="AO1733"/>
    </row>
    <row r="1734" spans="1:41" s="2" customFormat="1" x14ac:dyDescent="0.2">
      <c r="A1734"/>
      <c r="B1734"/>
      <c r="C1734"/>
      <c r="D1734"/>
      <c r="E1734"/>
      <c r="F1734"/>
      <c r="G1734"/>
      <c r="U1734"/>
      <c r="V1734"/>
      <c r="W1734"/>
      <c r="X1734"/>
      <c r="Y1734"/>
      <c r="Z1734"/>
      <c r="AA1734"/>
      <c r="AB1734"/>
      <c r="AL1734"/>
      <c r="AM1734"/>
      <c r="AN1734"/>
      <c r="AO1734"/>
    </row>
    <row r="1735" spans="1:41" s="2" customFormat="1" x14ac:dyDescent="0.2">
      <c r="A1735"/>
      <c r="B1735"/>
      <c r="C1735"/>
      <c r="D1735"/>
      <c r="E1735"/>
      <c r="F1735"/>
      <c r="G1735"/>
      <c r="U1735"/>
      <c r="V1735"/>
      <c r="W1735"/>
      <c r="X1735"/>
      <c r="Y1735"/>
      <c r="Z1735"/>
      <c r="AA1735"/>
      <c r="AB1735"/>
      <c r="AL1735"/>
      <c r="AM1735"/>
      <c r="AN1735"/>
      <c r="AO1735"/>
    </row>
    <row r="1736" spans="1:41" s="2" customFormat="1" x14ac:dyDescent="0.2">
      <c r="A1736"/>
      <c r="B1736"/>
      <c r="C1736"/>
      <c r="D1736"/>
      <c r="E1736"/>
      <c r="F1736"/>
      <c r="G1736"/>
      <c r="U1736"/>
      <c r="V1736"/>
      <c r="W1736"/>
      <c r="X1736"/>
      <c r="Y1736"/>
      <c r="Z1736"/>
      <c r="AA1736"/>
      <c r="AB1736"/>
      <c r="AL1736"/>
      <c r="AM1736"/>
      <c r="AN1736"/>
      <c r="AO1736"/>
    </row>
    <row r="1737" spans="1:41" s="2" customFormat="1" x14ac:dyDescent="0.2">
      <c r="A1737"/>
      <c r="B1737"/>
      <c r="C1737"/>
      <c r="D1737"/>
      <c r="E1737"/>
      <c r="F1737"/>
      <c r="G1737"/>
      <c r="U1737"/>
      <c r="V1737"/>
      <c r="W1737"/>
      <c r="X1737"/>
      <c r="Y1737"/>
      <c r="Z1737"/>
      <c r="AA1737"/>
      <c r="AB1737"/>
      <c r="AL1737"/>
      <c r="AM1737"/>
      <c r="AN1737"/>
      <c r="AO1737"/>
    </row>
    <row r="1738" spans="1:41" s="2" customFormat="1" x14ac:dyDescent="0.2">
      <c r="A1738"/>
      <c r="B1738"/>
      <c r="C1738"/>
      <c r="D1738"/>
      <c r="E1738"/>
      <c r="F1738"/>
      <c r="G1738"/>
      <c r="U1738"/>
      <c r="V1738"/>
      <c r="W1738"/>
      <c r="X1738"/>
      <c r="Y1738"/>
      <c r="Z1738"/>
      <c r="AA1738"/>
      <c r="AB1738"/>
      <c r="AL1738"/>
      <c r="AM1738"/>
      <c r="AN1738"/>
      <c r="AO1738"/>
    </row>
    <row r="1739" spans="1:41" s="2" customFormat="1" x14ac:dyDescent="0.2">
      <c r="A1739"/>
      <c r="B1739"/>
      <c r="C1739"/>
      <c r="D1739"/>
      <c r="E1739"/>
      <c r="F1739"/>
      <c r="G1739"/>
      <c r="U1739"/>
      <c r="V1739"/>
      <c r="W1739"/>
      <c r="X1739"/>
      <c r="Y1739"/>
      <c r="Z1739"/>
      <c r="AA1739"/>
      <c r="AB1739"/>
      <c r="AL1739"/>
      <c r="AM1739"/>
      <c r="AN1739"/>
      <c r="AO1739"/>
    </row>
    <row r="1740" spans="1:41" s="2" customFormat="1" x14ac:dyDescent="0.2">
      <c r="A1740"/>
      <c r="B1740"/>
      <c r="C1740"/>
      <c r="D1740"/>
      <c r="E1740"/>
      <c r="F1740"/>
      <c r="G1740"/>
      <c r="U1740"/>
      <c r="V1740"/>
      <c r="W1740"/>
      <c r="X1740"/>
      <c r="Y1740"/>
      <c r="Z1740"/>
      <c r="AA1740"/>
      <c r="AB1740"/>
      <c r="AL1740"/>
      <c r="AM1740"/>
      <c r="AN1740"/>
      <c r="AO1740"/>
    </row>
    <row r="1741" spans="1:41" s="2" customFormat="1" x14ac:dyDescent="0.2">
      <c r="A1741"/>
      <c r="B1741"/>
      <c r="C1741"/>
      <c r="D1741"/>
      <c r="E1741"/>
      <c r="F1741"/>
      <c r="G1741"/>
      <c r="U1741"/>
      <c r="V1741"/>
      <c r="W1741"/>
      <c r="X1741"/>
      <c r="Y1741"/>
      <c r="Z1741"/>
      <c r="AA1741"/>
      <c r="AB1741"/>
      <c r="AL1741"/>
      <c r="AM1741"/>
      <c r="AN1741"/>
      <c r="AO1741"/>
    </row>
    <row r="1742" spans="1:41" s="2" customFormat="1" x14ac:dyDescent="0.2">
      <c r="A1742"/>
      <c r="B1742"/>
      <c r="C1742"/>
      <c r="D1742"/>
      <c r="E1742"/>
      <c r="F1742"/>
      <c r="G1742"/>
      <c r="U1742"/>
      <c r="V1742"/>
      <c r="W1742"/>
      <c r="X1742"/>
      <c r="Y1742"/>
      <c r="Z1742"/>
      <c r="AA1742"/>
      <c r="AB1742"/>
      <c r="AL1742"/>
      <c r="AM1742"/>
      <c r="AN1742"/>
      <c r="AO1742"/>
    </row>
    <row r="1743" spans="1:41" s="2" customFormat="1" x14ac:dyDescent="0.2">
      <c r="A1743"/>
      <c r="B1743"/>
      <c r="C1743"/>
      <c r="D1743"/>
      <c r="E1743"/>
      <c r="F1743"/>
      <c r="G1743"/>
      <c r="U1743"/>
      <c r="V1743"/>
      <c r="W1743"/>
      <c r="X1743"/>
      <c r="Y1743"/>
      <c r="Z1743"/>
      <c r="AA1743"/>
      <c r="AB1743"/>
      <c r="AL1743"/>
      <c r="AM1743"/>
      <c r="AN1743"/>
      <c r="AO1743"/>
    </row>
    <row r="1744" spans="1:41" s="2" customFormat="1" x14ac:dyDescent="0.2">
      <c r="A1744"/>
      <c r="B1744"/>
      <c r="C1744"/>
      <c r="D1744"/>
      <c r="E1744"/>
      <c r="F1744"/>
      <c r="G1744"/>
      <c r="U1744"/>
      <c r="V1744"/>
      <c r="W1744"/>
      <c r="X1744"/>
      <c r="Y1744"/>
      <c r="Z1744"/>
      <c r="AA1744"/>
      <c r="AB1744"/>
      <c r="AL1744"/>
      <c r="AM1744"/>
      <c r="AN1744"/>
      <c r="AO1744"/>
    </row>
    <row r="1745" spans="1:41" s="2" customFormat="1" x14ac:dyDescent="0.2">
      <c r="A1745"/>
      <c r="B1745"/>
      <c r="C1745"/>
      <c r="D1745"/>
      <c r="E1745"/>
      <c r="F1745"/>
      <c r="G1745"/>
      <c r="U1745"/>
      <c r="V1745"/>
      <c r="W1745"/>
      <c r="X1745"/>
      <c r="Y1745"/>
      <c r="Z1745"/>
      <c r="AA1745"/>
      <c r="AB1745"/>
      <c r="AL1745"/>
      <c r="AM1745"/>
      <c r="AN1745"/>
      <c r="AO1745"/>
    </row>
    <row r="1746" spans="1:41" s="2" customFormat="1" x14ac:dyDescent="0.2">
      <c r="A1746"/>
      <c r="B1746"/>
      <c r="C1746"/>
      <c r="D1746"/>
      <c r="E1746"/>
      <c r="F1746"/>
      <c r="G1746"/>
      <c r="U1746"/>
      <c r="V1746"/>
      <c r="W1746"/>
      <c r="X1746"/>
      <c r="Y1746"/>
      <c r="Z1746"/>
      <c r="AA1746"/>
      <c r="AB1746"/>
      <c r="AL1746"/>
      <c r="AM1746"/>
      <c r="AN1746"/>
      <c r="AO1746"/>
    </row>
    <row r="1747" spans="1:41" s="2" customFormat="1" x14ac:dyDescent="0.2">
      <c r="A1747"/>
      <c r="B1747"/>
      <c r="C1747"/>
      <c r="D1747"/>
      <c r="E1747"/>
      <c r="F1747"/>
      <c r="G1747"/>
      <c r="U1747"/>
      <c r="V1747"/>
      <c r="W1747"/>
      <c r="X1747"/>
      <c r="Y1747"/>
      <c r="Z1747"/>
      <c r="AA1747"/>
      <c r="AB1747"/>
      <c r="AL1747"/>
      <c r="AM1747"/>
      <c r="AN1747"/>
      <c r="AO1747"/>
    </row>
    <row r="1748" spans="1:41" s="2" customFormat="1" x14ac:dyDescent="0.2">
      <c r="A1748"/>
      <c r="B1748"/>
      <c r="C1748"/>
      <c r="D1748"/>
      <c r="E1748"/>
      <c r="F1748"/>
      <c r="G1748"/>
      <c r="U1748"/>
      <c r="V1748"/>
      <c r="W1748"/>
      <c r="X1748"/>
      <c r="Y1748"/>
      <c r="Z1748"/>
      <c r="AA1748"/>
      <c r="AB1748"/>
      <c r="AL1748"/>
      <c r="AM1748"/>
      <c r="AN1748"/>
      <c r="AO1748"/>
    </row>
    <row r="1749" spans="1:41" s="2" customFormat="1" x14ac:dyDescent="0.2">
      <c r="A1749"/>
      <c r="B1749"/>
      <c r="C1749"/>
      <c r="D1749"/>
      <c r="E1749"/>
      <c r="F1749"/>
      <c r="G1749"/>
      <c r="U1749"/>
      <c r="V1749"/>
      <c r="W1749"/>
      <c r="X1749"/>
      <c r="Y1749"/>
      <c r="Z1749"/>
      <c r="AA1749"/>
      <c r="AB1749"/>
      <c r="AL1749"/>
      <c r="AM1749"/>
      <c r="AN1749"/>
      <c r="AO1749"/>
    </row>
    <row r="1750" spans="1:41" s="2" customFormat="1" x14ac:dyDescent="0.2">
      <c r="A1750"/>
      <c r="B1750"/>
      <c r="C1750"/>
      <c r="D1750"/>
      <c r="E1750"/>
      <c r="F1750"/>
      <c r="G1750"/>
      <c r="U1750"/>
      <c r="V1750"/>
      <c r="W1750"/>
      <c r="X1750"/>
      <c r="Y1750"/>
      <c r="Z1750"/>
      <c r="AA1750"/>
      <c r="AB1750"/>
      <c r="AL1750"/>
      <c r="AM1750"/>
      <c r="AN1750"/>
      <c r="AO1750"/>
    </row>
    <row r="1751" spans="1:41" s="2" customFormat="1" x14ac:dyDescent="0.2">
      <c r="A1751"/>
      <c r="B1751"/>
      <c r="C1751"/>
      <c r="D1751"/>
      <c r="E1751"/>
      <c r="F1751"/>
      <c r="G1751"/>
      <c r="U1751"/>
      <c r="V1751"/>
      <c r="W1751"/>
      <c r="X1751"/>
      <c r="Y1751"/>
      <c r="Z1751"/>
      <c r="AA1751"/>
      <c r="AB1751"/>
      <c r="AL1751"/>
      <c r="AM1751"/>
      <c r="AN1751"/>
      <c r="AO1751"/>
    </row>
    <row r="1752" spans="1:41" s="2" customFormat="1" x14ac:dyDescent="0.2">
      <c r="A1752"/>
      <c r="B1752"/>
      <c r="C1752"/>
      <c r="D1752"/>
      <c r="E1752"/>
      <c r="F1752"/>
      <c r="G1752"/>
      <c r="U1752"/>
      <c r="V1752"/>
      <c r="W1752"/>
      <c r="X1752"/>
      <c r="Y1752"/>
      <c r="Z1752"/>
      <c r="AA1752"/>
      <c r="AB1752"/>
      <c r="AL1752"/>
      <c r="AM1752"/>
      <c r="AN1752"/>
      <c r="AO1752"/>
    </row>
    <row r="1753" spans="1:41" s="2" customFormat="1" x14ac:dyDescent="0.2">
      <c r="A1753"/>
      <c r="B1753"/>
      <c r="C1753"/>
      <c r="D1753"/>
      <c r="E1753"/>
      <c r="F1753"/>
      <c r="G1753"/>
      <c r="U1753"/>
      <c r="V1753"/>
      <c r="W1753"/>
      <c r="X1753"/>
      <c r="Y1753"/>
      <c r="Z1753"/>
      <c r="AA1753"/>
      <c r="AB1753"/>
      <c r="AL1753"/>
      <c r="AM1753"/>
      <c r="AN1753"/>
      <c r="AO1753"/>
    </row>
    <row r="1754" spans="1:41" s="2" customFormat="1" x14ac:dyDescent="0.2">
      <c r="A1754"/>
      <c r="B1754"/>
      <c r="C1754"/>
      <c r="D1754"/>
      <c r="E1754"/>
      <c r="F1754"/>
      <c r="G1754"/>
      <c r="U1754"/>
      <c r="V1754"/>
      <c r="W1754"/>
      <c r="X1754"/>
      <c r="Y1754"/>
      <c r="Z1754"/>
      <c r="AA1754"/>
      <c r="AB1754"/>
      <c r="AL1754"/>
      <c r="AM1754"/>
      <c r="AN1754"/>
      <c r="AO1754"/>
    </row>
    <row r="1755" spans="1:41" s="2" customFormat="1" x14ac:dyDescent="0.2">
      <c r="A1755"/>
      <c r="B1755"/>
      <c r="C1755"/>
      <c r="D1755"/>
      <c r="E1755"/>
      <c r="F1755"/>
      <c r="G1755"/>
      <c r="U1755"/>
      <c r="V1755"/>
      <c r="W1755"/>
      <c r="X1755"/>
      <c r="Y1755"/>
      <c r="Z1755"/>
      <c r="AA1755"/>
      <c r="AB1755"/>
      <c r="AL1755"/>
      <c r="AM1755"/>
      <c r="AN1755"/>
      <c r="AO1755"/>
    </row>
    <row r="1756" spans="1:41" s="2" customFormat="1" x14ac:dyDescent="0.2">
      <c r="A1756"/>
      <c r="B1756"/>
      <c r="C1756"/>
      <c r="D1756"/>
      <c r="E1756"/>
      <c r="F1756"/>
      <c r="G1756"/>
      <c r="U1756"/>
      <c r="V1756"/>
      <c r="W1756"/>
      <c r="X1756"/>
      <c r="Y1756"/>
      <c r="Z1756"/>
      <c r="AA1756"/>
      <c r="AB1756"/>
      <c r="AL1756"/>
      <c r="AM1756"/>
      <c r="AN1756"/>
      <c r="AO1756"/>
    </row>
    <row r="1757" spans="1:41" s="2" customFormat="1" x14ac:dyDescent="0.2">
      <c r="A1757"/>
      <c r="B1757"/>
      <c r="C1757"/>
      <c r="D1757"/>
      <c r="E1757"/>
      <c r="F1757"/>
      <c r="G1757"/>
      <c r="U1757"/>
      <c r="V1757"/>
      <c r="W1757"/>
      <c r="X1757"/>
      <c r="Y1757"/>
      <c r="Z1757"/>
      <c r="AA1757"/>
      <c r="AB1757"/>
      <c r="AL1757"/>
      <c r="AM1757"/>
      <c r="AN1757"/>
      <c r="AO1757"/>
    </row>
    <row r="1758" spans="1:41" s="2" customFormat="1" x14ac:dyDescent="0.2">
      <c r="A1758"/>
      <c r="B1758"/>
      <c r="C1758"/>
      <c r="D1758"/>
      <c r="E1758"/>
      <c r="F1758"/>
      <c r="G1758"/>
      <c r="U1758"/>
      <c r="V1758"/>
      <c r="W1758"/>
      <c r="X1758"/>
      <c r="Y1758"/>
      <c r="Z1758"/>
      <c r="AA1758"/>
      <c r="AB1758"/>
      <c r="AL1758"/>
      <c r="AM1758"/>
      <c r="AN1758"/>
      <c r="AO1758"/>
    </row>
    <row r="1759" spans="1:41" s="2" customFormat="1" x14ac:dyDescent="0.2">
      <c r="A1759"/>
      <c r="B1759"/>
      <c r="C1759"/>
      <c r="D1759"/>
      <c r="E1759"/>
      <c r="F1759"/>
      <c r="G1759"/>
      <c r="U1759"/>
      <c r="V1759"/>
      <c r="W1759"/>
      <c r="X1759"/>
      <c r="Y1759"/>
      <c r="Z1759"/>
      <c r="AA1759"/>
      <c r="AB1759"/>
      <c r="AL1759"/>
      <c r="AM1759"/>
      <c r="AN1759"/>
      <c r="AO1759"/>
    </row>
    <row r="1760" spans="1:41" s="2" customFormat="1" x14ac:dyDescent="0.2">
      <c r="A1760"/>
      <c r="B1760"/>
      <c r="C1760"/>
      <c r="D1760"/>
      <c r="E1760"/>
      <c r="F1760"/>
      <c r="G1760"/>
      <c r="U1760"/>
      <c r="V1760"/>
      <c r="W1760"/>
      <c r="X1760"/>
      <c r="Y1760"/>
      <c r="Z1760"/>
      <c r="AA1760"/>
      <c r="AB1760"/>
      <c r="AL1760"/>
      <c r="AM1760"/>
      <c r="AN1760"/>
      <c r="AO1760"/>
    </row>
    <row r="1761" spans="1:41" s="2" customFormat="1" x14ac:dyDescent="0.2">
      <c r="A1761"/>
      <c r="B1761"/>
      <c r="C1761"/>
      <c r="D1761"/>
      <c r="E1761"/>
      <c r="F1761"/>
      <c r="G1761"/>
      <c r="U1761"/>
      <c r="V1761"/>
      <c r="W1761"/>
      <c r="X1761"/>
      <c r="Y1761"/>
      <c r="Z1761"/>
      <c r="AA1761"/>
      <c r="AB1761"/>
      <c r="AL1761"/>
      <c r="AM1761"/>
      <c r="AN1761"/>
      <c r="AO1761"/>
    </row>
    <row r="1762" spans="1:41" s="2" customFormat="1" x14ac:dyDescent="0.2">
      <c r="A1762"/>
      <c r="B1762"/>
      <c r="C1762"/>
      <c r="D1762"/>
      <c r="E1762"/>
      <c r="F1762"/>
      <c r="G1762"/>
      <c r="U1762"/>
      <c r="V1762"/>
      <c r="W1762"/>
      <c r="X1762"/>
      <c r="Y1762"/>
      <c r="Z1762"/>
      <c r="AA1762"/>
      <c r="AB1762"/>
      <c r="AL1762"/>
      <c r="AM1762"/>
      <c r="AN1762"/>
      <c r="AO1762"/>
    </row>
    <row r="1763" spans="1:41" s="2" customFormat="1" x14ac:dyDescent="0.2">
      <c r="A1763"/>
      <c r="B1763"/>
      <c r="C1763"/>
      <c r="D1763"/>
      <c r="E1763"/>
      <c r="F1763"/>
      <c r="G1763"/>
      <c r="U1763"/>
      <c r="V1763"/>
      <c r="W1763"/>
      <c r="X1763"/>
      <c r="Y1763"/>
      <c r="Z1763"/>
      <c r="AA1763"/>
      <c r="AB1763"/>
      <c r="AL1763"/>
      <c r="AM1763"/>
      <c r="AN1763"/>
      <c r="AO1763"/>
    </row>
    <row r="1764" spans="1:41" s="2" customFormat="1" x14ac:dyDescent="0.2">
      <c r="A1764"/>
      <c r="B1764"/>
      <c r="C1764"/>
      <c r="D1764"/>
      <c r="E1764"/>
      <c r="F1764"/>
      <c r="G1764"/>
      <c r="U1764"/>
      <c r="V1764"/>
      <c r="W1764"/>
      <c r="X1764"/>
      <c r="Y1764"/>
      <c r="Z1764"/>
      <c r="AA1764"/>
      <c r="AB1764"/>
      <c r="AL1764"/>
      <c r="AM1764"/>
      <c r="AN1764"/>
      <c r="AO1764"/>
    </row>
    <row r="1765" spans="1:41" s="2" customFormat="1" x14ac:dyDescent="0.2">
      <c r="A1765"/>
      <c r="B1765"/>
      <c r="C1765"/>
      <c r="D1765"/>
      <c r="E1765"/>
      <c r="F1765"/>
      <c r="G1765"/>
      <c r="U1765"/>
      <c r="V1765"/>
      <c r="W1765"/>
      <c r="X1765"/>
      <c r="Y1765"/>
      <c r="Z1765"/>
      <c r="AA1765"/>
      <c r="AB1765"/>
      <c r="AL1765"/>
      <c r="AM1765"/>
      <c r="AN1765"/>
      <c r="AO1765"/>
    </row>
    <row r="1766" spans="1:41" s="2" customFormat="1" x14ac:dyDescent="0.2">
      <c r="A1766"/>
      <c r="B1766"/>
      <c r="C1766"/>
      <c r="D1766"/>
      <c r="E1766"/>
      <c r="F1766"/>
      <c r="G1766"/>
      <c r="U1766"/>
      <c r="V1766"/>
      <c r="W1766"/>
      <c r="X1766"/>
      <c r="Y1766"/>
      <c r="Z1766"/>
      <c r="AA1766"/>
      <c r="AB1766"/>
      <c r="AL1766"/>
      <c r="AM1766"/>
      <c r="AN1766"/>
      <c r="AO1766"/>
    </row>
    <row r="1767" spans="1:41" s="2" customFormat="1" x14ac:dyDescent="0.2">
      <c r="A1767"/>
      <c r="B1767"/>
      <c r="C1767"/>
      <c r="D1767"/>
      <c r="E1767"/>
      <c r="F1767"/>
      <c r="G1767"/>
      <c r="U1767"/>
      <c r="V1767"/>
      <c r="W1767"/>
      <c r="X1767"/>
      <c r="Y1767"/>
      <c r="Z1767"/>
      <c r="AA1767"/>
      <c r="AB1767"/>
      <c r="AL1767"/>
      <c r="AM1767"/>
      <c r="AN1767"/>
      <c r="AO1767"/>
    </row>
    <row r="1768" spans="1:41" s="2" customFormat="1" x14ac:dyDescent="0.2">
      <c r="A1768"/>
      <c r="B1768"/>
      <c r="C1768"/>
      <c r="D1768"/>
      <c r="E1768"/>
      <c r="F1768"/>
      <c r="G1768"/>
      <c r="U1768"/>
      <c r="V1768"/>
      <c r="W1768"/>
      <c r="X1768"/>
      <c r="Y1768"/>
      <c r="Z1768"/>
      <c r="AA1768"/>
      <c r="AB1768"/>
      <c r="AL1768"/>
      <c r="AM1768"/>
      <c r="AN1768"/>
      <c r="AO1768"/>
    </row>
    <row r="1769" spans="1:41" s="2" customFormat="1" x14ac:dyDescent="0.2">
      <c r="A1769"/>
      <c r="B1769"/>
      <c r="C1769"/>
      <c r="D1769"/>
      <c r="E1769"/>
      <c r="F1769"/>
      <c r="G1769"/>
      <c r="U1769"/>
      <c r="V1769"/>
      <c r="W1769"/>
      <c r="X1769"/>
      <c r="Y1769"/>
      <c r="Z1769"/>
      <c r="AA1769"/>
      <c r="AB1769"/>
      <c r="AL1769"/>
      <c r="AM1769"/>
      <c r="AN1769"/>
      <c r="AO1769"/>
    </row>
    <row r="1770" spans="1:41" s="2" customFormat="1" x14ac:dyDescent="0.2">
      <c r="A1770"/>
      <c r="B1770"/>
      <c r="C1770"/>
      <c r="D1770"/>
      <c r="E1770"/>
      <c r="F1770"/>
      <c r="G1770"/>
      <c r="U1770"/>
      <c r="V1770"/>
      <c r="W1770"/>
      <c r="X1770"/>
      <c r="Y1770"/>
      <c r="Z1770"/>
      <c r="AA1770"/>
      <c r="AB1770"/>
      <c r="AL1770"/>
      <c r="AM1770"/>
      <c r="AN1770"/>
      <c r="AO1770"/>
    </row>
    <row r="1771" spans="1:41" s="2" customFormat="1" x14ac:dyDescent="0.2">
      <c r="A1771"/>
      <c r="B1771"/>
      <c r="C1771"/>
      <c r="D1771"/>
      <c r="E1771"/>
      <c r="F1771"/>
      <c r="G1771"/>
      <c r="U1771"/>
      <c r="V1771"/>
      <c r="W1771"/>
      <c r="X1771"/>
      <c r="Y1771"/>
      <c r="Z1771"/>
      <c r="AA1771"/>
      <c r="AB1771"/>
      <c r="AL1771"/>
      <c r="AM1771"/>
      <c r="AN1771"/>
      <c r="AO1771"/>
    </row>
    <row r="1772" spans="1:41" s="2" customFormat="1" x14ac:dyDescent="0.2">
      <c r="A1772"/>
      <c r="B1772"/>
      <c r="C1772"/>
      <c r="D1772"/>
      <c r="E1772"/>
      <c r="F1772"/>
      <c r="G1772"/>
      <c r="U1772"/>
      <c r="V1772"/>
      <c r="W1772"/>
      <c r="X1772"/>
      <c r="Y1772"/>
      <c r="Z1772"/>
      <c r="AA1772"/>
      <c r="AB1772"/>
      <c r="AL1772"/>
      <c r="AM1772"/>
      <c r="AN1772"/>
      <c r="AO1772"/>
    </row>
    <row r="1773" spans="1:41" s="2" customFormat="1" x14ac:dyDescent="0.2">
      <c r="A1773"/>
      <c r="B1773"/>
      <c r="C1773"/>
      <c r="D1773"/>
      <c r="E1773"/>
      <c r="F1773"/>
      <c r="G1773"/>
      <c r="U1773"/>
      <c r="V1773"/>
      <c r="W1773"/>
      <c r="X1773"/>
      <c r="Y1773"/>
      <c r="Z1773"/>
      <c r="AA1773"/>
      <c r="AB1773"/>
      <c r="AL1773"/>
      <c r="AM1773"/>
      <c r="AN1773"/>
      <c r="AO1773"/>
    </row>
    <row r="1774" spans="1:41" s="2" customFormat="1" x14ac:dyDescent="0.2">
      <c r="A1774"/>
      <c r="B1774"/>
      <c r="C1774"/>
      <c r="D1774"/>
      <c r="E1774"/>
      <c r="F1774"/>
      <c r="G1774"/>
      <c r="U1774"/>
      <c r="V1774"/>
      <c r="W1774"/>
      <c r="X1774"/>
      <c r="Y1774"/>
      <c r="Z1774"/>
      <c r="AA1774"/>
      <c r="AB1774"/>
      <c r="AL1774"/>
      <c r="AM1774"/>
      <c r="AN1774"/>
      <c r="AO1774"/>
    </row>
    <row r="1775" spans="1:41" s="2" customFormat="1" x14ac:dyDescent="0.2">
      <c r="A1775"/>
      <c r="B1775"/>
      <c r="C1775"/>
      <c r="D1775"/>
      <c r="E1775"/>
      <c r="F1775"/>
      <c r="G1775"/>
      <c r="U1775"/>
      <c r="V1775"/>
      <c r="W1775"/>
      <c r="X1775"/>
      <c r="Y1775"/>
      <c r="Z1775"/>
      <c r="AA1775"/>
      <c r="AB1775"/>
      <c r="AL1775"/>
      <c r="AM1775"/>
      <c r="AN1775"/>
      <c r="AO1775"/>
    </row>
    <row r="1776" spans="1:41" s="2" customFormat="1" x14ac:dyDescent="0.2">
      <c r="A1776"/>
      <c r="B1776"/>
      <c r="C1776"/>
      <c r="D1776"/>
      <c r="E1776"/>
      <c r="F1776"/>
      <c r="G1776"/>
      <c r="U1776"/>
      <c r="V1776"/>
      <c r="W1776"/>
      <c r="X1776"/>
      <c r="Y1776"/>
      <c r="Z1776"/>
      <c r="AA1776"/>
      <c r="AB1776"/>
      <c r="AL1776"/>
      <c r="AM1776"/>
      <c r="AN1776"/>
      <c r="AO1776"/>
    </row>
    <row r="1777" spans="1:41" s="2" customFormat="1" x14ac:dyDescent="0.2">
      <c r="A1777"/>
      <c r="B1777"/>
      <c r="C1777"/>
      <c r="D1777"/>
      <c r="E1777"/>
      <c r="F1777"/>
      <c r="G1777"/>
      <c r="U1777"/>
      <c r="V1777"/>
      <c r="W1777"/>
      <c r="X1777"/>
      <c r="Y1777"/>
      <c r="Z1777"/>
      <c r="AA1777"/>
      <c r="AB1777"/>
      <c r="AL1777"/>
      <c r="AM1777"/>
      <c r="AN1777"/>
      <c r="AO1777"/>
    </row>
    <row r="1778" spans="1:41" s="2" customFormat="1" x14ac:dyDescent="0.2">
      <c r="A1778"/>
      <c r="B1778"/>
      <c r="C1778"/>
      <c r="D1778"/>
      <c r="E1778"/>
      <c r="F1778"/>
      <c r="G1778"/>
      <c r="U1778"/>
      <c r="V1778"/>
      <c r="W1778"/>
      <c r="X1778"/>
      <c r="Y1778"/>
      <c r="Z1778"/>
      <c r="AA1778"/>
      <c r="AB1778"/>
      <c r="AL1778"/>
      <c r="AM1778"/>
      <c r="AN1778"/>
      <c r="AO1778"/>
    </row>
    <row r="1779" spans="1:41" s="2" customFormat="1" x14ac:dyDescent="0.2">
      <c r="A1779"/>
      <c r="B1779"/>
      <c r="C1779"/>
      <c r="D1779"/>
      <c r="E1779"/>
      <c r="F1779"/>
      <c r="G1779"/>
      <c r="U1779"/>
      <c r="V1779"/>
      <c r="W1779"/>
      <c r="X1779"/>
      <c r="Y1779"/>
      <c r="Z1779"/>
      <c r="AA1779"/>
      <c r="AB1779"/>
      <c r="AL1779"/>
      <c r="AM1779"/>
      <c r="AN1779"/>
      <c r="AO1779"/>
    </row>
    <row r="1780" spans="1:41" s="2" customFormat="1" x14ac:dyDescent="0.2">
      <c r="A1780"/>
      <c r="B1780"/>
      <c r="C1780"/>
      <c r="D1780"/>
      <c r="E1780"/>
      <c r="F1780"/>
      <c r="G1780"/>
      <c r="U1780"/>
      <c r="V1780"/>
      <c r="W1780"/>
      <c r="X1780"/>
      <c r="Y1780"/>
      <c r="Z1780"/>
      <c r="AA1780"/>
      <c r="AB1780"/>
      <c r="AL1780"/>
      <c r="AM1780"/>
      <c r="AN1780"/>
      <c r="AO1780"/>
    </row>
    <row r="1781" spans="1:41" s="2" customFormat="1" x14ac:dyDescent="0.2">
      <c r="A1781"/>
      <c r="B1781"/>
      <c r="C1781"/>
      <c r="D1781"/>
      <c r="E1781"/>
      <c r="F1781"/>
      <c r="G1781"/>
      <c r="U1781"/>
      <c r="V1781"/>
      <c r="W1781"/>
      <c r="X1781"/>
      <c r="Y1781"/>
      <c r="Z1781"/>
      <c r="AA1781"/>
      <c r="AB1781"/>
      <c r="AL1781"/>
      <c r="AM1781"/>
      <c r="AN1781"/>
      <c r="AO1781"/>
    </row>
    <row r="1782" spans="1:41" s="2" customFormat="1" x14ac:dyDescent="0.2">
      <c r="A1782"/>
      <c r="B1782"/>
      <c r="C1782"/>
      <c r="D1782"/>
      <c r="E1782"/>
      <c r="F1782"/>
      <c r="G1782"/>
      <c r="U1782"/>
      <c r="V1782"/>
      <c r="W1782"/>
      <c r="X1782"/>
      <c r="Y1782"/>
      <c r="Z1782"/>
      <c r="AA1782"/>
      <c r="AB1782"/>
      <c r="AL1782"/>
      <c r="AM1782"/>
      <c r="AN1782"/>
      <c r="AO1782"/>
    </row>
    <row r="1783" spans="1:41" s="2" customFormat="1" x14ac:dyDescent="0.2">
      <c r="A1783"/>
      <c r="B1783"/>
      <c r="C1783"/>
      <c r="D1783"/>
      <c r="E1783"/>
      <c r="F1783"/>
      <c r="G1783"/>
      <c r="U1783"/>
      <c r="V1783"/>
      <c r="W1783"/>
      <c r="X1783"/>
      <c r="Y1783"/>
      <c r="Z1783"/>
      <c r="AA1783"/>
      <c r="AB1783"/>
      <c r="AL1783"/>
      <c r="AM1783"/>
      <c r="AN1783"/>
      <c r="AO1783"/>
    </row>
    <row r="1784" spans="1:41" s="2" customFormat="1" x14ac:dyDescent="0.2">
      <c r="A1784"/>
      <c r="B1784"/>
      <c r="C1784"/>
      <c r="D1784"/>
      <c r="E1784"/>
      <c r="F1784"/>
      <c r="G1784"/>
      <c r="U1784"/>
      <c r="V1784"/>
      <c r="W1784"/>
      <c r="X1784"/>
      <c r="Y1784"/>
      <c r="Z1784"/>
      <c r="AA1784"/>
      <c r="AB1784"/>
      <c r="AL1784"/>
      <c r="AM1784"/>
      <c r="AN1784"/>
      <c r="AO1784"/>
    </row>
    <row r="1785" spans="1:41" s="2" customFormat="1" x14ac:dyDescent="0.2">
      <c r="A1785"/>
      <c r="B1785"/>
      <c r="C1785"/>
      <c r="D1785"/>
      <c r="E1785"/>
      <c r="F1785"/>
      <c r="G1785"/>
      <c r="U1785"/>
      <c r="V1785"/>
      <c r="W1785"/>
      <c r="X1785"/>
      <c r="Y1785"/>
      <c r="Z1785"/>
      <c r="AA1785"/>
      <c r="AB1785"/>
      <c r="AL1785"/>
      <c r="AM1785"/>
      <c r="AN1785"/>
      <c r="AO1785"/>
    </row>
    <row r="1786" spans="1:41" s="2" customFormat="1" x14ac:dyDescent="0.2">
      <c r="A1786"/>
      <c r="B1786"/>
      <c r="C1786"/>
      <c r="D1786"/>
      <c r="E1786"/>
      <c r="F1786"/>
      <c r="G1786"/>
      <c r="U1786"/>
      <c r="V1786"/>
      <c r="W1786"/>
      <c r="X1786"/>
      <c r="Y1786"/>
      <c r="Z1786"/>
      <c r="AA1786"/>
      <c r="AB1786"/>
      <c r="AL1786"/>
      <c r="AM1786"/>
      <c r="AN1786"/>
      <c r="AO1786"/>
    </row>
    <row r="1787" spans="1:41" s="2" customFormat="1" x14ac:dyDescent="0.2">
      <c r="A1787"/>
      <c r="B1787"/>
      <c r="C1787"/>
      <c r="D1787"/>
      <c r="E1787"/>
      <c r="F1787"/>
      <c r="G1787"/>
      <c r="U1787"/>
      <c r="V1787"/>
      <c r="W1787"/>
      <c r="X1787"/>
      <c r="Y1787"/>
      <c r="Z1787"/>
      <c r="AA1787"/>
      <c r="AB1787"/>
      <c r="AL1787"/>
      <c r="AM1787"/>
      <c r="AN1787"/>
      <c r="AO1787"/>
    </row>
    <row r="1788" spans="1:41" s="2" customFormat="1" x14ac:dyDescent="0.2">
      <c r="A1788"/>
      <c r="B1788"/>
      <c r="C1788"/>
      <c r="D1788"/>
      <c r="E1788"/>
      <c r="F1788"/>
      <c r="G1788"/>
      <c r="U1788"/>
      <c r="V1788"/>
      <c r="W1788"/>
      <c r="X1788"/>
      <c r="Y1788"/>
      <c r="Z1788"/>
      <c r="AA1788"/>
      <c r="AB1788"/>
      <c r="AL1788"/>
      <c r="AM1788"/>
      <c r="AN1788"/>
      <c r="AO1788"/>
    </row>
    <row r="1789" spans="1:41" s="2" customFormat="1" x14ac:dyDescent="0.2">
      <c r="A1789"/>
      <c r="B1789"/>
      <c r="C1789"/>
      <c r="D1789"/>
      <c r="E1789"/>
      <c r="F1789"/>
      <c r="G1789"/>
      <c r="U1789"/>
      <c r="V1789"/>
      <c r="W1789"/>
      <c r="X1789"/>
      <c r="Y1789"/>
      <c r="Z1789"/>
      <c r="AA1789"/>
      <c r="AB1789"/>
      <c r="AL1789"/>
      <c r="AM1789"/>
      <c r="AN1789"/>
      <c r="AO1789"/>
    </row>
    <row r="1790" spans="1:41" s="2" customFormat="1" x14ac:dyDescent="0.2">
      <c r="A1790"/>
      <c r="B1790"/>
      <c r="C1790"/>
      <c r="D1790"/>
      <c r="E1790"/>
      <c r="F1790"/>
      <c r="G1790"/>
      <c r="U1790"/>
      <c r="V1790"/>
      <c r="W1790"/>
      <c r="X1790"/>
      <c r="Y1790"/>
      <c r="Z1790"/>
      <c r="AA1790"/>
      <c r="AB1790"/>
      <c r="AL1790"/>
      <c r="AM1790"/>
      <c r="AN1790"/>
      <c r="AO1790"/>
    </row>
    <row r="1791" spans="1:41" s="2" customFormat="1" x14ac:dyDescent="0.2">
      <c r="A1791"/>
      <c r="B1791"/>
      <c r="C1791"/>
      <c r="D1791"/>
      <c r="E1791"/>
      <c r="F1791"/>
      <c r="G1791"/>
      <c r="U1791"/>
      <c r="V1791"/>
      <c r="W1791"/>
      <c r="X1791"/>
      <c r="Y1791"/>
      <c r="Z1791"/>
      <c r="AA1791"/>
      <c r="AB1791"/>
      <c r="AL1791"/>
      <c r="AM1791"/>
      <c r="AN1791"/>
      <c r="AO1791"/>
    </row>
    <row r="1792" spans="1:41" s="2" customFormat="1" x14ac:dyDescent="0.2">
      <c r="A1792"/>
      <c r="B1792"/>
      <c r="C1792"/>
      <c r="D1792"/>
      <c r="E1792"/>
      <c r="F1792"/>
      <c r="G1792"/>
      <c r="U1792"/>
      <c r="V1792"/>
      <c r="W1792"/>
      <c r="X1792"/>
      <c r="Y1792"/>
      <c r="Z1792"/>
      <c r="AA1792"/>
      <c r="AB1792"/>
      <c r="AL1792"/>
      <c r="AM1792"/>
      <c r="AN1792"/>
      <c r="AO1792"/>
    </row>
    <row r="1793" spans="1:41" s="2" customFormat="1" x14ac:dyDescent="0.2">
      <c r="A1793"/>
      <c r="B1793"/>
      <c r="C1793"/>
      <c r="D1793"/>
      <c r="E1793"/>
      <c r="F1793"/>
      <c r="G1793"/>
      <c r="U1793"/>
      <c r="V1793"/>
      <c r="W1793"/>
      <c r="X1793"/>
      <c r="Y1793"/>
      <c r="Z1793"/>
      <c r="AA1793"/>
      <c r="AB1793"/>
      <c r="AL1793"/>
      <c r="AM1793"/>
      <c r="AN1793"/>
      <c r="AO1793"/>
    </row>
    <row r="1794" spans="1:41" s="2" customFormat="1" x14ac:dyDescent="0.2">
      <c r="A1794"/>
      <c r="B1794"/>
      <c r="C1794"/>
      <c r="D1794"/>
      <c r="E1794"/>
      <c r="F1794"/>
      <c r="G1794"/>
      <c r="U1794"/>
      <c r="V1794"/>
      <c r="W1794"/>
      <c r="X1794"/>
      <c r="Y1794"/>
      <c r="Z1794"/>
      <c r="AA1794"/>
      <c r="AB1794"/>
      <c r="AL1794"/>
      <c r="AM1794"/>
      <c r="AN1794"/>
      <c r="AO1794"/>
    </row>
    <row r="1795" spans="1:41" s="2" customFormat="1" x14ac:dyDescent="0.2">
      <c r="A1795"/>
      <c r="B1795"/>
      <c r="C1795"/>
      <c r="D1795"/>
      <c r="E1795"/>
      <c r="F1795"/>
      <c r="G1795"/>
      <c r="U1795"/>
      <c r="V1795"/>
      <c r="W1795"/>
      <c r="X1795"/>
      <c r="Y1795"/>
      <c r="Z1795"/>
      <c r="AA1795"/>
      <c r="AB1795"/>
      <c r="AL1795"/>
      <c r="AM1795"/>
      <c r="AN1795"/>
      <c r="AO1795"/>
    </row>
    <row r="1796" spans="1:41" s="2" customFormat="1" x14ac:dyDescent="0.2">
      <c r="A1796"/>
      <c r="B1796"/>
      <c r="C1796"/>
      <c r="D1796"/>
      <c r="E1796"/>
      <c r="F1796"/>
      <c r="G1796"/>
      <c r="U1796"/>
      <c r="V1796"/>
      <c r="W1796"/>
      <c r="X1796"/>
      <c r="Y1796"/>
      <c r="Z1796"/>
      <c r="AA1796"/>
      <c r="AB1796"/>
      <c r="AL1796"/>
      <c r="AM1796"/>
      <c r="AN1796"/>
      <c r="AO1796"/>
    </row>
    <row r="1797" spans="1:41" s="2" customFormat="1" x14ac:dyDescent="0.2">
      <c r="A1797"/>
      <c r="B1797"/>
      <c r="C1797"/>
      <c r="D1797"/>
      <c r="E1797"/>
      <c r="F1797"/>
      <c r="G1797"/>
      <c r="U1797"/>
      <c r="V1797"/>
      <c r="W1797"/>
      <c r="X1797"/>
      <c r="Y1797"/>
      <c r="Z1797"/>
      <c r="AA1797"/>
      <c r="AB1797"/>
      <c r="AL1797"/>
      <c r="AM1797"/>
      <c r="AN1797"/>
      <c r="AO1797"/>
    </row>
    <row r="1798" spans="1:41" s="2" customFormat="1" x14ac:dyDescent="0.2">
      <c r="A1798"/>
      <c r="B1798"/>
      <c r="C1798"/>
      <c r="D1798"/>
      <c r="E1798"/>
      <c r="F1798"/>
      <c r="G1798"/>
      <c r="U1798"/>
      <c r="V1798"/>
      <c r="W1798"/>
      <c r="X1798"/>
      <c r="Y1798"/>
      <c r="Z1798"/>
      <c r="AA1798"/>
      <c r="AB1798"/>
      <c r="AL1798"/>
      <c r="AM1798"/>
      <c r="AN1798"/>
      <c r="AO1798"/>
    </row>
    <row r="1799" spans="1:41" s="2" customFormat="1" x14ac:dyDescent="0.2">
      <c r="A1799"/>
      <c r="B1799"/>
      <c r="C1799"/>
      <c r="D1799"/>
      <c r="E1799"/>
      <c r="F1799"/>
      <c r="G1799"/>
      <c r="U1799"/>
      <c r="V1799"/>
      <c r="W1799"/>
      <c r="X1799"/>
      <c r="Y1799"/>
      <c r="Z1799"/>
      <c r="AA1799"/>
      <c r="AB1799"/>
      <c r="AL1799"/>
      <c r="AM1799"/>
      <c r="AN1799"/>
      <c r="AO1799"/>
    </row>
    <row r="1800" spans="1:41" s="2" customFormat="1" x14ac:dyDescent="0.2">
      <c r="A1800"/>
      <c r="B1800"/>
      <c r="C1800"/>
      <c r="D1800"/>
      <c r="E1800"/>
      <c r="F1800"/>
      <c r="G1800"/>
      <c r="U1800"/>
      <c r="V1800"/>
      <c r="W1800"/>
      <c r="X1800"/>
      <c r="Y1800"/>
      <c r="Z1800"/>
      <c r="AA1800"/>
      <c r="AB1800"/>
      <c r="AL1800"/>
      <c r="AM1800"/>
      <c r="AN1800"/>
      <c r="AO1800"/>
    </row>
    <row r="1801" spans="1:41" s="2" customFormat="1" x14ac:dyDescent="0.2">
      <c r="A1801"/>
      <c r="B1801"/>
      <c r="C1801"/>
      <c r="D1801"/>
      <c r="E1801"/>
      <c r="F1801"/>
      <c r="G1801"/>
      <c r="U1801"/>
      <c r="V1801"/>
      <c r="W1801"/>
      <c r="X1801"/>
      <c r="Y1801"/>
      <c r="Z1801"/>
      <c r="AA1801"/>
      <c r="AB1801"/>
      <c r="AL1801"/>
      <c r="AM1801"/>
      <c r="AN1801"/>
      <c r="AO1801"/>
    </row>
    <row r="1802" spans="1:41" s="2" customFormat="1" x14ac:dyDescent="0.2">
      <c r="A1802"/>
      <c r="B1802"/>
      <c r="C1802"/>
      <c r="D1802"/>
      <c r="E1802"/>
      <c r="F1802"/>
      <c r="G1802"/>
      <c r="U1802"/>
      <c r="V1802"/>
      <c r="W1802"/>
      <c r="X1802"/>
      <c r="Y1802"/>
      <c r="Z1802"/>
      <c r="AA1802"/>
      <c r="AB1802"/>
      <c r="AL1802"/>
      <c r="AM1802"/>
      <c r="AN1802"/>
      <c r="AO1802"/>
    </row>
    <row r="1803" spans="1:41" s="2" customFormat="1" x14ac:dyDescent="0.2">
      <c r="A1803"/>
      <c r="B1803"/>
      <c r="C1803"/>
      <c r="D1803"/>
      <c r="E1803"/>
      <c r="F1803"/>
      <c r="G1803"/>
      <c r="U1803"/>
      <c r="V1803"/>
      <c r="W1803"/>
      <c r="X1803"/>
      <c r="Y1803"/>
      <c r="Z1803"/>
      <c r="AA1803"/>
      <c r="AB1803"/>
      <c r="AL1803"/>
      <c r="AM1803"/>
      <c r="AN1803"/>
      <c r="AO1803"/>
    </row>
    <row r="1804" spans="1:41" s="2" customFormat="1" x14ac:dyDescent="0.2">
      <c r="A1804"/>
      <c r="B1804"/>
      <c r="C1804"/>
      <c r="D1804"/>
      <c r="E1804"/>
      <c r="F1804"/>
      <c r="G1804"/>
      <c r="U1804"/>
      <c r="V1804"/>
      <c r="W1804"/>
      <c r="X1804"/>
      <c r="Y1804"/>
      <c r="Z1804"/>
      <c r="AA1804"/>
      <c r="AB1804"/>
      <c r="AL1804"/>
      <c r="AM1804"/>
      <c r="AN1804"/>
      <c r="AO1804"/>
    </row>
    <row r="1805" spans="1:41" s="2" customFormat="1" x14ac:dyDescent="0.2">
      <c r="A1805"/>
      <c r="B1805"/>
      <c r="C1805"/>
      <c r="D1805"/>
      <c r="E1805"/>
      <c r="F1805"/>
      <c r="G1805"/>
      <c r="U1805"/>
      <c r="V1805"/>
      <c r="W1805"/>
      <c r="X1805"/>
      <c r="Y1805"/>
      <c r="Z1805"/>
      <c r="AA1805"/>
      <c r="AB1805"/>
      <c r="AL1805"/>
      <c r="AM1805"/>
      <c r="AN1805"/>
      <c r="AO1805"/>
    </row>
    <row r="1806" spans="1:41" s="2" customFormat="1" x14ac:dyDescent="0.2">
      <c r="A1806"/>
      <c r="B1806"/>
      <c r="C1806"/>
      <c r="D1806"/>
      <c r="E1806"/>
      <c r="F1806"/>
      <c r="G1806"/>
      <c r="U1806"/>
      <c r="V1806"/>
      <c r="W1806"/>
      <c r="X1806"/>
      <c r="Y1806"/>
      <c r="Z1806"/>
      <c r="AA1806"/>
      <c r="AB1806"/>
      <c r="AL1806"/>
      <c r="AM1806"/>
      <c r="AN1806"/>
      <c r="AO1806"/>
    </row>
    <row r="1807" spans="1:41" s="2" customFormat="1" x14ac:dyDescent="0.2">
      <c r="A1807"/>
      <c r="B1807"/>
      <c r="C1807"/>
      <c r="D1807"/>
      <c r="E1807"/>
      <c r="F1807"/>
      <c r="G1807"/>
      <c r="U1807"/>
      <c r="V1807"/>
      <c r="W1807"/>
      <c r="X1807"/>
      <c r="Y1807"/>
      <c r="Z1807"/>
      <c r="AA1807"/>
      <c r="AB1807"/>
      <c r="AL1807"/>
      <c r="AM1807"/>
      <c r="AN1807"/>
      <c r="AO1807"/>
    </row>
    <row r="1808" spans="1:41" s="2" customFormat="1" x14ac:dyDescent="0.2">
      <c r="A1808"/>
      <c r="B1808"/>
      <c r="C1808"/>
      <c r="D1808"/>
      <c r="E1808"/>
      <c r="F1808"/>
      <c r="G1808"/>
      <c r="U1808"/>
      <c r="V1808"/>
      <c r="W1808"/>
      <c r="X1808"/>
      <c r="Y1808"/>
      <c r="Z1808"/>
      <c r="AA1808"/>
      <c r="AB1808"/>
      <c r="AL1808"/>
      <c r="AM1808"/>
      <c r="AN1808"/>
      <c r="AO1808"/>
    </row>
    <row r="1809" spans="1:41" s="2" customFormat="1" x14ac:dyDescent="0.2">
      <c r="A1809"/>
      <c r="B1809"/>
      <c r="C1809"/>
      <c r="D1809"/>
      <c r="E1809"/>
      <c r="F1809"/>
      <c r="G1809"/>
      <c r="U1809"/>
      <c r="V1809"/>
      <c r="W1809"/>
      <c r="X1809"/>
      <c r="Y1809"/>
      <c r="Z1809"/>
      <c r="AA1809"/>
      <c r="AB1809"/>
      <c r="AL1809"/>
      <c r="AM1809"/>
      <c r="AN1809"/>
      <c r="AO1809"/>
    </row>
    <row r="1810" spans="1:41" s="2" customFormat="1" x14ac:dyDescent="0.2">
      <c r="A1810"/>
      <c r="B1810"/>
      <c r="C1810"/>
      <c r="D1810"/>
      <c r="E1810"/>
      <c r="F1810"/>
      <c r="G1810"/>
      <c r="U1810"/>
      <c r="V1810"/>
      <c r="W1810"/>
      <c r="X1810"/>
      <c r="Y1810"/>
      <c r="Z1810"/>
      <c r="AA1810"/>
      <c r="AB1810"/>
      <c r="AL1810"/>
      <c r="AM1810"/>
      <c r="AN1810"/>
      <c r="AO1810"/>
    </row>
    <row r="1811" spans="1:41" s="2" customFormat="1" x14ac:dyDescent="0.2">
      <c r="A1811"/>
      <c r="B1811"/>
      <c r="C1811"/>
      <c r="D1811"/>
      <c r="E1811"/>
      <c r="F1811"/>
      <c r="G1811"/>
      <c r="U1811"/>
      <c r="V1811"/>
      <c r="W1811"/>
      <c r="X1811"/>
      <c r="Y1811"/>
      <c r="Z1811"/>
      <c r="AA1811"/>
      <c r="AB1811"/>
      <c r="AL1811"/>
      <c r="AM1811"/>
      <c r="AN1811"/>
      <c r="AO1811"/>
    </row>
    <row r="1812" spans="1:41" s="2" customFormat="1" x14ac:dyDescent="0.2">
      <c r="A1812"/>
      <c r="B1812"/>
      <c r="C1812"/>
      <c r="D1812"/>
      <c r="E1812"/>
      <c r="F1812"/>
      <c r="G1812"/>
      <c r="U1812"/>
      <c r="V1812"/>
      <c r="W1812"/>
      <c r="X1812"/>
      <c r="Y1812"/>
      <c r="Z1812"/>
      <c r="AA1812"/>
      <c r="AB1812"/>
      <c r="AL1812"/>
      <c r="AM1812"/>
      <c r="AN1812"/>
      <c r="AO1812"/>
    </row>
    <row r="1813" spans="1:41" s="2" customFormat="1" x14ac:dyDescent="0.2">
      <c r="A1813"/>
      <c r="B1813"/>
      <c r="C1813"/>
      <c r="D1813"/>
      <c r="E1813"/>
      <c r="F1813"/>
      <c r="G1813"/>
      <c r="U1813"/>
      <c r="V1813"/>
      <c r="W1813"/>
      <c r="X1813"/>
      <c r="Y1813"/>
      <c r="Z1813"/>
      <c r="AA1813"/>
      <c r="AB1813"/>
      <c r="AL1813"/>
      <c r="AM1813"/>
      <c r="AN1813"/>
      <c r="AO1813"/>
    </row>
    <row r="1814" spans="1:41" s="2" customFormat="1" x14ac:dyDescent="0.2">
      <c r="A1814"/>
      <c r="B1814"/>
      <c r="C1814"/>
      <c r="D1814"/>
      <c r="E1814"/>
      <c r="F1814"/>
      <c r="G1814"/>
      <c r="U1814"/>
      <c r="V1814"/>
      <c r="W1814"/>
      <c r="X1814"/>
      <c r="Y1814"/>
      <c r="Z1814"/>
      <c r="AA1814"/>
      <c r="AB1814"/>
      <c r="AL1814"/>
      <c r="AM1814"/>
      <c r="AN1814"/>
      <c r="AO1814"/>
    </row>
    <row r="1815" spans="1:41" s="2" customFormat="1" x14ac:dyDescent="0.2">
      <c r="A1815"/>
      <c r="B1815"/>
      <c r="C1815"/>
      <c r="D1815"/>
      <c r="E1815"/>
      <c r="F1815"/>
      <c r="G1815"/>
      <c r="U1815"/>
      <c r="V1815"/>
      <c r="W1815"/>
      <c r="X1815"/>
      <c r="Y1815"/>
      <c r="Z1815"/>
      <c r="AA1815"/>
      <c r="AB1815"/>
      <c r="AL1815"/>
      <c r="AM1815"/>
      <c r="AN1815"/>
      <c r="AO1815"/>
    </row>
    <row r="1816" spans="1:41" s="2" customFormat="1" x14ac:dyDescent="0.2">
      <c r="A1816"/>
      <c r="B1816"/>
      <c r="C1816"/>
      <c r="D1816"/>
      <c r="E1816"/>
      <c r="F1816"/>
      <c r="G1816"/>
      <c r="U1816"/>
      <c r="V1816"/>
      <c r="W1816"/>
      <c r="X1816"/>
      <c r="Y1816"/>
      <c r="Z1816"/>
      <c r="AA1816"/>
      <c r="AB1816"/>
      <c r="AL1816"/>
      <c r="AM1816"/>
      <c r="AN1816"/>
      <c r="AO1816"/>
    </row>
    <row r="1817" spans="1:41" s="2" customFormat="1" x14ac:dyDescent="0.2">
      <c r="A1817"/>
      <c r="B1817"/>
      <c r="C1817"/>
      <c r="D1817"/>
      <c r="E1817"/>
      <c r="F1817"/>
      <c r="G1817"/>
      <c r="U1817"/>
      <c r="V1817"/>
      <c r="W1817"/>
      <c r="X1817"/>
      <c r="Y1817"/>
      <c r="Z1817"/>
      <c r="AA1817"/>
      <c r="AB1817"/>
      <c r="AL1817"/>
      <c r="AM1817"/>
      <c r="AN1817"/>
      <c r="AO1817"/>
    </row>
    <row r="1818" spans="1:41" s="2" customFormat="1" x14ac:dyDescent="0.2">
      <c r="A1818"/>
      <c r="B1818"/>
      <c r="C1818"/>
      <c r="D1818"/>
      <c r="E1818"/>
      <c r="F1818"/>
      <c r="G1818"/>
      <c r="U1818"/>
      <c r="V1818"/>
      <c r="W1818"/>
      <c r="X1818"/>
      <c r="Y1818"/>
      <c r="Z1818"/>
      <c r="AA1818"/>
      <c r="AB1818"/>
      <c r="AL1818"/>
      <c r="AM1818"/>
      <c r="AN1818"/>
      <c r="AO1818"/>
    </row>
    <row r="1819" spans="1:41" s="2" customFormat="1" x14ac:dyDescent="0.2">
      <c r="A1819"/>
      <c r="B1819"/>
      <c r="C1819"/>
      <c r="D1819"/>
      <c r="E1819"/>
      <c r="F1819"/>
      <c r="G1819"/>
      <c r="U1819"/>
      <c r="V1819"/>
      <c r="W1819"/>
      <c r="X1819"/>
      <c r="Y1819"/>
      <c r="Z1819"/>
      <c r="AA1819"/>
      <c r="AB1819"/>
      <c r="AL1819"/>
      <c r="AM1819"/>
      <c r="AN1819"/>
      <c r="AO1819"/>
    </row>
    <row r="1820" spans="1:41" s="2" customFormat="1" x14ac:dyDescent="0.2">
      <c r="A1820"/>
      <c r="B1820"/>
      <c r="C1820"/>
      <c r="D1820"/>
      <c r="E1820"/>
      <c r="F1820"/>
      <c r="G1820"/>
      <c r="U1820"/>
      <c r="V1820"/>
      <c r="W1820"/>
      <c r="X1820"/>
      <c r="Y1820"/>
      <c r="Z1820"/>
      <c r="AA1820"/>
      <c r="AB1820"/>
      <c r="AL1820"/>
      <c r="AM1820"/>
      <c r="AN1820"/>
      <c r="AO1820"/>
    </row>
    <row r="1821" spans="1:41" s="2" customFormat="1" x14ac:dyDescent="0.2">
      <c r="A1821"/>
      <c r="B1821"/>
      <c r="C1821"/>
      <c r="D1821"/>
      <c r="E1821"/>
      <c r="F1821"/>
      <c r="G1821"/>
      <c r="U1821"/>
      <c r="V1821"/>
      <c r="W1821"/>
      <c r="X1821"/>
      <c r="Y1821"/>
      <c r="Z1821"/>
      <c r="AA1821"/>
      <c r="AB1821"/>
      <c r="AL1821"/>
      <c r="AM1821"/>
      <c r="AN1821"/>
      <c r="AO1821"/>
    </row>
    <row r="1822" spans="1:41" s="2" customFormat="1" x14ac:dyDescent="0.2">
      <c r="A1822"/>
      <c r="B1822"/>
      <c r="C1822"/>
      <c r="D1822"/>
      <c r="E1822"/>
      <c r="F1822"/>
      <c r="G1822"/>
      <c r="U1822"/>
      <c r="V1822"/>
      <c r="W1822"/>
      <c r="X1822"/>
      <c r="Y1822"/>
      <c r="Z1822"/>
      <c r="AA1822"/>
      <c r="AB1822"/>
      <c r="AL1822"/>
      <c r="AM1822"/>
      <c r="AN1822"/>
      <c r="AO1822"/>
    </row>
    <row r="1823" spans="1:41" s="2" customFormat="1" x14ac:dyDescent="0.2">
      <c r="A1823"/>
      <c r="B1823"/>
      <c r="C1823"/>
      <c r="D1823"/>
      <c r="E1823"/>
      <c r="F1823"/>
      <c r="G1823"/>
      <c r="U1823"/>
      <c r="V1823"/>
      <c r="W1823"/>
      <c r="X1823"/>
      <c r="Y1823"/>
      <c r="Z1823"/>
      <c r="AA1823"/>
      <c r="AB1823"/>
      <c r="AL1823"/>
      <c r="AM1823"/>
      <c r="AN1823"/>
      <c r="AO1823"/>
    </row>
    <row r="1824" spans="1:41" s="2" customFormat="1" x14ac:dyDescent="0.2">
      <c r="A1824"/>
      <c r="B1824"/>
      <c r="C1824"/>
      <c r="D1824"/>
      <c r="E1824"/>
      <c r="F1824"/>
      <c r="G1824"/>
      <c r="U1824"/>
      <c r="V1824"/>
      <c r="W1824"/>
      <c r="X1824"/>
      <c r="Y1824"/>
      <c r="Z1824"/>
      <c r="AA1824"/>
      <c r="AB1824"/>
      <c r="AL1824"/>
      <c r="AM1824"/>
      <c r="AN1824"/>
      <c r="AO1824"/>
    </row>
    <row r="1825" spans="1:41" s="2" customFormat="1" x14ac:dyDescent="0.2">
      <c r="A1825"/>
      <c r="B1825"/>
      <c r="C1825"/>
      <c r="D1825"/>
      <c r="E1825"/>
      <c r="F1825"/>
      <c r="G1825"/>
      <c r="U1825"/>
      <c r="V1825"/>
      <c r="W1825"/>
      <c r="X1825"/>
      <c r="Y1825"/>
      <c r="Z1825"/>
      <c r="AA1825"/>
      <c r="AB1825"/>
      <c r="AL1825"/>
      <c r="AM1825"/>
      <c r="AN1825"/>
      <c r="AO1825"/>
    </row>
    <row r="1826" spans="1:41" s="2" customFormat="1" x14ac:dyDescent="0.2">
      <c r="A1826"/>
      <c r="B1826"/>
      <c r="C1826"/>
      <c r="D1826"/>
      <c r="E1826"/>
      <c r="F1826"/>
      <c r="G1826"/>
      <c r="U1826"/>
      <c r="V1826"/>
      <c r="W1826"/>
      <c r="X1826"/>
      <c r="Y1826"/>
      <c r="Z1826"/>
      <c r="AA1826"/>
      <c r="AB1826"/>
      <c r="AL1826"/>
      <c r="AM1826"/>
      <c r="AN1826"/>
      <c r="AO1826"/>
    </row>
    <row r="1827" spans="1:41" s="2" customFormat="1" x14ac:dyDescent="0.2">
      <c r="A1827"/>
      <c r="B1827"/>
      <c r="C1827"/>
      <c r="D1827"/>
      <c r="E1827"/>
      <c r="F1827"/>
      <c r="G1827"/>
      <c r="U1827"/>
      <c r="V1827"/>
      <c r="W1827"/>
      <c r="X1827"/>
      <c r="Y1827"/>
      <c r="Z1827"/>
      <c r="AA1827"/>
      <c r="AB1827"/>
      <c r="AL1827"/>
      <c r="AM1827"/>
      <c r="AN1827"/>
      <c r="AO1827"/>
    </row>
    <row r="1828" spans="1:41" s="2" customFormat="1" x14ac:dyDescent="0.2">
      <c r="A1828"/>
      <c r="B1828"/>
      <c r="C1828"/>
      <c r="D1828"/>
      <c r="E1828"/>
      <c r="F1828"/>
      <c r="G1828"/>
      <c r="U1828"/>
      <c r="V1828"/>
      <c r="W1828"/>
      <c r="X1828"/>
      <c r="Y1828"/>
      <c r="Z1828"/>
      <c r="AA1828"/>
      <c r="AB1828"/>
      <c r="AL1828"/>
      <c r="AM1828"/>
      <c r="AN1828"/>
      <c r="AO1828"/>
    </row>
    <row r="1829" spans="1:41" s="2" customFormat="1" x14ac:dyDescent="0.2">
      <c r="A1829"/>
      <c r="B1829"/>
      <c r="C1829"/>
      <c r="D1829"/>
      <c r="E1829"/>
      <c r="F1829"/>
      <c r="G1829"/>
      <c r="U1829"/>
      <c r="V1829"/>
      <c r="W1829"/>
      <c r="X1829"/>
      <c r="Y1829"/>
      <c r="Z1829"/>
      <c r="AA1829"/>
      <c r="AB1829"/>
      <c r="AL1829"/>
      <c r="AM1829"/>
      <c r="AN1829"/>
      <c r="AO1829"/>
    </row>
    <row r="1830" spans="1:41" s="2" customFormat="1" x14ac:dyDescent="0.2">
      <c r="A1830"/>
      <c r="B1830"/>
      <c r="C1830"/>
      <c r="D1830"/>
      <c r="E1830"/>
      <c r="F1830"/>
      <c r="G1830"/>
      <c r="U1830"/>
      <c r="V1830"/>
      <c r="W1830"/>
      <c r="X1830"/>
      <c r="Y1830"/>
      <c r="Z1830"/>
      <c r="AA1830"/>
      <c r="AB1830"/>
      <c r="AL1830"/>
      <c r="AM1830"/>
      <c r="AN1830"/>
      <c r="AO1830"/>
    </row>
    <row r="1831" spans="1:41" s="2" customFormat="1" x14ac:dyDescent="0.2">
      <c r="A1831"/>
      <c r="B1831"/>
      <c r="C1831"/>
      <c r="D1831"/>
      <c r="E1831"/>
      <c r="F1831"/>
      <c r="G1831"/>
      <c r="U1831"/>
      <c r="V1831"/>
      <c r="W1831"/>
      <c r="X1831"/>
      <c r="Y1831"/>
      <c r="Z1831"/>
      <c r="AA1831"/>
      <c r="AB1831"/>
      <c r="AL1831"/>
      <c r="AM1831"/>
      <c r="AN1831"/>
      <c r="AO1831"/>
    </row>
    <row r="1832" spans="1:41" s="2" customFormat="1" x14ac:dyDescent="0.2">
      <c r="A1832"/>
      <c r="B1832"/>
      <c r="C1832"/>
      <c r="D1832"/>
      <c r="E1832"/>
      <c r="F1832"/>
      <c r="G1832"/>
      <c r="U1832"/>
      <c r="V1832"/>
      <c r="W1832"/>
      <c r="X1832"/>
      <c r="Y1832"/>
      <c r="Z1832"/>
      <c r="AA1832"/>
      <c r="AB1832"/>
      <c r="AL1832"/>
      <c r="AM1832"/>
      <c r="AN1832"/>
      <c r="AO1832"/>
    </row>
    <row r="1833" spans="1:41" s="2" customFormat="1" x14ac:dyDescent="0.2">
      <c r="A1833"/>
      <c r="B1833"/>
      <c r="C1833"/>
      <c r="D1833"/>
      <c r="E1833"/>
      <c r="F1833"/>
      <c r="G1833"/>
      <c r="U1833"/>
      <c r="V1833"/>
      <c r="W1833"/>
      <c r="X1833"/>
      <c r="Y1833"/>
      <c r="Z1833"/>
      <c r="AA1833"/>
      <c r="AB1833"/>
      <c r="AL1833"/>
      <c r="AM1833"/>
      <c r="AN1833"/>
      <c r="AO1833"/>
    </row>
    <row r="1834" spans="1:41" s="2" customFormat="1" x14ac:dyDescent="0.2">
      <c r="A1834"/>
      <c r="B1834"/>
      <c r="C1834"/>
      <c r="D1834"/>
      <c r="E1834"/>
      <c r="F1834"/>
      <c r="G1834"/>
      <c r="U1834"/>
      <c r="V1834"/>
      <c r="W1834"/>
      <c r="X1834"/>
      <c r="Y1834"/>
      <c r="Z1834"/>
      <c r="AA1834"/>
      <c r="AB1834"/>
      <c r="AL1834"/>
      <c r="AM1834"/>
      <c r="AN1834"/>
      <c r="AO1834"/>
    </row>
    <row r="1835" spans="1:41" s="2" customFormat="1" x14ac:dyDescent="0.2">
      <c r="A1835"/>
      <c r="B1835"/>
      <c r="C1835"/>
      <c r="D1835"/>
      <c r="E1835"/>
      <c r="F1835"/>
      <c r="G1835"/>
      <c r="U1835"/>
      <c r="V1835"/>
      <c r="W1835"/>
      <c r="X1835"/>
      <c r="Y1835"/>
      <c r="Z1835"/>
      <c r="AA1835"/>
      <c r="AB1835"/>
      <c r="AL1835"/>
      <c r="AM1835"/>
      <c r="AN1835"/>
      <c r="AO1835"/>
    </row>
    <row r="1836" spans="1:41" s="2" customFormat="1" x14ac:dyDescent="0.2">
      <c r="A1836"/>
      <c r="B1836"/>
      <c r="C1836"/>
      <c r="D1836"/>
      <c r="E1836"/>
      <c r="F1836"/>
      <c r="G1836"/>
      <c r="U1836"/>
      <c r="V1836"/>
      <c r="W1836"/>
      <c r="X1836"/>
      <c r="Y1836"/>
      <c r="Z1836"/>
      <c r="AA1836"/>
      <c r="AB1836"/>
      <c r="AL1836"/>
      <c r="AM1836"/>
      <c r="AN1836"/>
      <c r="AO1836"/>
    </row>
    <row r="1837" spans="1:41" s="2" customFormat="1" x14ac:dyDescent="0.2">
      <c r="A1837"/>
      <c r="B1837"/>
      <c r="C1837"/>
      <c r="D1837"/>
      <c r="E1837"/>
      <c r="F1837"/>
      <c r="G1837"/>
      <c r="U1837"/>
      <c r="V1837"/>
      <c r="W1837"/>
      <c r="X1837"/>
      <c r="Y1837"/>
      <c r="Z1837"/>
      <c r="AA1837"/>
      <c r="AB1837"/>
      <c r="AL1837"/>
      <c r="AM1837"/>
      <c r="AN1837"/>
      <c r="AO1837"/>
    </row>
    <row r="1838" spans="1:41" s="2" customFormat="1" x14ac:dyDescent="0.2">
      <c r="A1838"/>
      <c r="B1838"/>
      <c r="C1838"/>
      <c r="D1838"/>
      <c r="E1838"/>
      <c r="F1838"/>
      <c r="G1838"/>
      <c r="U1838"/>
      <c r="V1838"/>
      <c r="W1838"/>
      <c r="X1838"/>
      <c r="Y1838"/>
      <c r="Z1838"/>
      <c r="AA1838"/>
      <c r="AB1838"/>
      <c r="AL1838"/>
      <c r="AM1838"/>
      <c r="AN1838"/>
      <c r="AO1838"/>
    </row>
    <row r="1839" spans="1:41" s="2" customFormat="1" x14ac:dyDescent="0.2">
      <c r="A1839"/>
      <c r="B1839"/>
      <c r="C1839"/>
      <c r="D1839"/>
      <c r="E1839"/>
      <c r="F1839"/>
      <c r="G1839"/>
      <c r="U1839"/>
      <c r="V1839"/>
      <c r="W1839"/>
      <c r="X1839"/>
      <c r="Y1839"/>
      <c r="Z1839"/>
      <c r="AA1839"/>
      <c r="AB1839"/>
      <c r="AL1839"/>
      <c r="AM1839"/>
      <c r="AN1839"/>
      <c r="AO1839"/>
    </row>
    <row r="1840" spans="1:41" s="2" customFormat="1" x14ac:dyDescent="0.2">
      <c r="A1840"/>
      <c r="B1840"/>
      <c r="C1840"/>
      <c r="D1840"/>
      <c r="E1840"/>
      <c r="F1840"/>
      <c r="G1840"/>
      <c r="U1840"/>
      <c r="V1840"/>
      <c r="W1840"/>
      <c r="X1840"/>
      <c r="Y1840"/>
      <c r="Z1840"/>
      <c r="AA1840"/>
      <c r="AB1840"/>
      <c r="AL1840"/>
      <c r="AM1840"/>
      <c r="AN1840"/>
      <c r="AO1840"/>
    </row>
    <row r="1841" spans="1:41" s="2" customFormat="1" x14ac:dyDescent="0.2">
      <c r="A1841"/>
      <c r="B1841"/>
      <c r="C1841"/>
      <c r="D1841"/>
      <c r="E1841"/>
      <c r="F1841"/>
      <c r="G1841"/>
      <c r="U1841"/>
      <c r="V1841"/>
      <c r="W1841"/>
      <c r="X1841"/>
      <c r="Y1841"/>
      <c r="Z1841"/>
      <c r="AA1841"/>
      <c r="AB1841"/>
      <c r="AL1841"/>
      <c r="AM1841"/>
      <c r="AN1841"/>
      <c r="AO1841"/>
    </row>
    <row r="1842" spans="1:41" s="2" customFormat="1" x14ac:dyDescent="0.2">
      <c r="A1842"/>
      <c r="B1842"/>
      <c r="C1842"/>
      <c r="D1842"/>
      <c r="E1842"/>
      <c r="F1842"/>
      <c r="G1842"/>
      <c r="U1842"/>
      <c r="V1842"/>
      <c r="W1842"/>
      <c r="X1842"/>
      <c r="Y1842"/>
      <c r="Z1842"/>
      <c r="AA1842"/>
      <c r="AB1842"/>
      <c r="AL1842"/>
      <c r="AM1842"/>
      <c r="AN1842"/>
      <c r="AO1842"/>
    </row>
    <row r="1843" spans="1:41" s="2" customFormat="1" x14ac:dyDescent="0.2">
      <c r="A1843"/>
      <c r="B1843"/>
      <c r="C1843"/>
      <c r="D1843"/>
      <c r="E1843"/>
      <c r="F1843"/>
      <c r="G1843"/>
      <c r="U1843"/>
      <c r="V1843"/>
      <c r="W1843"/>
      <c r="X1843"/>
      <c r="Y1843"/>
      <c r="Z1843"/>
      <c r="AA1843"/>
      <c r="AB1843"/>
      <c r="AL1843"/>
      <c r="AM1843"/>
      <c r="AN1843"/>
      <c r="AO1843"/>
    </row>
    <row r="1844" spans="1:41" s="2" customFormat="1" x14ac:dyDescent="0.2">
      <c r="A1844"/>
      <c r="B1844"/>
      <c r="C1844"/>
      <c r="D1844"/>
      <c r="E1844"/>
      <c r="F1844"/>
      <c r="G1844"/>
      <c r="U1844"/>
      <c r="V1844"/>
      <c r="W1844"/>
      <c r="X1844"/>
      <c r="Y1844"/>
      <c r="Z1844"/>
      <c r="AA1844"/>
      <c r="AB1844"/>
      <c r="AL1844"/>
      <c r="AM1844"/>
      <c r="AN1844"/>
      <c r="AO1844"/>
    </row>
    <row r="1845" spans="1:41" s="2" customFormat="1" x14ac:dyDescent="0.2">
      <c r="A1845"/>
      <c r="B1845"/>
      <c r="C1845"/>
      <c r="D1845"/>
      <c r="E1845"/>
      <c r="F1845"/>
      <c r="G1845"/>
      <c r="U1845"/>
      <c r="V1845"/>
      <c r="W1845"/>
      <c r="X1845"/>
      <c r="Y1845"/>
      <c r="Z1845"/>
      <c r="AA1845"/>
      <c r="AB1845"/>
      <c r="AL1845"/>
      <c r="AM1845"/>
      <c r="AN1845"/>
      <c r="AO1845"/>
    </row>
    <row r="1846" spans="1:41" s="2" customFormat="1" x14ac:dyDescent="0.2">
      <c r="A1846"/>
      <c r="B1846"/>
      <c r="C1846"/>
      <c r="D1846"/>
      <c r="E1846"/>
      <c r="F1846"/>
      <c r="G1846"/>
      <c r="U1846"/>
      <c r="V1846"/>
      <c r="W1846"/>
      <c r="X1846"/>
      <c r="Y1846"/>
      <c r="Z1846"/>
      <c r="AA1846"/>
      <c r="AB1846"/>
      <c r="AL1846"/>
      <c r="AM1846"/>
      <c r="AN1846"/>
      <c r="AO1846"/>
    </row>
    <row r="1847" spans="1:41" s="2" customFormat="1" x14ac:dyDescent="0.2">
      <c r="A1847"/>
      <c r="B1847"/>
      <c r="C1847"/>
      <c r="D1847"/>
      <c r="E1847"/>
      <c r="F1847"/>
      <c r="G1847"/>
      <c r="U1847"/>
      <c r="V1847"/>
      <c r="W1847"/>
      <c r="X1847"/>
      <c r="Y1847"/>
      <c r="Z1847"/>
      <c r="AA1847"/>
      <c r="AB1847"/>
      <c r="AL1847"/>
      <c r="AM1847"/>
      <c r="AN1847"/>
      <c r="AO1847"/>
    </row>
    <row r="1848" spans="1:41" s="2" customFormat="1" x14ac:dyDescent="0.2">
      <c r="A1848"/>
      <c r="B1848"/>
      <c r="C1848"/>
      <c r="D1848"/>
      <c r="E1848"/>
      <c r="F1848"/>
      <c r="G1848"/>
      <c r="U1848"/>
      <c r="V1848"/>
      <c r="W1848"/>
      <c r="X1848"/>
      <c r="Y1848"/>
      <c r="Z1848"/>
      <c r="AA1848"/>
      <c r="AB1848"/>
      <c r="AL1848"/>
      <c r="AM1848"/>
      <c r="AN1848"/>
      <c r="AO1848"/>
    </row>
    <row r="1849" spans="1:41" s="2" customFormat="1" x14ac:dyDescent="0.2">
      <c r="A1849"/>
      <c r="B1849"/>
      <c r="C1849"/>
      <c r="D1849"/>
      <c r="E1849"/>
      <c r="F1849"/>
      <c r="G1849"/>
      <c r="U1849"/>
      <c r="V1849"/>
      <c r="W1849"/>
      <c r="X1849"/>
      <c r="Y1849"/>
      <c r="Z1849"/>
      <c r="AA1849"/>
      <c r="AB1849"/>
      <c r="AL1849"/>
      <c r="AM1849"/>
      <c r="AN1849"/>
      <c r="AO1849"/>
    </row>
    <row r="1850" spans="1:41" s="2" customFormat="1" x14ac:dyDescent="0.2">
      <c r="A1850"/>
      <c r="B1850"/>
      <c r="C1850"/>
      <c r="D1850"/>
      <c r="E1850"/>
      <c r="F1850"/>
      <c r="G1850"/>
      <c r="U1850"/>
      <c r="V1850"/>
      <c r="W1850"/>
      <c r="X1850"/>
      <c r="Y1850"/>
      <c r="Z1850"/>
      <c r="AA1850"/>
      <c r="AB1850"/>
      <c r="AL1850"/>
      <c r="AM1850"/>
      <c r="AN1850"/>
      <c r="AO1850"/>
    </row>
    <row r="1851" spans="1:41" s="2" customFormat="1" x14ac:dyDescent="0.2">
      <c r="A1851"/>
      <c r="B1851"/>
      <c r="C1851"/>
      <c r="D1851"/>
      <c r="E1851"/>
      <c r="F1851"/>
      <c r="G1851"/>
      <c r="U1851"/>
      <c r="V1851"/>
      <c r="W1851"/>
      <c r="X1851"/>
      <c r="Y1851"/>
      <c r="Z1851"/>
      <c r="AA1851"/>
      <c r="AB1851"/>
      <c r="AL1851"/>
      <c r="AM1851"/>
      <c r="AN1851"/>
      <c r="AO1851"/>
    </row>
    <row r="1852" spans="1:41" s="2" customFormat="1" x14ac:dyDescent="0.2">
      <c r="A1852"/>
      <c r="B1852"/>
      <c r="C1852"/>
      <c r="D1852"/>
      <c r="E1852"/>
      <c r="F1852"/>
      <c r="G1852"/>
      <c r="U1852"/>
      <c r="V1852"/>
      <c r="W1852"/>
      <c r="X1852"/>
      <c r="Y1852"/>
      <c r="Z1852"/>
      <c r="AA1852"/>
      <c r="AB1852"/>
      <c r="AL1852"/>
      <c r="AM1852"/>
      <c r="AN1852"/>
      <c r="AO1852"/>
    </row>
    <row r="1853" spans="1:41" s="2" customFormat="1" x14ac:dyDescent="0.2">
      <c r="A1853"/>
      <c r="B1853"/>
      <c r="C1853"/>
      <c r="D1853"/>
      <c r="E1853"/>
      <c r="F1853"/>
      <c r="G1853"/>
      <c r="U1853"/>
      <c r="V1853"/>
      <c r="W1853"/>
      <c r="X1853"/>
      <c r="Y1853"/>
      <c r="Z1853"/>
      <c r="AA1853"/>
      <c r="AB1853"/>
      <c r="AL1853"/>
      <c r="AM1853"/>
      <c r="AN1853"/>
      <c r="AO1853"/>
    </row>
    <row r="1854" spans="1:41" s="2" customFormat="1" x14ac:dyDescent="0.2">
      <c r="A1854"/>
      <c r="B1854"/>
      <c r="C1854"/>
      <c r="D1854"/>
      <c r="E1854"/>
      <c r="F1854"/>
      <c r="G1854"/>
      <c r="U1854"/>
      <c r="V1854"/>
      <c r="W1854"/>
      <c r="X1854"/>
      <c r="Y1854"/>
      <c r="Z1854"/>
      <c r="AA1854"/>
      <c r="AB1854"/>
      <c r="AL1854"/>
      <c r="AM1854"/>
      <c r="AN1854"/>
      <c r="AO1854"/>
    </row>
    <row r="1855" spans="1:41" s="2" customFormat="1" x14ac:dyDescent="0.2">
      <c r="A1855"/>
      <c r="B1855"/>
      <c r="C1855"/>
      <c r="D1855"/>
      <c r="E1855"/>
      <c r="F1855"/>
      <c r="G1855"/>
      <c r="U1855"/>
      <c r="V1855"/>
      <c r="W1855"/>
      <c r="X1855"/>
      <c r="Y1855"/>
      <c r="Z1855"/>
      <c r="AA1855"/>
      <c r="AB1855"/>
      <c r="AL1855"/>
      <c r="AM1855"/>
      <c r="AN1855"/>
      <c r="AO1855"/>
    </row>
    <row r="1856" spans="1:41" s="2" customFormat="1" x14ac:dyDescent="0.2">
      <c r="A1856"/>
      <c r="B1856"/>
      <c r="C1856"/>
      <c r="D1856"/>
      <c r="E1856"/>
      <c r="F1856"/>
      <c r="G1856"/>
      <c r="U1856"/>
      <c r="V1856"/>
      <c r="W1856"/>
      <c r="X1856"/>
      <c r="Y1856"/>
      <c r="Z1856"/>
      <c r="AA1856"/>
      <c r="AB1856"/>
      <c r="AL1856"/>
      <c r="AM1856"/>
      <c r="AN1856"/>
      <c r="AO1856"/>
    </row>
    <row r="1857" spans="1:41" s="2" customFormat="1" x14ac:dyDescent="0.2">
      <c r="A1857"/>
      <c r="B1857"/>
      <c r="C1857"/>
      <c r="D1857"/>
      <c r="E1857"/>
      <c r="F1857"/>
      <c r="G1857"/>
      <c r="U1857"/>
      <c r="V1857"/>
      <c r="W1857"/>
      <c r="X1857"/>
      <c r="Y1857"/>
      <c r="Z1857"/>
      <c r="AA1857"/>
      <c r="AB1857"/>
      <c r="AL1857"/>
      <c r="AM1857"/>
      <c r="AN1857"/>
      <c r="AO1857"/>
    </row>
    <row r="1858" spans="1:41" s="2" customFormat="1" x14ac:dyDescent="0.2">
      <c r="A1858"/>
      <c r="B1858"/>
      <c r="C1858"/>
      <c r="D1858"/>
      <c r="E1858"/>
      <c r="F1858"/>
      <c r="G1858"/>
      <c r="U1858"/>
      <c r="V1858"/>
      <c r="W1858"/>
      <c r="X1858"/>
      <c r="Y1858"/>
      <c r="Z1858"/>
      <c r="AA1858"/>
      <c r="AB1858"/>
      <c r="AL1858"/>
      <c r="AM1858"/>
      <c r="AN1858"/>
      <c r="AO1858"/>
    </row>
    <row r="1859" spans="1:41" s="2" customFormat="1" x14ac:dyDescent="0.2">
      <c r="A1859"/>
      <c r="B1859"/>
      <c r="C1859"/>
      <c r="D1859"/>
      <c r="E1859"/>
      <c r="F1859"/>
      <c r="G1859"/>
      <c r="U1859"/>
      <c r="V1859"/>
      <c r="W1859"/>
      <c r="X1859"/>
      <c r="Y1859"/>
      <c r="Z1859"/>
      <c r="AA1859"/>
      <c r="AB1859"/>
      <c r="AL1859"/>
      <c r="AM1859"/>
      <c r="AN1859"/>
      <c r="AO1859"/>
    </row>
    <row r="1860" spans="1:41" s="2" customFormat="1" x14ac:dyDescent="0.2">
      <c r="A1860"/>
      <c r="B1860"/>
      <c r="C1860"/>
      <c r="D1860"/>
      <c r="E1860"/>
      <c r="F1860"/>
      <c r="G1860"/>
      <c r="U1860"/>
      <c r="V1860"/>
      <c r="W1860"/>
      <c r="X1860"/>
      <c r="Y1860"/>
      <c r="Z1860"/>
      <c r="AA1860"/>
      <c r="AB1860"/>
      <c r="AL1860"/>
      <c r="AM1860"/>
      <c r="AN1860"/>
      <c r="AO1860"/>
    </row>
    <row r="1861" spans="1:41" s="2" customFormat="1" x14ac:dyDescent="0.2">
      <c r="A1861"/>
      <c r="B1861"/>
      <c r="C1861"/>
      <c r="D1861"/>
      <c r="E1861"/>
      <c r="F1861"/>
      <c r="G1861"/>
      <c r="U1861"/>
      <c r="V1861"/>
      <c r="W1861"/>
      <c r="X1861"/>
      <c r="Y1861"/>
      <c r="Z1861"/>
      <c r="AA1861"/>
      <c r="AB1861"/>
      <c r="AL1861"/>
      <c r="AM1861"/>
      <c r="AN1861"/>
      <c r="AO1861"/>
    </row>
    <row r="1862" spans="1:41" s="2" customFormat="1" x14ac:dyDescent="0.2">
      <c r="A1862"/>
      <c r="B1862"/>
      <c r="C1862"/>
      <c r="D1862"/>
      <c r="E1862"/>
      <c r="F1862"/>
      <c r="G1862"/>
      <c r="U1862"/>
      <c r="V1862"/>
      <c r="W1862"/>
      <c r="X1862"/>
      <c r="Y1862"/>
      <c r="Z1862"/>
      <c r="AA1862"/>
      <c r="AB1862"/>
      <c r="AL1862"/>
      <c r="AM1862"/>
      <c r="AN1862"/>
      <c r="AO1862"/>
    </row>
    <row r="1863" spans="1:41" s="2" customFormat="1" x14ac:dyDescent="0.2">
      <c r="A1863"/>
      <c r="B1863"/>
      <c r="C1863"/>
      <c r="D1863"/>
      <c r="E1863"/>
      <c r="F1863"/>
      <c r="G1863"/>
      <c r="U1863"/>
      <c r="V1863"/>
      <c r="W1863"/>
      <c r="X1863"/>
      <c r="Y1863"/>
      <c r="Z1863"/>
      <c r="AA1863"/>
      <c r="AB1863"/>
      <c r="AL1863"/>
      <c r="AM1863"/>
      <c r="AN1863"/>
      <c r="AO1863"/>
    </row>
    <row r="1864" spans="1:41" s="2" customFormat="1" x14ac:dyDescent="0.2">
      <c r="A1864"/>
      <c r="B1864"/>
      <c r="C1864"/>
      <c r="D1864"/>
      <c r="E1864"/>
      <c r="F1864"/>
      <c r="G1864"/>
      <c r="U1864"/>
      <c r="V1864"/>
      <c r="W1864"/>
      <c r="X1864"/>
      <c r="Y1864"/>
      <c r="Z1864"/>
      <c r="AA1864"/>
      <c r="AB1864"/>
      <c r="AL1864"/>
      <c r="AM1864"/>
      <c r="AN1864"/>
      <c r="AO1864"/>
    </row>
    <row r="1865" spans="1:41" s="2" customFormat="1" x14ac:dyDescent="0.2">
      <c r="A1865"/>
      <c r="B1865"/>
      <c r="C1865"/>
      <c r="D1865"/>
      <c r="E1865"/>
      <c r="F1865"/>
      <c r="G1865"/>
      <c r="U1865"/>
      <c r="V1865"/>
      <c r="W1865"/>
      <c r="X1865"/>
      <c r="Y1865"/>
      <c r="Z1865"/>
      <c r="AA1865"/>
      <c r="AB1865"/>
      <c r="AL1865"/>
      <c r="AM1865"/>
      <c r="AN1865"/>
      <c r="AO1865"/>
    </row>
    <row r="1866" spans="1:41" s="2" customFormat="1" x14ac:dyDescent="0.2">
      <c r="A1866"/>
      <c r="B1866"/>
      <c r="C1866"/>
      <c r="D1866"/>
      <c r="E1866"/>
      <c r="F1866"/>
      <c r="G1866"/>
      <c r="U1866"/>
      <c r="V1866"/>
      <c r="W1866"/>
      <c r="X1866"/>
      <c r="Y1866"/>
      <c r="Z1866"/>
      <c r="AA1866"/>
      <c r="AB1866"/>
      <c r="AL1866"/>
      <c r="AM1866"/>
      <c r="AN1866"/>
      <c r="AO1866"/>
    </row>
    <row r="1867" spans="1:41" s="2" customFormat="1" x14ac:dyDescent="0.2">
      <c r="A1867"/>
      <c r="B1867"/>
      <c r="C1867"/>
      <c r="D1867"/>
      <c r="E1867"/>
      <c r="F1867"/>
      <c r="G1867"/>
      <c r="U1867"/>
      <c r="V1867"/>
      <c r="W1867"/>
      <c r="X1867"/>
      <c r="Y1867"/>
      <c r="Z1867"/>
      <c r="AA1867"/>
      <c r="AB1867"/>
      <c r="AL1867"/>
      <c r="AM1867"/>
      <c r="AN1867"/>
      <c r="AO1867"/>
    </row>
    <row r="1868" spans="1:41" s="2" customFormat="1" x14ac:dyDescent="0.2">
      <c r="A1868"/>
      <c r="B1868"/>
      <c r="C1868"/>
      <c r="D1868"/>
      <c r="E1868"/>
      <c r="F1868"/>
      <c r="G1868"/>
      <c r="U1868"/>
      <c r="V1868"/>
      <c r="W1868"/>
      <c r="X1868"/>
      <c r="Y1868"/>
      <c r="Z1868"/>
      <c r="AA1868"/>
      <c r="AB1868"/>
      <c r="AL1868"/>
      <c r="AM1868"/>
      <c r="AN1868"/>
      <c r="AO1868"/>
    </row>
    <row r="1869" spans="1:41" s="2" customFormat="1" x14ac:dyDescent="0.2">
      <c r="A1869"/>
      <c r="B1869"/>
      <c r="C1869"/>
      <c r="D1869"/>
      <c r="E1869"/>
      <c r="F1869"/>
      <c r="G1869"/>
      <c r="U1869"/>
      <c r="V1869"/>
      <c r="W1869"/>
      <c r="X1869"/>
      <c r="Y1869"/>
      <c r="Z1869"/>
      <c r="AA1869"/>
      <c r="AB1869"/>
      <c r="AL1869"/>
      <c r="AM1869"/>
      <c r="AN1869"/>
      <c r="AO1869"/>
    </row>
    <row r="1870" spans="1:41" s="2" customFormat="1" x14ac:dyDescent="0.2">
      <c r="A1870"/>
      <c r="B1870"/>
      <c r="C1870"/>
      <c r="D1870"/>
      <c r="E1870"/>
      <c r="F1870"/>
      <c r="G1870"/>
      <c r="U1870"/>
      <c r="V1870"/>
      <c r="W1870"/>
      <c r="X1870"/>
      <c r="Y1870"/>
      <c r="Z1870"/>
      <c r="AA1870"/>
      <c r="AB1870"/>
      <c r="AL1870"/>
      <c r="AM1870"/>
      <c r="AN1870"/>
      <c r="AO1870"/>
    </row>
    <row r="1871" spans="1:41" s="2" customFormat="1" x14ac:dyDescent="0.2">
      <c r="A1871"/>
      <c r="B1871"/>
      <c r="C1871"/>
      <c r="D1871"/>
      <c r="E1871"/>
      <c r="F1871"/>
      <c r="G1871"/>
      <c r="U1871"/>
      <c r="V1871"/>
      <c r="W1871"/>
      <c r="X1871"/>
      <c r="Y1871"/>
      <c r="Z1871"/>
      <c r="AA1871"/>
      <c r="AB1871"/>
      <c r="AL1871"/>
      <c r="AM1871"/>
      <c r="AN1871"/>
      <c r="AO1871"/>
    </row>
    <row r="1872" spans="1:41" s="2" customFormat="1" x14ac:dyDescent="0.2">
      <c r="A1872"/>
      <c r="B1872"/>
      <c r="C1872"/>
      <c r="D1872"/>
      <c r="E1872"/>
      <c r="F1872"/>
      <c r="G1872"/>
      <c r="U1872"/>
      <c r="V1872"/>
      <c r="W1872"/>
      <c r="X1872"/>
      <c r="Y1872"/>
      <c r="Z1872"/>
      <c r="AA1872"/>
      <c r="AB1872"/>
      <c r="AL1872"/>
      <c r="AM1872"/>
      <c r="AN1872"/>
      <c r="AO1872"/>
    </row>
    <row r="1873" spans="1:41" s="2" customFormat="1" x14ac:dyDescent="0.2">
      <c r="A1873"/>
      <c r="B1873"/>
      <c r="C1873"/>
      <c r="D1873"/>
      <c r="E1873"/>
      <c r="F1873"/>
      <c r="G1873"/>
      <c r="U1873"/>
      <c r="V1873"/>
      <c r="W1873"/>
      <c r="X1873"/>
      <c r="Y1873"/>
      <c r="Z1873"/>
      <c r="AA1873"/>
      <c r="AB1873"/>
      <c r="AL1873"/>
      <c r="AM1873"/>
      <c r="AN1873"/>
      <c r="AO1873"/>
    </row>
    <row r="1874" spans="1:41" s="2" customFormat="1" x14ac:dyDescent="0.2">
      <c r="A1874"/>
      <c r="B1874"/>
      <c r="C1874"/>
      <c r="D1874"/>
      <c r="E1874"/>
      <c r="F1874"/>
      <c r="G1874"/>
      <c r="U1874"/>
      <c r="V1874"/>
      <c r="W1874"/>
      <c r="X1874"/>
      <c r="Y1874"/>
      <c r="Z1874"/>
      <c r="AA1874"/>
      <c r="AB1874"/>
      <c r="AL1874"/>
      <c r="AM1874"/>
      <c r="AN1874"/>
      <c r="AO1874"/>
    </row>
    <row r="1875" spans="1:41" s="2" customFormat="1" x14ac:dyDescent="0.2">
      <c r="A1875"/>
      <c r="B1875"/>
      <c r="C1875"/>
      <c r="D1875"/>
      <c r="E1875"/>
      <c r="F1875"/>
      <c r="G1875"/>
      <c r="U1875"/>
      <c r="V1875"/>
      <c r="W1875"/>
      <c r="X1875"/>
      <c r="Y1875"/>
      <c r="Z1875"/>
      <c r="AA1875"/>
      <c r="AB1875"/>
      <c r="AL1875"/>
      <c r="AM1875"/>
      <c r="AN1875"/>
      <c r="AO1875"/>
    </row>
    <row r="1876" spans="1:41" s="2" customFormat="1" x14ac:dyDescent="0.2">
      <c r="A1876"/>
      <c r="B1876"/>
      <c r="C1876"/>
      <c r="D1876"/>
      <c r="E1876"/>
      <c r="F1876"/>
      <c r="G1876"/>
      <c r="U1876"/>
      <c r="V1876"/>
      <c r="W1876"/>
      <c r="X1876"/>
      <c r="Y1876"/>
      <c r="Z1876"/>
      <c r="AA1876"/>
      <c r="AB1876"/>
      <c r="AL1876"/>
      <c r="AM1876"/>
      <c r="AN1876"/>
      <c r="AO1876"/>
    </row>
    <row r="1877" spans="1:41" s="2" customFormat="1" x14ac:dyDescent="0.2">
      <c r="A1877"/>
      <c r="B1877"/>
      <c r="C1877"/>
      <c r="D1877"/>
      <c r="E1877"/>
      <c r="F1877"/>
      <c r="G1877"/>
      <c r="U1877"/>
      <c r="V1877"/>
      <c r="W1877"/>
      <c r="X1877"/>
      <c r="Y1877"/>
      <c r="Z1877"/>
      <c r="AA1877"/>
      <c r="AB1877"/>
      <c r="AL1877"/>
      <c r="AM1877"/>
      <c r="AN1877"/>
      <c r="AO1877"/>
    </row>
    <row r="1878" spans="1:41" s="2" customFormat="1" x14ac:dyDescent="0.2">
      <c r="A1878"/>
      <c r="B1878"/>
      <c r="C1878"/>
      <c r="D1878"/>
      <c r="E1878"/>
      <c r="F1878"/>
      <c r="G1878"/>
      <c r="U1878"/>
      <c r="V1878"/>
      <c r="W1878"/>
      <c r="X1878"/>
      <c r="Y1878"/>
      <c r="Z1878"/>
      <c r="AA1878"/>
      <c r="AB1878"/>
      <c r="AL1878"/>
      <c r="AM1878"/>
      <c r="AN1878"/>
      <c r="AO1878"/>
    </row>
    <row r="1879" spans="1:41" s="2" customFormat="1" x14ac:dyDescent="0.2">
      <c r="A1879"/>
      <c r="B1879"/>
      <c r="C1879"/>
      <c r="D1879"/>
      <c r="E1879"/>
      <c r="F1879"/>
      <c r="G1879"/>
      <c r="U1879"/>
      <c r="V1879"/>
      <c r="W1879"/>
      <c r="X1879"/>
      <c r="Y1879"/>
      <c r="Z1879"/>
      <c r="AA1879"/>
      <c r="AB1879"/>
      <c r="AL1879"/>
      <c r="AM1879"/>
      <c r="AN1879"/>
      <c r="AO1879"/>
    </row>
    <row r="1880" spans="1:41" s="2" customFormat="1" x14ac:dyDescent="0.2">
      <c r="A1880"/>
      <c r="B1880"/>
      <c r="C1880"/>
      <c r="D1880"/>
      <c r="E1880"/>
      <c r="F1880"/>
      <c r="G1880"/>
      <c r="U1880"/>
      <c r="V1880"/>
      <c r="W1880"/>
      <c r="X1880"/>
      <c r="Y1880"/>
      <c r="Z1880"/>
      <c r="AA1880"/>
      <c r="AB1880"/>
      <c r="AL1880"/>
      <c r="AM1880"/>
      <c r="AN1880"/>
      <c r="AO1880"/>
    </row>
    <row r="1881" spans="1:41" s="2" customFormat="1" x14ac:dyDescent="0.2">
      <c r="A1881"/>
      <c r="B1881"/>
      <c r="C1881"/>
      <c r="D1881"/>
      <c r="E1881"/>
      <c r="F1881"/>
      <c r="G1881"/>
      <c r="U1881"/>
      <c r="V1881"/>
      <c r="W1881"/>
      <c r="X1881"/>
      <c r="Y1881"/>
      <c r="Z1881"/>
      <c r="AA1881"/>
      <c r="AB1881"/>
      <c r="AL1881"/>
      <c r="AM1881"/>
      <c r="AN1881"/>
      <c r="AO1881"/>
    </row>
    <row r="1882" spans="1:41" s="2" customFormat="1" x14ac:dyDescent="0.2">
      <c r="A1882"/>
      <c r="B1882"/>
      <c r="C1882"/>
      <c r="D1882"/>
      <c r="E1882"/>
      <c r="F1882"/>
      <c r="G1882"/>
      <c r="U1882"/>
      <c r="V1882"/>
      <c r="W1882"/>
      <c r="X1882"/>
      <c r="Y1882"/>
      <c r="Z1882"/>
      <c r="AA1882"/>
      <c r="AB1882"/>
      <c r="AL1882"/>
      <c r="AM1882"/>
      <c r="AN1882"/>
      <c r="AO1882"/>
    </row>
    <row r="1883" spans="1:41" s="2" customFormat="1" x14ac:dyDescent="0.2">
      <c r="A1883"/>
      <c r="B1883"/>
      <c r="C1883"/>
      <c r="D1883"/>
      <c r="E1883"/>
      <c r="F1883"/>
      <c r="G1883"/>
      <c r="U1883"/>
      <c r="V1883"/>
      <c r="W1883"/>
      <c r="X1883"/>
      <c r="Y1883"/>
      <c r="Z1883"/>
      <c r="AA1883"/>
      <c r="AB1883"/>
      <c r="AL1883"/>
      <c r="AM1883"/>
      <c r="AN1883"/>
      <c r="AO1883"/>
    </row>
    <row r="1884" spans="1:41" s="2" customFormat="1" x14ac:dyDescent="0.2">
      <c r="A1884"/>
      <c r="B1884"/>
      <c r="C1884"/>
      <c r="D1884"/>
      <c r="E1884"/>
      <c r="F1884"/>
      <c r="G1884"/>
      <c r="U1884"/>
      <c r="V1884"/>
      <c r="W1884"/>
      <c r="X1884"/>
      <c r="Y1884"/>
      <c r="Z1884"/>
      <c r="AA1884"/>
      <c r="AB1884"/>
      <c r="AL1884"/>
      <c r="AM1884"/>
      <c r="AN1884"/>
      <c r="AO1884"/>
    </row>
    <row r="1885" spans="1:41" s="2" customFormat="1" x14ac:dyDescent="0.2">
      <c r="A1885"/>
      <c r="B1885"/>
      <c r="C1885"/>
      <c r="D1885"/>
      <c r="E1885"/>
      <c r="F1885"/>
      <c r="G1885"/>
      <c r="U1885"/>
      <c r="V1885"/>
      <c r="W1885"/>
      <c r="X1885"/>
      <c r="Y1885"/>
      <c r="Z1885"/>
      <c r="AA1885"/>
      <c r="AB1885"/>
      <c r="AL1885"/>
      <c r="AM1885"/>
      <c r="AN1885"/>
      <c r="AO1885"/>
    </row>
    <row r="1886" spans="1:41" s="2" customFormat="1" x14ac:dyDescent="0.2">
      <c r="A1886"/>
      <c r="B1886"/>
      <c r="C1886"/>
      <c r="D1886"/>
      <c r="E1886"/>
      <c r="F1886"/>
      <c r="G1886"/>
      <c r="U1886"/>
      <c r="V1886"/>
      <c r="W1886"/>
      <c r="X1886"/>
      <c r="Y1886"/>
      <c r="Z1886"/>
      <c r="AA1886"/>
      <c r="AB1886"/>
      <c r="AL1886"/>
      <c r="AM1886"/>
      <c r="AN1886"/>
      <c r="AO1886"/>
    </row>
    <row r="1887" spans="1:41" s="2" customFormat="1" x14ac:dyDescent="0.2">
      <c r="A1887"/>
      <c r="B1887"/>
      <c r="C1887"/>
      <c r="D1887"/>
      <c r="E1887"/>
      <c r="F1887"/>
      <c r="G1887"/>
      <c r="U1887"/>
      <c r="V1887"/>
      <c r="W1887"/>
      <c r="X1887"/>
      <c r="Y1887"/>
      <c r="Z1887"/>
      <c r="AA1887"/>
      <c r="AB1887"/>
      <c r="AL1887"/>
      <c r="AM1887"/>
      <c r="AN1887"/>
      <c r="AO1887"/>
    </row>
    <row r="1888" spans="1:41" s="2" customFormat="1" x14ac:dyDescent="0.2">
      <c r="A1888"/>
      <c r="B1888"/>
      <c r="C1888"/>
      <c r="D1888"/>
      <c r="E1888"/>
      <c r="F1888"/>
      <c r="G1888"/>
      <c r="U1888"/>
      <c r="V1888"/>
      <c r="W1888"/>
      <c r="X1888"/>
      <c r="Y1888"/>
      <c r="Z1888"/>
      <c r="AA1888"/>
      <c r="AB1888"/>
      <c r="AL1888"/>
      <c r="AM1888"/>
      <c r="AN1888"/>
      <c r="AO1888"/>
    </row>
    <row r="1889" spans="1:41" s="2" customFormat="1" x14ac:dyDescent="0.2">
      <c r="A1889"/>
      <c r="B1889"/>
      <c r="C1889"/>
      <c r="D1889"/>
      <c r="E1889"/>
      <c r="F1889"/>
      <c r="G1889"/>
      <c r="U1889"/>
      <c r="V1889"/>
      <c r="W1889"/>
      <c r="X1889"/>
      <c r="Y1889"/>
      <c r="Z1889"/>
      <c r="AA1889"/>
      <c r="AB1889"/>
      <c r="AL1889"/>
      <c r="AM1889"/>
      <c r="AN1889"/>
      <c r="AO1889"/>
    </row>
    <row r="1890" spans="1:41" s="2" customFormat="1" x14ac:dyDescent="0.2">
      <c r="A1890"/>
      <c r="B1890"/>
      <c r="C1890"/>
      <c r="D1890"/>
      <c r="E1890"/>
      <c r="F1890"/>
      <c r="G1890"/>
      <c r="U1890"/>
      <c r="V1890"/>
      <c r="W1890"/>
      <c r="X1890"/>
      <c r="Y1890"/>
      <c r="Z1890"/>
      <c r="AA1890"/>
      <c r="AB1890"/>
      <c r="AL1890"/>
      <c r="AM1890"/>
      <c r="AN1890"/>
      <c r="AO1890"/>
    </row>
    <row r="1891" spans="1:41" s="2" customFormat="1" x14ac:dyDescent="0.2">
      <c r="A1891"/>
      <c r="B1891"/>
      <c r="C1891"/>
      <c r="D1891"/>
      <c r="E1891"/>
      <c r="F1891"/>
      <c r="G1891"/>
      <c r="U1891"/>
      <c r="V1891"/>
      <c r="W1891"/>
      <c r="X1891"/>
      <c r="Y1891"/>
      <c r="Z1891"/>
      <c r="AA1891"/>
      <c r="AB1891"/>
      <c r="AL1891"/>
      <c r="AM1891"/>
      <c r="AN1891"/>
      <c r="AO1891"/>
    </row>
    <row r="1892" spans="1:41" s="2" customFormat="1" x14ac:dyDescent="0.2">
      <c r="A1892"/>
      <c r="B1892"/>
      <c r="C1892"/>
      <c r="D1892"/>
      <c r="E1892"/>
      <c r="F1892"/>
      <c r="G1892"/>
      <c r="U1892"/>
      <c r="V1892"/>
      <c r="W1892"/>
      <c r="X1892"/>
      <c r="Y1892"/>
      <c r="Z1892"/>
      <c r="AA1892"/>
      <c r="AB1892"/>
      <c r="AL1892"/>
      <c r="AM1892"/>
      <c r="AN1892"/>
      <c r="AO1892"/>
    </row>
    <row r="1893" spans="1:41" s="2" customFormat="1" x14ac:dyDescent="0.2">
      <c r="A1893"/>
      <c r="B1893"/>
      <c r="C1893"/>
      <c r="D1893"/>
      <c r="E1893"/>
      <c r="F1893"/>
      <c r="G1893"/>
      <c r="U1893"/>
      <c r="V1893"/>
      <c r="W1893"/>
      <c r="X1893"/>
      <c r="Y1893"/>
      <c r="Z1893"/>
      <c r="AA1893"/>
      <c r="AB1893"/>
      <c r="AL1893"/>
      <c r="AM1893"/>
      <c r="AN1893"/>
      <c r="AO1893"/>
    </row>
    <row r="1894" spans="1:41" s="2" customFormat="1" x14ac:dyDescent="0.2">
      <c r="A1894"/>
      <c r="B1894"/>
      <c r="C1894"/>
      <c r="D1894"/>
      <c r="E1894"/>
      <c r="F1894"/>
      <c r="G1894"/>
      <c r="U1894"/>
      <c r="V1894"/>
      <c r="W1894"/>
      <c r="X1894"/>
      <c r="Y1894"/>
      <c r="Z1894"/>
      <c r="AA1894"/>
      <c r="AB1894"/>
      <c r="AL1894"/>
      <c r="AM1894"/>
      <c r="AN1894"/>
      <c r="AO1894"/>
    </row>
    <row r="1895" spans="1:41" s="2" customFormat="1" x14ac:dyDescent="0.2">
      <c r="A1895"/>
      <c r="B1895"/>
      <c r="C1895"/>
      <c r="D1895"/>
      <c r="E1895"/>
      <c r="F1895"/>
      <c r="G1895"/>
      <c r="U1895"/>
      <c r="V1895"/>
      <c r="W1895"/>
      <c r="X1895"/>
      <c r="Y1895"/>
      <c r="Z1895"/>
      <c r="AA1895"/>
      <c r="AB1895"/>
      <c r="AL1895"/>
      <c r="AM1895"/>
      <c r="AN1895"/>
      <c r="AO1895"/>
    </row>
    <row r="1896" spans="1:41" s="2" customFormat="1" x14ac:dyDescent="0.2">
      <c r="A1896"/>
      <c r="B1896"/>
      <c r="C1896"/>
      <c r="D1896"/>
      <c r="E1896"/>
      <c r="F1896"/>
      <c r="G1896"/>
      <c r="U1896"/>
      <c r="V1896"/>
      <c r="W1896"/>
      <c r="X1896"/>
      <c r="Y1896"/>
      <c r="Z1896"/>
      <c r="AA1896"/>
      <c r="AB1896"/>
      <c r="AL1896"/>
      <c r="AM1896"/>
      <c r="AN1896"/>
      <c r="AO1896"/>
    </row>
    <row r="1897" spans="1:41" s="2" customFormat="1" x14ac:dyDescent="0.2">
      <c r="A1897"/>
      <c r="B1897"/>
      <c r="C1897"/>
      <c r="D1897"/>
      <c r="E1897"/>
      <c r="F1897"/>
      <c r="G1897"/>
      <c r="U1897"/>
      <c r="V1897"/>
      <c r="W1897"/>
      <c r="X1897"/>
      <c r="Y1897"/>
      <c r="Z1897"/>
      <c r="AA1897"/>
      <c r="AB1897"/>
      <c r="AL1897"/>
      <c r="AM1897"/>
      <c r="AN1897"/>
      <c r="AO1897"/>
    </row>
    <row r="1898" spans="1:41" s="2" customFormat="1" x14ac:dyDescent="0.2">
      <c r="A1898"/>
      <c r="B1898"/>
      <c r="C1898"/>
      <c r="D1898"/>
      <c r="E1898"/>
      <c r="F1898"/>
      <c r="G1898"/>
      <c r="U1898"/>
      <c r="V1898"/>
      <c r="W1898"/>
      <c r="X1898"/>
      <c r="Y1898"/>
      <c r="Z1898"/>
      <c r="AA1898"/>
      <c r="AB1898"/>
      <c r="AL1898"/>
      <c r="AM1898"/>
      <c r="AN1898"/>
      <c r="AO1898"/>
    </row>
    <row r="1899" spans="1:41" s="2" customFormat="1" x14ac:dyDescent="0.2">
      <c r="A1899"/>
      <c r="B1899"/>
      <c r="C1899"/>
      <c r="D1899"/>
      <c r="E1899"/>
      <c r="F1899"/>
      <c r="G1899"/>
      <c r="U1899"/>
      <c r="V1899"/>
      <c r="W1899"/>
      <c r="X1899"/>
      <c r="Y1899"/>
      <c r="Z1899"/>
      <c r="AA1899"/>
      <c r="AB1899"/>
      <c r="AL1899"/>
      <c r="AM1899"/>
      <c r="AN1899"/>
      <c r="AO1899"/>
    </row>
    <row r="1900" spans="1:41" s="2" customFormat="1" x14ac:dyDescent="0.2">
      <c r="A1900"/>
      <c r="B1900"/>
      <c r="C1900"/>
      <c r="D1900"/>
      <c r="E1900"/>
      <c r="F1900"/>
      <c r="G1900"/>
      <c r="U1900"/>
      <c r="V1900"/>
      <c r="W1900"/>
      <c r="X1900"/>
      <c r="Y1900"/>
      <c r="Z1900"/>
      <c r="AA1900"/>
      <c r="AB1900"/>
      <c r="AL1900"/>
      <c r="AM1900"/>
      <c r="AN1900"/>
      <c r="AO1900"/>
    </row>
    <row r="1901" spans="1:41" s="2" customFormat="1" x14ac:dyDescent="0.2">
      <c r="A1901"/>
      <c r="B1901"/>
      <c r="C1901"/>
      <c r="D1901"/>
      <c r="E1901"/>
      <c r="F1901"/>
      <c r="G1901"/>
      <c r="U1901"/>
      <c r="V1901"/>
      <c r="W1901"/>
      <c r="X1901"/>
      <c r="Y1901"/>
      <c r="Z1901"/>
      <c r="AA1901"/>
      <c r="AB1901"/>
      <c r="AL1901"/>
      <c r="AM1901"/>
      <c r="AN1901"/>
      <c r="AO1901"/>
    </row>
    <row r="1902" spans="1:41" s="2" customFormat="1" x14ac:dyDescent="0.2">
      <c r="A1902"/>
      <c r="B1902"/>
      <c r="C1902"/>
      <c r="D1902"/>
      <c r="E1902"/>
      <c r="F1902"/>
      <c r="G1902"/>
      <c r="U1902"/>
      <c r="V1902"/>
      <c r="W1902"/>
      <c r="X1902"/>
      <c r="Y1902"/>
      <c r="Z1902"/>
      <c r="AA1902"/>
      <c r="AB1902"/>
      <c r="AL1902"/>
      <c r="AM1902"/>
      <c r="AN1902"/>
      <c r="AO1902"/>
    </row>
    <row r="1903" spans="1:41" s="2" customFormat="1" x14ac:dyDescent="0.2">
      <c r="A1903"/>
      <c r="B1903"/>
      <c r="C1903"/>
      <c r="D1903"/>
      <c r="E1903"/>
      <c r="F1903"/>
      <c r="G1903"/>
      <c r="U1903"/>
      <c r="V1903"/>
      <c r="W1903"/>
      <c r="X1903"/>
      <c r="Y1903"/>
      <c r="Z1903"/>
      <c r="AA1903"/>
      <c r="AB1903"/>
      <c r="AL1903"/>
      <c r="AM1903"/>
      <c r="AN1903"/>
      <c r="AO1903"/>
    </row>
    <row r="1904" spans="1:41" s="2" customFormat="1" x14ac:dyDescent="0.2">
      <c r="A1904"/>
      <c r="B1904"/>
      <c r="C1904"/>
      <c r="D1904"/>
      <c r="E1904"/>
      <c r="F1904"/>
      <c r="G1904"/>
      <c r="U1904"/>
      <c r="V1904"/>
      <c r="W1904"/>
      <c r="X1904"/>
      <c r="Y1904"/>
      <c r="Z1904"/>
      <c r="AA1904"/>
      <c r="AB1904"/>
      <c r="AL1904"/>
      <c r="AM1904"/>
      <c r="AN1904"/>
      <c r="AO1904"/>
    </row>
    <row r="1905" spans="1:41" s="2" customFormat="1" x14ac:dyDescent="0.2">
      <c r="A1905"/>
      <c r="B1905"/>
      <c r="C1905"/>
      <c r="D1905"/>
      <c r="E1905"/>
      <c r="F1905"/>
      <c r="G1905"/>
      <c r="U1905"/>
      <c r="V1905"/>
      <c r="W1905"/>
      <c r="X1905"/>
      <c r="Y1905"/>
      <c r="Z1905"/>
      <c r="AA1905"/>
      <c r="AB1905"/>
      <c r="AL1905"/>
      <c r="AM1905"/>
      <c r="AN1905"/>
      <c r="AO1905"/>
    </row>
    <row r="1906" spans="1:41" s="2" customFormat="1" x14ac:dyDescent="0.2">
      <c r="A1906"/>
      <c r="B1906"/>
      <c r="C1906"/>
      <c r="D1906"/>
      <c r="E1906"/>
      <c r="F1906"/>
      <c r="G1906"/>
      <c r="U1906"/>
      <c r="V1906"/>
      <c r="W1906"/>
      <c r="X1906"/>
      <c r="Y1906"/>
      <c r="Z1906"/>
      <c r="AA1906"/>
      <c r="AB1906"/>
      <c r="AL1906"/>
      <c r="AM1906"/>
      <c r="AN1906"/>
      <c r="AO1906"/>
    </row>
    <row r="1907" spans="1:41" s="2" customFormat="1" x14ac:dyDescent="0.2">
      <c r="A1907"/>
      <c r="B1907"/>
      <c r="C1907"/>
      <c r="D1907"/>
      <c r="E1907"/>
      <c r="F1907"/>
      <c r="G1907"/>
      <c r="U1907"/>
      <c r="V1907"/>
      <c r="W1907"/>
      <c r="X1907"/>
      <c r="Y1907"/>
      <c r="Z1907"/>
      <c r="AA1907"/>
      <c r="AB1907"/>
      <c r="AL1907"/>
      <c r="AM1907"/>
      <c r="AN1907"/>
      <c r="AO1907"/>
    </row>
    <row r="1908" spans="1:41" s="2" customFormat="1" x14ac:dyDescent="0.2">
      <c r="A1908"/>
      <c r="B1908"/>
      <c r="C1908"/>
      <c r="D1908"/>
      <c r="E1908"/>
      <c r="F1908"/>
      <c r="G1908"/>
      <c r="U1908"/>
      <c r="V1908"/>
      <c r="W1908"/>
      <c r="X1908"/>
      <c r="Y1908"/>
      <c r="Z1908"/>
      <c r="AA1908"/>
      <c r="AB1908"/>
      <c r="AL1908"/>
      <c r="AM1908"/>
      <c r="AN1908"/>
      <c r="AO1908"/>
    </row>
    <row r="1909" spans="1:41" s="2" customFormat="1" x14ac:dyDescent="0.2">
      <c r="A1909"/>
      <c r="B1909"/>
      <c r="C1909"/>
      <c r="D1909"/>
      <c r="E1909"/>
      <c r="F1909"/>
      <c r="G1909"/>
      <c r="U1909"/>
      <c r="V1909"/>
      <c r="W1909"/>
      <c r="X1909"/>
      <c r="Y1909"/>
      <c r="Z1909"/>
      <c r="AA1909"/>
      <c r="AB1909"/>
      <c r="AL1909"/>
      <c r="AM1909"/>
      <c r="AN1909"/>
      <c r="AO1909"/>
    </row>
    <row r="1910" spans="1:41" s="2" customFormat="1" x14ac:dyDescent="0.2">
      <c r="A1910"/>
      <c r="B1910"/>
      <c r="C1910"/>
      <c r="D1910"/>
      <c r="E1910"/>
      <c r="F1910"/>
      <c r="G1910"/>
      <c r="U1910"/>
      <c r="V1910"/>
      <c r="W1910"/>
      <c r="X1910"/>
      <c r="Y1910"/>
      <c r="Z1910"/>
      <c r="AA1910"/>
      <c r="AB1910"/>
      <c r="AL1910"/>
      <c r="AM1910"/>
      <c r="AN1910"/>
      <c r="AO1910"/>
    </row>
    <row r="1911" spans="1:41" s="2" customFormat="1" x14ac:dyDescent="0.2">
      <c r="A1911"/>
      <c r="B1911"/>
      <c r="C1911"/>
      <c r="D1911"/>
      <c r="E1911"/>
      <c r="F1911"/>
      <c r="G1911"/>
      <c r="U1911"/>
      <c r="V1911"/>
      <c r="W1911"/>
      <c r="X1911"/>
      <c r="Y1911"/>
      <c r="Z1911"/>
      <c r="AA1911"/>
      <c r="AB1911"/>
      <c r="AL1911"/>
      <c r="AM1911"/>
      <c r="AN1911"/>
      <c r="AO1911"/>
    </row>
    <row r="1912" spans="1:41" s="2" customFormat="1" x14ac:dyDescent="0.2">
      <c r="A1912"/>
      <c r="B1912"/>
      <c r="C1912"/>
      <c r="D1912"/>
      <c r="E1912"/>
      <c r="F1912"/>
      <c r="G1912"/>
      <c r="U1912"/>
      <c r="V1912"/>
      <c r="W1912"/>
      <c r="X1912"/>
      <c r="Y1912"/>
      <c r="Z1912"/>
      <c r="AA1912"/>
      <c r="AB1912"/>
      <c r="AL1912"/>
      <c r="AM1912"/>
      <c r="AN1912"/>
      <c r="AO1912"/>
    </row>
    <row r="1913" spans="1:41" s="2" customFormat="1" x14ac:dyDescent="0.2">
      <c r="A1913"/>
      <c r="B1913"/>
      <c r="C1913"/>
      <c r="D1913"/>
      <c r="E1913"/>
      <c r="F1913"/>
      <c r="G1913"/>
      <c r="U1913"/>
      <c r="V1913"/>
      <c r="W1913"/>
      <c r="X1913"/>
      <c r="Y1913"/>
      <c r="Z1913"/>
      <c r="AA1913"/>
      <c r="AB1913"/>
      <c r="AL1913"/>
      <c r="AM1913"/>
      <c r="AN1913"/>
      <c r="AO1913"/>
    </row>
    <row r="1914" spans="1:41" s="2" customFormat="1" x14ac:dyDescent="0.2">
      <c r="A1914"/>
      <c r="B1914"/>
      <c r="C1914"/>
      <c r="D1914"/>
      <c r="E1914"/>
      <c r="F1914"/>
      <c r="G1914"/>
      <c r="U1914"/>
      <c r="V1914"/>
      <c r="W1914"/>
      <c r="X1914"/>
      <c r="Y1914"/>
      <c r="Z1914"/>
      <c r="AA1914"/>
      <c r="AB1914"/>
      <c r="AL1914"/>
      <c r="AM1914"/>
      <c r="AN1914"/>
      <c r="AO1914"/>
    </row>
    <row r="1915" spans="1:41" s="2" customFormat="1" x14ac:dyDescent="0.2">
      <c r="A1915"/>
      <c r="B1915"/>
      <c r="C1915"/>
      <c r="D1915"/>
      <c r="E1915"/>
      <c r="F1915"/>
      <c r="G1915"/>
      <c r="U1915"/>
      <c r="V1915"/>
      <c r="W1915"/>
      <c r="X1915"/>
      <c r="Y1915"/>
      <c r="Z1915"/>
      <c r="AA1915"/>
      <c r="AB1915"/>
      <c r="AL1915"/>
      <c r="AM1915"/>
      <c r="AN1915"/>
      <c r="AO1915"/>
    </row>
    <row r="1916" spans="1:41" s="2" customFormat="1" x14ac:dyDescent="0.2">
      <c r="A1916"/>
      <c r="B1916"/>
      <c r="C1916"/>
      <c r="D1916"/>
      <c r="E1916"/>
      <c r="F1916"/>
      <c r="G1916"/>
      <c r="U1916"/>
      <c r="V1916"/>
      <c r="W1916"/>
      <c r="X1916"/>
      <c r="Y1916"/>
      <c r="Z1916"/>
      <c r="AA1916"/>
      <c r="AB1916"/>
      <c r="AL1916"/>
      <c r="AM1916"/>
      <c r="AN1916"/>
      <c r="AO1916"/>
    </row>
    <row r="1917" spans="1:41" s="2" customFormat="1" x14ac:dyDescent="0.2">
      <c r="A1917"/>
      <c r="B1917"/>
      <c r="C1917"/>
      <c r="D1917"/>
      <c r="E1917"/>
      <c r="F1917"/>
      <c r="G1917"/>
      <c r="U1917"/>
      <c r="V1917"/>
      <c r="W1917"/>
      <c r="X1917"/>
      <c r="Y1917"/>
      <c r="Z1917"/>
      <c r="AA1917"/>
      <c r="AB1917"/>
      <c r="AL1917"/>
      <c r="AM1917"/>
      <c r="AN1917"/>
      <c r="AO1917"/>
    </row>
    <row r="1918" spans="1:41" s="2" customFormat="1" x14ac:dyDescent="0.2">
      <c r="A1918"/>
      <c r="B1918"/>
      <c r="C1918"/>
      <c r="D1918"/>
      <c r="E1918"/>
      <c r="F1918"/>
      <c r="G1918"/>
      <c r="U1918"/>
      <c r="V1918"/>
      <c r="W1918"/>
      <c r="X1918"/>
      <c r="Y1918"/>
      <c r="Z1918"/>
      <c r="AA1918"/>
      <c r="AB1918"/>
      <c r="AL1918"/>
      <c r="AM1918"/>
      <c r="AN1918"/>
      <c r="AO1918"/>
    </row>
    <row r="1919" spans="1:41" s="2" customFormat="1" x14ac:dyDescent="0.2">
      <c r="A1919"/>
      <c r="B1919"/>
      <c r="C1919"/>
      <c r="D1919"/>
      <c r="E1919"/>
      <c r="F1919"/>
      <c r="G1919"/>
      <c r="U1919"/>
      <c r="V1919"/>
      <c r="W1919"/>
      <c r="X1919"/>
      <c r="Y1919"/>
      <c r="Z1919"/>
      <c r="AA1919"/>
      <c r="AB1919"/>
      <c r="AL1919"/>
      <c r="AM1919"/>
      <c r="AN1919"/>
      <c r="AO1919"/>
    </row>
    <row r="1920" spans="1:41" s="2" customFormat="1" x14ac:dyDescent="0.2">
      <c r="A1920"/>
      <c r="B1920"/>
      <c r="C1920"/>
      <c r="D1920"/>
      <c r="E1920"/>
      <c r="F1920"/>
      <c r="G1920"/>
      <c r="U1920"/>
      <c r="V1920"/>
      <c r="W1920"/>
      <c r="X1920"/>
      <c r="Y1920"/>
      <c r="Z1920"/>
      <c r="AA1920"/>
      <c r="AB1920"/>
      <c r="AL1920"/>
      <c r="AM1920"/>
      <c r="AN1920"/>
      <c r="AO1920"/>
    </row>
    <row r="1921" spans="1:41" s="2" customFormat="1" x14ac:dyDescent="0.2">
      <c r="A1921"/>
      <c r="B1921"/>
      <c r="C1921"/>
      <c r="D1921"/>
      <c r="E1921"/>
      <c r="F1921"/>
      <c r="G1921"/>
      <c r="U1921"/>
      <c r="V1921"/>
      <c r="W1921"/>
      <c r="X1921"/>
      <c r="Y1921"/>
      <c r="Z1921"/>
      <c r="AA1921"/>
      <c r="AB1921"/>
      <c r="AL1921"/>
      <c r="AM1921"/>
      <c r="AN1921"/>
      <c r="AO1921"/>
    </row>
    <row r="1922" spans="1:41" s="2" customFormat="1" x14ac:dyDescent="0.2">
      <c r="A1922"/>
      <c r="B1922"/>
      <c r="C1922"/>
      <c r="D1922"/>
      <c r="E1922"/>
      <c r="F1922"/>
      <c r="G1922"/>
      <c r="U1922"/>
      <c r="V1922"/>
      <c r="W1922"/>
      <c r="X1922"/>
      <c r="Y1922"/>
      <c r="Z1922"/>
      <c r="AA1922"/>
      <c r="AB1922"/>
      <c r="AL1922"/>
      <c r="AM1922"/>
      <c r="AN1922"/>
      <c r="AO1922"/>
    </row>
    <row r="1923" spans="1:41" s="2" customFormat="1" x14ac:dyDescent="0.2">
      <c r="A1923"/>
      <c r="B1923"/>
      <c r="C1923"/>
      <c r="D1923"/>
      <c r="E1923"/>
      <c r="F1923"/>
      <c r="G1923"/>
      <c r="U1923"/>
      <c r="V1923"/>
      <c r="W1923"/>
      <c r="X1923"/>
      <c r="Y1923"/>
      <c r="Z1923"/>
      <c r="AA1923"/>
      <c r="AB1923"/>
      <c r="AL1923"/>
      <c r="AM1923"/>
      <c r="AN1923"/>
      <c r="AO1923"/>
    </row>
    <row r="1924" spans="1:41" s="2" customFormat="1" x14ac:dyDescent="0.2">
      <c r="A1924"/>
      <c r="B1924"/>
      <c r="C1924"/>
      <c r="D1924"/>
      <c r="E1924"/>
      <c r="F1924"/>
      <c r="G1924"/>
      <c r="U1924"/>
      <c r="V1924"/>
      <c r="W1924"/>
      <c r="X1924"/>
      <c r="Y1924"/>
      <c r="Z1924"/>
      <c r="AA1924"/>
      <c r="AB1924"/>
      <c r="AL1924"/>
      <c r="AM1924"/>
      <c r="AN1924"/>
      <c r="AO1924"/>
    </row>
    <row r="1925" spans="1:41" s="2" customFormat="1" x14ac:dyDescent="0.2">
      <c r="A1925"/>
      <c r="B1925"/>
      <c r="C1925"/>
      <c r="D1925"/>
      <c r="E1925"/>
      <c r="F1925"/>
      <c r="G1925"/>
      <c r="U1925"/>
      <c r="V1925"/>
      <c r="W1925"/>
      <c r="X1925"/>
      <c r="Y1925"/>
      <c r="Z1925"/>
      <c r="AA1925"/>
      <c r="AB1925"/>
      <c r="AL1925"/>
      <c r="AM1925"/>
      <c r="AN1925"/>
      <c r="AO1925"/>
    </row>
    <row r="1926" spans="1:41" s="2" customFormat="1" x14ac:dyDescent="0.2">
      <c r="A1926"/>
      <c r="B1926"/>
      <c r="C1926"/>
      <c r="D1926"/>
      <c r="E1926"/>
      <c r="F1926"/>
      <c r="G1926"/>
      <c r="U1926"/>
      <c r="V1926"/>
      <c r="W1926"/>
      <c r="X1926"/>
      <c r="Y1926"/>
      <c r="Z1926"/>
      <c r="AA1926"/>
      <c r="AB1926"/>
      <c r="AL1926"/>
      <c r="AM1926"/>
      <c r="AN1926"/>
      <c r="AO1926"/>
    </row>
    <row r="1927" spans="1:41" s="2" customFormat="1" x14ac:dyDescent="0.2">
      <c r="A1927"/>
      <c r="B1927"/>
      <c r="C1927"/>
      <c r="D1927"/>
      <c r="E1927"/>
      <c r="F1927"/>
      <c r="G1927"/>
      <c r="U1927"/>
      <c r="V1927"/>
      <c r="W1927"/>
      <c r="X1927"/>
      <c r="Y1927"/>
      <c r="Z1927"/>
      <c r="AA1927"/>
      <c r="AB1927"/>
      <c r="AL1927"/>
      <c r="AM1927"/>
      <c r="AN1927"/>
      <c r="AO1927"/>
    </row>
    <row r="1928" spans="1:41" s="2" customFormat="1" x14ac:dyDescent="0.2">
      <c r="A1928"/>
      <c r="B1928"/>
      <c r="C1928"/>
      <c r="D1928"/>
      <c r="E1928"/>
      <c r="F1928"/>
      <c r="G1928"/>
      <c r="U1928"/>
      <c r="V1928"/>
      <c r="W1928"/>
      <c r="X1928"/>
      <c r="Y1928"/>
      <c r="Z1928"/>
      <c r="AA1928"/>
      <c r="AB1928"/>
      <c r="AL1928"/>
      <c r="AM1928"/>
      <c r="AN1928"/>
      <c r="AO1928"/>
    </row>
    <row r="1929" spans="1:41" s="2" customFormat="1" x14ac:dyDescent="0.2">
      <c r="A1929"/>
      <c r="B1929"/>
      <c r="C1929"/>
      <c r="D1929"/>
      <c r="E1929"/>
      <c r="F1929"/>
      <c r="G1929"/>
      <c r="U1929"/>
      <c r="V1929"/>
      <c r="W1929"/>
      <c r="X1929"/>
      <c r="Y1929"/>
      <c r="Z1929"/>
      <c r="AA1929"/>
      <c r="AB1929"/>
      <c r="AL1929"/>
      <c r="AM1929"/>
      <c r="AN1929"/>
      <c r="AO1929"/>
    </row>
    <row r="1930" spans="1:41" s="2" customFormat="1" x14ac:dyDescent="0.2">
      <c r="A1930"/>
      <c r="B1930"/>
      <c r="C1930"/>
      <c r="D1930"/>
      <c r="E1930"/>
      <c r="F1930"/>
      <c r="G1930"/>
      <c r="U1930"/>
      <c r="V1930"/>
      <c r="W1930"/>
      <c r="X1930"/>
      <c r="Y1930"/>
      <c r="Z1930"/>
      <c r="AA1930"/>
      <c r="AB1930"/>
      <c r="AL1930"/>
      <c r="AM1930"/>
      <c r="AN1930"/>
      <c r="AO1930"/>
    </row>
    <row r="1931" spans="1:41" s="2" customFormat="1" x14ac:dyDescent="0.2">
      <c r="A1931"/>
      <c r="B1931"/>
      <c r="C1931"/>
      <c r="D1931"/>
      <c r="E1931"/>
      <c r="F1931"/>
      <c r="G1931"/>
      <c r="U1931"/>
      <c r="V1931"/>
      <c r="W1931"/>
      <c r="X1931"/>
      <c r="Y1931"/>
      <c r="Z1931"/>
      <c r="AA1931"/>
      <c r="AB1931"/>
      <c r="AL1931"/>
      <c r="AM1931"/>
      <c r="AN1931"/>
      <c r="AO1931"/>
    </row>
    <row r="1932" spans="1:41" s="2" customFormat="1" x14ac:dyDescent="0.2">
      <c r="A1932"/>
      <c r="B1932"/>
      <c r="C1932"/>
      <c r="D1932"/>
      <c r="E1932"/>
      <c r="F1932"/>
      <c r="G1932"/>
      <c r="U1932"/>
      <c r="V1932"/>
      <c r="W1932"/>
      <c r="X1932"/>
      <c r="Y1932"/>
      <c r="Z1932"/>
      <c r="AA1932"/>
      <c r="AB1932"/>
      <c r="AL1932"/>
      <c r="AM1932"/>
      <c r="AN1932"/>
      <c r="AO1932"/>
    </row>
    <row r="1933" spans="1:41" s="2" customFormat="1" x14ac:dyDescent="0.2">
      <c r="A1933"/>
      <c r="B1933"/>
      <c r="C1933"/>
      <c r="D1933"/>
      <c r="E1933"/>
      <c r="F1933"/>
      <c r="G1933"/>
      <c r="U1933"/>
      <c r="V1933"/>
      <c r="W1933"/>
      <c r="X1933"/>
      <c r="Y1933"/>
      <c r="Z1933"/>
      <c r="AA1933"/>
      <c r="AB1933"/>
      <c r="AL1933"/>
      <c r="AM1933"/>
      <c r="AN1933"/>
      <c r="AO1933"/>
    </row>
    <row r="1934" spans="1:41" s="2" customFormat="1" x14ac:dyDescent="0.2">
      <c r="A1934"/>
      <c r="B1934"/>
      <c r="C1934"/>
      <c r="D1934"/>
      <c r="E1934"/>
      <c r="F1934"/>
      <c r="G1934"/>
      <c r="U1934"/>
      <c r="V1934"/>
      <c r="W1934"/>
      <c r="X1934"/>
      <c r="Y1934"/>
      <c r="Z1934"/>
      <c r="AA1934"/>
      <c r="AB1934"/>
      <c r="AL1934"/>
      <c r="AM1934"/>
      <c r="AN1934"/>
      <c r="AO1934"/>
    </row>
    <row r="1935" spans="1:41" s="2" customFormat="1" x14ac:dyDescent="0.2">
      <c r="A1935"/>
      <c r="B1935"/>
      <c r="C1935"/>
      <c r="D1935"/>
      <c r="E1935"/>
      <c r="F1935"/>
      <c r="G1935"/>
      <c r="U1935"/>
      <c r="V1935"/>
      <c r="W1935"/>
      <c r="X1935"/>
      <c r="Y1935"/>
      <c r="Z1935"/>
      <c r="AA1935"/>
      <c r="AB1935"/>
      <c r="AL1935"/>
      <c r="AM1935"/>
      <c r="AN1935"/>
      <c r="AO1935"/>
    </row>
    <row r="1936" spans="1:41" s="2" customFormat="1" x14ac:dyDescent="0.2">
      <c r="A1936"/>
      <c r="B1936"/>
      <c r="C1936"/>
      <c r="D1936"/>
      <c r="E1936"/>
      <c r="F1936"/>
      <c r="G1936"/>
      <c r="U1936"/>
      <c r="V1936"/>
      <c r="W1936"/>
      <c r="X1936"/>
      <c r="Y1936"/>
      <c r="Z1936"/>
      <c r="AA1936"/>
      <c r="AB1936"/>
      <c r="AL1936"/>
      <c r="AM1936"/>
      <c r="AN1936"/>
      <c r="AO1936"/>
    </row>
    <row r="1937" spans="1:41" s="2" customFormat="1" x14ac:dyDescent="0.2">
      <c r="A1937"/>
      <c r="B1937"/>
      <c r="C1937"/>
      <c r="D1937"/>
      <c r="E1937"/>
      <c r="F1937"/>
      <c r="G1937"/>
      <c r="U1937"/>
      <c r="V1937"/>
      <c r="W1937"/>
      <c r="X1937"/>
      <c r="Y1937"/>
      <c r="Z1937"/>
      <c r="AA1937"/>
      <c r="AB1937"/>
      <c r="AL1937"/>
      <c r="AM1937"/>
      <c r="AN1937"/>
      <c r="AO1937"/>
    </row>
    <row r="1938" spans="1:41" s="2" customFormat="1" x14ac:dyDescent="0.2">
      <c r="A1938"/>
      <c r="B1938"/>
      <c r="C1938"/>
      <c r="D1938"/>
      <c r="E1938"/>
      <c r="F1938"/>
      <c r="G1938"/>
      <c r="U1938"/>
      <c r="V1938"/>
      <c r="W1938"/>
      <c r="X1938"/>
      <c r="Y1938"/>
      <c r="Z1938"/>
      <c r="AA1938"/>
      <c r="AB1938"/>
      <c r="AL1938"/>
      <c r="AM1938"/>
      <c r="AN1938"/>
      <c r="AO1938"/>
    </row>
    <row r="1939" spans="1:41" s="2" customFormat="1" x14ac:dyDescent="0.2">
      <c r="A1939"/>
      <c r="B1939"/>
      <c r="C1939"/>
      <c r="D1939"/>
      <c r="E1939"/>
      <c r="F1939"/>
      <c r="G1939"/>
      <c r="U1939"/>
      <c r="V1939"/>
      <c r="W1939"/>
      <c r="X1939"/>
      <c r="Y1939"/>
      <c r="Z1939"/>
      <c r="AA1939"/>
      <c r="AB1939"/>
      <c r="AL1939"/>
      <c r="AM1939"/>
      <c r="AN1939"/>
      <c r="AO1939"/>
    </row>
    <row r="1940" spans="1:41" s="2" customFormat="1" x14ac:dyDescent="0.2">
      <c r="A1940"/>
      <c r="B1940"/>
      <c r="C1940"/>
      <c r="D1940"/>
      <c r="E1940"/>
      <c r="F1940"/>
      <c r="G1940"/>
      <c r="U1940"/>
      <c r="V1940"/>
      <c r="W1940"/>
      <c r="X1940"/>
      <c r="Y1940"/>
      <c r="Z1940"/>
      <c r="AA1940"/>
      <c r="AB1940"/>
      <c r="AL1940"/>
      <c r="AM1940"/>
      <c r="AN1940"/>
      <c r="AO1940"/>
    </row>
    <row r="1941" spans="1:41" s="2" customFormat="1" x14ac:dyDescent="0.2">
      <c r="A1941"/>
      <c r="B1941"/>
      <c r="C1941"/>
      <c r="D1941"/>
      <c r="E1941"/>
      <c r="F1941"/>
      <c r="G1941"/>
      <c r="U1941"/>
      <c r="V1941"/>
      <c r="W1941"/>
      <c r="X1941"/>
      <c r="Y1941"/>
      <c r="Z1941"/>
      <c r="AA1941"/>
      <c r="AB1941"/>
      <c r="AL1941"/>
      <c r="AM1941"/>
      <c r="AN1941"/>
      <c r="AO1941"/>
    </row>
    <row r="1942" spans="1:41" s="2" customFormat="1" x14ac:dyDescent="0.2">
      <c r="A1942"/>
      <c r="B1942"/>
      <c r="C1942"/>
      <c r="D1942"/>
      <c r="E1942"/>
      <c r="F1942"/>
      <c r="G1942"/>
      <c r="U1942"/>
      <c r="V1942"/>
      <c r="W1942"/>
      <c r="X1942"/>
      <c r="Y1942"/>
      <c r="Z1942"/>
      <c r="AA1942"/>
      <c r="AB1942"/>
      <c r="AL1942"/>
      <c r="AM1942"/>
      <c r="AN1942"/>
      <c r="AO1942"/>
    </row>
    <row r="1943" spans="1:41" s="2" customFormat="1" x14ac:dyDescent="0.2">
      <c r="A1943"/>
      <c r="B1943"/>
      <c r="C1943"/>
      <c r="D1943"/>
      <c r="E1943"/>
      <c r="F1943"/>
      <c r="G1943"/>
      <c r="U1943"/>
      <c r="V1943"/>
      <c r="W1943"/>
      <c r="X1943"/>
      <c r="Y1943"/>
      <c r="Z1943"/>
      <c r="AA1943"/>
      <c r="AB1943"/>
      <c r="AL1943"/>
      <c r="AM1943"/>
      <c r="AN1943"/>
      <c r="AO1943"/>
    </row>
    <row r="1944" spans="1:41" s="2" customFormat="1" x14ac:dyDescent="0.2">
      <c r="A1944"/>
      <c r="B1944"/>
      <c r="C1944"/>
      <c r="D1944"/>
      <c r="E1944"/>
      <c r="F1944"/>
      <c r="G1944"/>
      <c r="U1944"/>
      <c r="V1944"/>
      <c r="W1944"/>
      <c r="X1944"/>
      <c r="Y1944"/>
      <c r="Z1944"/>
      <c r="AA1944"/>
      <c r="AB1944"/>
      <c r="AL1944"/>
      <c r="AM1944"/>
      <c r="AN1944"/>
      <c r="AO1944"/>
    </row>
    <row r="1945" spans="1:41" s="2" customFormat="1" x14ac:dyDescent="0.2">
      <c r="A1945"/>
      <c r="B1945"/>
      <c r="C1945"/>
      <c r="D1945"/>
      <c r="E1945"/>
      <c r="F1945"/>
      <c r="G1945"/>
      <c r="U1945"/>
      <c r="V1945"/>
      <c r="W1945"/>
      <c r="X1945"/>
      <c r="Y1945"/>
      <c r="Z1945"/>
      <c r="AA1945"/>
      <c r="AB1945"/>
      <c r="AL1945"/>
      <c r="AM1945"/>
      <c r="AN1945"/>
      <c r="AO1945"/>
    </row>
    <row r="1946" spans="1:41" s="2" customFormat="1" x14ac:dyDescent="0.2">
      <c r="A1946"/>
      <c r="B1946"/>
      <c r="C1946"/>
      <c r="D1946"/>
      <c r="E1946"/>
      <c r="F1946"/>
      <c r="G1946"/>
      <c r="U1946"/>
      <c r="V1946"/>
      <c r="W1946"/>
      <c r="X1946"/>
      <c r="Y1946"/>
      <c r="Z1946"/>
      <c r="AA1946"/>
      <c r="AB1946"/>
      <c r="AL1946"/>
      <c r="AM1946"/>
      <c r="AN1946"/>
      <c r="AO1946"/>
    </row>
    <row r="1947" spans="1:41" s="2" customFormat="1" x14ac:dyDescent="0.2">
      <c r="A1947"/>
      <c r="B1947"/>
      <c r="C1947"/>
      <c r="D1947"/>
      <c r="E1947"/>
      <c r="F1947"/>
      <c r="G1947"/>
      <c r="U1947"/>
      <c r="V1947"/>
      <c r="W1947"/>
      <c r="X1947"/>
      <c r="Y1947"/>
      <c r="Z1947"/>
      <c r="AA1947"/>
      <c r="AB1947"/>
      <c r="AL1947"/>
      <c r="AM1947"/>
      <c r="AN1947"/>
      <c r="AO1947"/>
    </row>
    <row r="1948" spans="1:41" s="2" customFormat="1" x14ac:dyDescent="0.2">
      <c r="A1948"/>
      <c r="B1948"/>
      <c r="C1948"/>
      <c r="D1948"/>
      <c r="E1948"/>
      <c r="F1948"/>
      <c r="G1948"/>
      <c r="U1948"/>
      <c r="V1948"/>
      <c r="W1948"/>
      <c r="X1948"/>
      <c r="Y1948"/>
      <c r="Z1948"/>
      <c r="AA1948"/>
      <c r="AB1948"/>
      <c r="AL1948"/>
      <c r="AM1948"/>
      <c r="AN1948"/>
      <c r="AO1948"/>
    </row>
    <row r="1949" spans="1:41" s="2" customFormat="1" x14ac:dyDescent="0.2">
      <c r="A1949"/>
      <c r="B1949"/>
      <c r="C1949"/>
      <c r="D1949"/>
      <c r="E1949"/>
      <c r="F1949"/>
      <c r="G1949"/>
      <c r="U1949"/>
      <c r="V1949"/>
      <c r="W1949"/>
      <c r="X1949"/>
      <c r="Y1949"/>
      <c r="Z1949"/>
      <c r="AA1949"/>
      <c r="AB1949"/>
      <c r="AL1949"/>
      <c r="AM1949"/>
      <c r="AN1949"/>
      <c r="AO1949"/>
    </row>
    <row r="1950" spans="1:41" s="2" customFormat="1" x14ac:dyDescent="0.2">
      <c r="A1950"/>
      <c r="B1950"/>
      <c r="C1950"/>
      <c r="D1950"/>
      <c r="E1950"/>
      <c r="F1950"/>
      <c r="G1950"/>
      <c r="U1950"/>
      <c r="V1950"/>
      <c r="W1950"/>
      <c r="X1950"/>
      <c r="Y1950"/>
      <c r="Z1950"/>
      <c r="AA1950"/>
      <c r="AB1950"/>
      <c r="AL1950"/>
      <c r="AM1950"/>
      <c r="AN1950"/>
      <c r="AO1950"/>
    </row>
    <row r="1951" spans="1:41" s="2" customFormat="1" x14ac:dyDescent="0.2">
      <c r="A1951"/>
      <c r="B1951"/>
      <c r="C1951"/>
      <c r="D1951"/>
      <c r="E1951"/>
      <c r="F1951"/>
      <c r="G1951"/>
      <c r="U1951"/>
      <c r="V1951"/>
      <c r="W1951"/>
      <c r="X1951"/>
      <c r="Y1951"/>
      <c r="Z1951"/>
      <c r="AA1951"/>
      <c r="AB1951"/>
      <c r="AL1951"/>
      <c r="AM1951"/>
      <c r="AN1951"/>
      <c r="AO1951"/>
    </row>
    <row r="1952" spans="1:41" s="2" customFormat="1" x14ac:dyDescent="0.2">
      <c r="A1952"/>
      <c r="B1952"/>
      <c r="C1952"/>
      <c r="D1952"/>
      <c r="E1952"/>
      <c r="F1952"/>
      <c r="G1952"/>
      <c r="U1952"/>
      <c r="V1952"/>
      <c r="W1952"/>
      <c r="X1952"/>
      <c r="Y1952"/>
      <c r="Z1952"/>
      <c r="AA1952"/>
      <c r="AB1952"/>
      <c r="AL1952"/>
      <c r="AM1952"/>
      <c r="AN1952"/>
      <c r="AO1952"/>
    </row>
    <row r="1953" spans="1:41" s="2" customFormat="1" x14ac:dyDescent="0.2">
      <c r="A1953"/>
      <c r="B1953"/>
      <c r="C1953"/>
      <c r="D1953"/>
      <c r="E1953"/>
      <c r="F1953"/>
      <c r="G1953"/>
      <c r="U1953"/>
      <c r="V1953"/>
      <c r="W1953"/>
      <c r="X1953"/>
      <c r="Y1953"/>
      <c r="Z1953"/>
      <c r="AA1953"/>
      <c r="AB1953"/>
      <c r="AL1953"/>
      <c r="AM1953"/>
      <c r="AN1953"/>
      <c r="AO1953"/>
    </row>
    <row r="1954" spans="1:41" s="2" customFormat="1" x14ac:dyDescent="0.2">
      <c r="A1954"/>
      <c r="B1954"/>
      <c r="C1954"/>
      <c r="D1954"/>
      <c r="E1954"/>
      <c r="F1954"/>
      <c r="G1954"/>
      <c r="U1954"/>
      <c r="V1954"/>
      <c r="W1954"/>
      <c r="X1954"/>
      <c r="Y1954"/>
      <c r="Z1954"/>
      <c r="AA1954"/>
      <c r="AB1954"/>
      <c r="AL1954"/>
      <c r="AM1954"/>
      <c r="AN1954"/>
      <c r="AO1954"/>
    </row>
    <row r="1955" spans="1:41" s="2" customFormat="1" x14ac:dyDescent="0.2">
      <c r="A1955"/>
      <c r="B1955"/>
      <c r="C1955"/>
      <c r="D1955"/>
      <c r="E1955"/>
      <c r="F1955"/>
      <c r="G1955"/>
      <c r="U1955"/>
      <c r="V1955"/>
      <c r="W1955"/>
      <c r="X1955"/>
      <c r="Y1955"/>
      <c r="Z1955"/>
      <c r="AA1955"/>
      <c r="AB1955"/>
      <c r="AL1955"/>
      <c r="AM1955"/>
      <c r="AN1955"/>
      <c r="AO1955"/>
    </row>
    <row r="1956" spans="1:41" s="2" customFormat="1" x14ac:dyDescent="0.2">
      <c r="A1956"/>
      <c r="B1956"/>
      <c r="C1956"/>
      <c r="D1956"/>
      <c r="E1956"/>
      <c r="F1956"/>
      <c r="G1956"/>
      <c r="U1956"/>
      <c r="V1956"/>
      <c r="W1956"/>
      <c r="X1956"/>
      <c r="Y1956"/>
      <c r="Z1956"/>
      <c r="AA1956"/>
      <c r="AB1956"/>
      <c r="AL1956"/>
      <c r="AM1956"/>
      <c r="AN1956"/>
      <c r="AO1956"/>
    </row>
    <row r="1957" spans="1:41" s="2" customFormat="1" x14ac:dyDescent="0.2">
      <c r="A1957"/>
      <c r="B1957"/>
      <c r="C1957"/>
      <c r="D1957"/>
      <c r="E1957"/>
      <c r="F1957"/>
      <c r="G1957"/>
      <c r="U1957"/>
      <c r="V1957"/>
      <c r="W1957"/>
      <c r="X1957"/>
      <c r="Y1957"/>
      <c r="Z1957"/>
      <c r="AA1957"/>
      <c r="AB1957"/>
      <c r="AL1957"/>
      <c r="AM1957"/>
      <c r="AN1957"/>
      <c r="AO1957"/>
    </row>
    <row r="1958" spans="1:41" s="2" customFormat="1" x14ac:dyDescent="0.2">
      <c r="A1958"/>
      <c r="B1958"/>
      <c r="C1958"/>
      <c r="D1958"/>
      <c r="E1958"/>
      <c r="F1958"/>
      <c r="G1958"/>
      <c r="U1958"/>
      <c r="V1958"/>
      <c r="W1958"/>
      <c r="X1958"/>
      <c r="Y1958"/>
      <c r="Z1958"/>
      <c r="AA1958"/>
      <c r="AB1958"/>
      <c r="AL1958"/>
      <c r="AM1958"/>
      <c r="AN1958"/>
      <c r="AO1958"/>
    </row>
    <row r="1959" spans="1:41" s="2" customFormat="1" x14ac:dyDescent="0.2">
      <c r="A1959"/>
      <c r="B1959"/>
      <c r="C1959"/>
      <c r="D1959"/>
      <c r="E1959"/>
      <c r="F1959"/>
      <c r="G1959"/>
      <c r="U1959"/>
      <c r="V1959"/>
      <c r="W1959"/>
      <c r="X1959"/>
      <c r="Y1959"/>
      <c r="Z1959"/>
      <c r="AA1959"/>
      <c r="AB1959"/>
      <c r="AL1959"/>
      <c r="AM1959"/>
      <c r="AN1959"/>
      <c r="AO1959"/>
    </row>
    <row r="1960" spans="1:41" s="2" customFormat="1" x14ac:dyDescent="0.2">
      <c r="A1960"/>
      <c r="B1960"/>
      <c r="C1960"/>
      <c r="D1960"/>
      <c r="E1960"/>
      <c r="F1960"/>
      <c r="G1960"/>
      <c r="U1960"/>
      <c r="V1960"/>
      <c r="W1960"/>
      <c r="X1960"/>
      <c r="Y1960"/>
      <c r="Z1960"/>
      <c r="AA1960"/>
      <c r="AB1960"/>
      <c r="AL1960"/>
      <c r="AM1960"/>
      <c r="AN1960"/>
      <c r="AO1960"/>
    </row>
    <row r="1961" spans="1:41" s="2" customFormat="1" x14ac:dyDescent="0.2">
      <c r="A1961"/>
      <c r="B1961"/>
      <c r="C1961"/>
      <c r="D1961"/>
      <c r="E1961"/>
      <c r="F1961"/>
      <c r="G1961"/>
      <c r="U1961"/>
      <c r="V1961"/>
      <c r="W1961"/>
      <c r="X1961"/>
      <c r="Y1961"/>
      <c r="Z1961"/>
      <c r="AA1961"/>
      <c r="AB1961"/>
      <c r="AL1961"/>
      <c r="AM1961"/>
      <c r="AN1961"/>
      <c r="AO1961"/>
    </row>
    <row r="1962" spans="1:41" s="2" customFormat="1" x14ac:dyDescent="0.2">
      <c r="A1962"/>
      <c r="B1962"/>
      <c r="C1962"/>
      <c r="D1962"/>
      <c r="E1962"/>
      <c r="F1962"/>
      <c r="G1962"/>
      <c r="U1962"/>
      <c r="V1962"/>
      <c r="W1962"/>
      <c r="X1962"/>
      <c r="Y1962"/>
      <c r="Z1962"/>
      <c r="AA1962"/>
      <c r="AB1962"/>
      <c r="AL1962"/>
      <c r="AM1962"/>
      <c r="AN1962"/>
      <c r="AO1962"/>
    </row>
    <row r="1963" spans="1:41" s="2" customFormat="1" x14ac:dyDescent="0.2">
      <c r="A1963"/>
      <c r="B1963"/>
      <c r="C1963"/>
      <c r="D1963"/>
      <c r="E1963"/>
      <c r="F1963"/>
      <c r="G1963"/>
      <c r="U1963"/>
      <c r="V1963"/>
      <c r="W1963"/>
      <c r="X1963"/>
      <c r="Y1963"/>
      <c r="Z1963"/>
      <c r="AA1963"/>
      <c r="AB1963"/>
      <c r="AL1963"/>
      <c r="AM1963"/>
      <c r="AN1963"/>
      <c r="AO1963"/>
    </row>
    <row r="1964" spans="1:41" s="2" customFormat="1" x14ac:dyDescent="0.2">
      <c r="A1964"/>
      <c r="B1964"/>
      <c r="C1964"/>
      <c r="D1964"/>
      <c r="E1964"/>
      <c r="F1964"/>
      <c r="G1964"/>
      <c r="U1964"/>
      <c r="V1964"/>
      <c r="W1964"/>
      <c r="X1964"/>
      <c r="Y1964"/>
      <c r="Z1964"/>
      <c r="AA1964"/>
      <c r="AB1964"/>
      <c r="AL1964"/>
      <c r="AM1964"/>
      <c r="AN1964"/>
      <c r="AO1964"/>
    </row>
    <row r="1965" spans="1:41" s="2" customFormat="1" x14ac:dyDescent="0.2">
      <c r="A1965"/>
      <c r="B1965"/>
      <c r="C1965"/>
      <c r="D1965"/>
      <c r="E1965"/>
      <c r="F1965"/>
      <c r="G1965"/>
      <c r="U1965"/>
      <c r="V1965"/>
      <c r="W1965"/>
      <c r="X1965"/>
      <c r="Y1965"/>
      <c r="Z1965"/>
      <c r="AA1965"/>
      <c r="AB1965"/>
      <c r="AL1965"/>
      <c r="AM1965"/>
      <c r="AN1965"/>
      <c r="AO1965"/>
    </row>
    <row r="1966" spans="1:41" s="2" customFormat="1" x14ac:dyDescent="0.2">
      <c r="A1966"/>
      <c r="B1966"/>
      <c r="C1966"/>
      <c r="D1966"/>
      <c r="E1966"/>
      <c r="F1966"/>
      <c r="G1966"/>
      <c r="U1966"/>
      <c r="V1966"/>
      <c r="W1966"/>
      <c r="X1966"/>
      <c r="Y1966"/>
      <c r="Z1966"/>
      <c r="AA1966"/>
      <c r="AB1966"/>
      <c r="AL1966"/>
      <c r="AM1966"/>
      <c r="AN1966"/>
      <c r="AO1966"/>
    </row>
    <row r="1967" spans="1:41" s="2" customFormat="1" x14ac:dyDescent="0.2">
      <c r="A1967"/>
      <c r="B1967"/>
      <c r="C1967"/>
      <c r="D1967"/>
      <c r="E1967"/>
      <c r="F1967"/>
      <c r="G1967"/>
      <c r="U1967"/>
      <c r="V1967"/>
      <c r="W1967"/>
      <c r="X1967"/>
      <c r="Y1967"/>
      <c r="Z1967"/>
      <c r="AA1967"/>
      <c r="AB1967"/>
      <c r="AL1967"/>
      <c r="AM1967"/>
      <c r="AN1967"/>
      <c r="AO1967"/>
    </row>
    <row r="1968" spans="1:41" s="2" customFormat="1" x14ac:dyDescent="0.2">
      <c r="A1968"/>
      <c r="B1968"/>
      <c r="C1968"/>
      <c r="D1968"/>
      <c r="E1968"/>
      <c r="F1968"/>
      <c r="G1968"/>
      <c r="U1968"/>
      <c r="V1968"/>
      <c r="W1968"/>
      <c r="X1968"/>
      <c r="Y1968"/>
      <c r="Z1968"/>
      <c r="AA1968"/>
      <c r="AB1968"/>
      <c r="AL1968"/>
      <c r="AM1968"/>
      <c r="AN1968"/>
      <c r="AO1968"/>
    </row>
    <row r="1969" spans="1:41" s="2" customFormat="1" x14ac:dyDescent="0.2">
      <c r="A1969"/>
      <c r="B1969"/>
      <c r="C1969"/>
      <c r="D1969"/>
      <c r="E1969"/>
      <c r="F1969"/>
      <c r="G1969"/>
      <c r="U1969"/>
      <c r="V1969"/>
      <c r="W1969"/>
      <c r="X1969"/>
      <c r="Y1969"/>
      <c r="Z1969"/>
      <c r="AA1969"/>
      <c r="AB1969"/>
      <c r="AL1969"/>
      <c r="AM1969"/>
      <c r="AN1969"/>
      <c r="AO1969"/>
    </row>
    <row r="1970" spans="1:41" s="2" customFormat="1" x14ac:dyDescent="0.2">
      <c r="A1970"/>
      <c r="B1970"/>
      <c r="C1970"/>
      <c r="D1970"/>
      <c r="E1970"/>
      <c r="F1970"/>
      <c r="G1970"/>
      <c r="U1970"/>
      <c r="V1970"/>
      <c r="W1970"/>
      <c r="X1970"/>
      <c r="Y1970"/>
      <c r="Z1970"/>
      <c r="AA1970"/>
      <c r="AB1970"/>
      <c r="AL1970"/>
      <c r="AM1970"/>
      <c r="AN1970"/>
      <c r="AO1970"/>
    </row>
    <row r="1971" spans="1:41" s="2" customFormat="1" x14ac:dyDescent="0.2">
      <c r="A1971"/>
      <c r="B1971"/>
      <c r="C1971"/>
      <c r="D1971"/>
      <c r="E1971"/>
      <c r="F1971"/>
      <c r="G1971"/>
      <c r="U1971"/>
      <c r="V1971"/>
      <c r="W1971"/>
      <c r="X1971"/>
      <c r="Y1971"/>
      <c r="Z1971"/>
      <c r="AA1971"/>
      <c r="AB1971"/>
      <c r="AL1971"/>
      <c r="AM1971"/>
      <c r="AN1971"/>
      <c r="AO1971"/>
    </row>
    <row r="1972" spans="1:41" s="2" customFormat="1" x14ac:dyDescent="0.2">
      <c r="A1972"/>
      <c r="B1972"/>
      <c r="C1972"/>
      <c r="D1972"/>
      <c r="E1972"/>
      <c r="F1972"/>
      <c r="G1972"/>
      <c r="U1972"/>
      <c r="V1972"/>
      <c r="W1972"/>
      <c r="X1972"/>
      <c r="Y1972"/>
      <c r="Z1972"/>
      <c r="AA1972"/>
      <c r="AB1972"/>
      <c r="AL1972"/>
      <c r="AM1972"/>
      <c r="AN1972"/>
      <c r="AO1972"/>
    </row>
    <row r="1973" spans="1:41" s="2" customFormat="1" x14ac:dyDescent="0.2">
      <c r="A1973"/>
      <c r="B1973"/>
      <c r="C1973"/>
      <c r="D1973"/>
      <c r="E1973"/>
      <c r="F1973"/>
      <c r="G1973"/>
      <c r="U1973"/>
      <c r="V1973"/>
      <c r="W1973"/>
      <c r="X1973"/>
      <c r="Y1973"/>
      <c r="Z1973"/>
      <c r="AA1973"/>
      <c r="AB1973"/>
      <c r="AL1973"/>
      <c r="AM1973"/>
      <c r="AN1973"/>
      <c r="AO1973"/>
    </row>
    <row r="1974" spans="1:41" s="2" customFormat="1" x14ac:dyDescent="0.2">
      <c r="A1974"/>
      <c r="B1974"/>
      <c r="C1974"/>
      <c r="D1974"/>
      <c r="E1974"/>
      <c r="F1974"/>
      <c r="G1974"/>
      <c r="U1974"/>
      <c r="V1974"/>
      <c r="W1974"/>
      <c r="X1974"/>
      <c r="Y1974"/>
      <c r="Z1974"/>
      <c r="AA1974"/>
      <c r="AB1974"/>
      <c r="AL1974"/>
      <c r="AM1974"/>
      <c r="AN1974"/>
      <c r="AO1974"/>
    </row>
    <row r="1975" spans="1:41" s="2" customFormat="1" x14ac:dyDescent="0.2">
      <c r="A1975"/>
      <c r="B1975"/>
      <c r="C1975"/>
      <c r="D1975"/>
      <c r="E1975"/>
      <c r="F1975"/>
      <c r="G1975"/>
      <c r="U1975"/>
      <c r="V1975"/>
      <c r="W1975"/>
      <c r="X1975"/>
      <c r="Y1975"/>
      <c r="Z1975"/>
      <c r="AA1975"/>
      <c r="AB1975"/>
      <c r="AL1975"/>
      <c r="AM1975"/>
      <c r="AN1975"/>
      <c r="AO1975"/>
    </row>
    <row r="1976" spans="1:41" s="2" customFormat="1" x14ac:dyDescent="0.2">
      <c r="A1976"/>
      <c r="B1976"/>
      <c r="C1976"/>
      <c r="D1976"/>
      <c r="E1976"/>
      <c r="F1976"/>
      <c r="G1976"/>
      <c r="U1976"/>
      <c r="V1976"/>
      <c r="W1976"/>
      <c r="X1976"/>
      <c r="Y1976"/>
      <c r="Z1976"/>
      <c r="AA1976"/>
      <c r="AB1976"/>
      <c r="AL1976"/>
      <c r="AM1976"/>
      <c r="AN1976"/>
      <c r="AO1976"/>
    </row>
    <row r="1977" spans="1:41" s="2" customFormat="1" x14ac:dyDescent="0.2">
      <c r="A1977"/>
      <c r="B1977"/>
      <c r="C1977"/>
      <c r="D1977"/>
      <c r="E1977"/>
      <c r="F1977"/>
      <c r="G1977"/>
      <c r="U1977"/>
      <c r="V1977"/>
      <c r="W1977"/>
      <c r="X1977"/>
      <c r="Y1977"/>
      <c r="Z1977"/>
      <c r="AA1977"/>
      <c r="AB1977"/>
      <c r="AL1977"/>
      <c r="AM1977"/>
      <c r="AN1977"/>
      <c r="AO1977"/>
    </row>
    <row r="1978" spans="1:41" s="2" customFormat="1" x14ac:dyDescent="0.2">
      <c r="A1978"/>
      <c r="B1978"/>
      <c r="C1978"/>
      <c r="D1978"/>
      <c r="E1978"/>
      <c r="F1978"/>
      <c r="G1978"/>
      <c r="U1978"/>
      <c r="V1978"/>
      <c r="W1978"/>
      <c r="X1978"/>
      <c r="Y1978"/>
      <c r="Z1978"/>
      <c r="AA1978"/>
      <c r="AB1978"/>
      <c r="AL1978"/>
      <c r="AM1978"/>
      <c r="AN1978"/>
      <c r="AO1978"/>
    </row>
    <row r="1979" spans="1:41" s="2" customFormat="1" x14ac:dyDescent="0.2">
      <c r="A1979"/>
      <c r="B1979"/>
      <c r="C1979"/>
      <c r="D1979"/>
      <c r="E1979"/>
      <c r="F1979"/>
      <c r="G1979"/>
      <c r="U1979"/>
      <c r="V1979"/>
      <c r="W1979"/>
      <c r="X1979"/>
      <c r="Y1979"/>
      <c r="Z1979"/>
      <c r="AA1979"/>
      <c r="AB1979"/>
      <c r="AL1979"/>
      <c r="AM1979"/>
      <c r="AN1979"/>
      <c r="AO1979"/>
    </row>
    <row r="1980" spans="1:41" s="2" customFormat="1" x14ac:dyDescent="0.2">
      <c r="A1980"/>
      <c r="B1980"/>
      <c r="C1980"/>
      <c r="D1980"/>
      <c r="E1980"/>
      <c r="F1980"/>
      <c r="G1980"/>
      <c r="U1980"/>
      <c r="V1980"/>
      <c r="W1980"/>
      <c r="X1980"/>
      <c r="Y1980"/>
      <c r="Z1980"/>
      <c r="AA1980"/>
      <c r="AB1980"/>
      <c r="AL1980"/>
      <c r="AM1980"/>
      <c r="AN1980"/>
      <c r="AO1980"/>
    </row>
    <row r="1981" spans="1:41" s="2" customFormat="1" x14ac:dyDescent="0.2">
      <c r="A1981"/>
      <c r="B1981"/>
      <c r="C1981"/>
      <c r="D1981"/>
      <c r="E1981"/>
      <c r="F1981"/>
      <c r="G1981"/>
      <c r="U1981"/>
      <c r="V1981"/>
      <c r="W1981"/>
      <c r="X1981"/>
      <c r="Y1981"/>
      <c r="Z1981"/>
      <c r="AA1981"/>
      <c r="AB1981"/>
      <c r="AL1981"/>
      <c r="AM1981"/>
      <c r="AN1981"/>
      <c r="AO1981"/>
    </row>
    <row r="1982" spans="1:41" s="2" customFormat="1" x14ac:dyDescent="0.2">
      <c r="A1982"/>
      <c r="B1982"/>
      <c r="C1982"/>
      <c r="D1982"/>
      <c r="E1982"/>
      <c r="F1982"/>
      <c r="G1982"/>
      <c r="U1982"/>
      <c r="V1982"/>
      <c r="W1982"/>
      <c r="X1982"/>
      <c r="Y1982"/>
      <c r="Z1982"/>
      <c r="AA1982"/>
      <c r="AB1982"/>
      <c r="AL1982"/>
      <c r="AM1982"/>
      <c r="AN1982"/>
      <c r="AO1982"/>
    </row>
    <row r="1983" spans="1:41" s="2" customFormat="1" x14ac:dyDescent="0.2">
      <c r="A1983"/>
      <c r="B1983"/>
      <c r="C1983"/>
      <c r="D1983"/>
      <c r="E1983"/>
      <c r="F1983"/>
      <c r="G1983"/>
      <c r="U1983"/>
      <c r="V1983"/>
      <c r="W1983"/>
      <c r="X1983"/>
      <c r="Y1983"/>
      <c r="Z1983"/>
      <c r="AA1983"/>
      <c r="AB1983"/>
      <c r="AL1983"/>
      <c r="AM1983"/>
      <c r="AN1983"/>
      <c r="AO1983"/>
    </row>
    <row r="1984" spans="1:41" s="2" customFormat="1" x14ac:dyDescent="0.2">
      <c r="A1984"/>
      <c r="B1984"/>
      <c r="C1984"/>
      <c r="D1984"/>
      <c r="E1984"/>
      <c r="F1984"/>
      <c r="G1984"/>
      <c r="U1984"/>
      <c r="V1984"/>
      <c r="W1984"/>
      <c r="X1984"/>
      <c r="Y1984"/>
      <c r="Z1984"/>
      <c r="AA1984"/>
      <c r="AB1984"/>
      <c r="AL1984"/>
      <c r="AM1984"/>
      <c r="AN1984"/>
      <c r="AO1984"/>
    </row>
    <row r="1985" spans="1:41" s="2" customFormat="1" x14ac:dyDescent="0.2">
      <c r="A1985"/>
      <c r="B1985"/>
      <c r="C1985"/>
      <c r="D1985"/>
      <c r="E1985"/>
      <c r="F1985"/>
      <c r="G1985"/>
      <c r="U1985"/>
      <c r="V1985"/>
      <c r="W1985"/>
      <c r="X1985"/>
      <c r="Y1985"/>
      <c r="Z1985"/>
      <c r="AA1985"/>
      <c r="AB1985"/>
      <c r="AL1985"/>
      <c r="AM1985"/>
      <c r="AN1985"/>
      <c r="AO1985"/>
    </row>
    <row r="1986" spans="1:41" s="2" customFormat="1" x14ac:dyDescent="0.2">
      <c r="A1986"/>
      <c r="B1986"/>
      <c r="C1986"/>
      <c r="D1986"/>
      <c r="E1986"/>
      <c r="F1986"/>
      <c r="G1986"/>
      <c r="U1986"/>
      <c r="V1986"/>
      <c r="W1986"/>
      <c r="X1986"/>
      <c r="Y1986"/>
      <c r="Z1986"/>
      <c r="AA1986"/>
      <c r="AB1986"/>
      <c r="AL1986"/>
      <c r="AM1986"/>
      <c r="AN1986"/>
      <c r="AO1986"/>
    </row>
    <row r="1987" spans="1:41" s="2" customFormat="1" x14ac:dyDescent="0.2">
      <c r="A1987"/>
      <c r="B1987"/>
      <c r="C1987"/>
      <c r="D1987"/>
      <c r="E1987"/>
      <c r="F1987"/>
      <c r="G1987"/>
      <c r="U1987"/>
      <c r="V1987"/>
      <c r="W1987"/>
      <c r="X1987"/>
      <c r="Y1987"/>
      <c r="Z1987"/>
      <c r="AA1987"/>
      <c r="AB1987"/>
      <c r="AL1987"/>
      <c r="AM1987"/>
      <c r="AN1987"/>
      <c r="AO1987"/>
    </row>
    <row r="1988" spans="1:41" s="2" customFormat="1" x14ac:dyDescent="0.2">
      <c r="A1988"/>
      <c r="B1988"/>
      <c r="C1988"/>
      <c r="D1988"/>
      <c r="E1988"/>
      <c r="F1988"/>
      <c r="G1988"/>
      <c r="U1988"/>
      <c r="V1988"/>
      <c r="W1988"/>
      <c r="X1988"/>
      <c r="Y1988"/>
      <c r="Z1988"/>
      <c r="AA1988"/>
      <c r="AB1988"/>
      <c r="AL1988"/>
      <c r="AM1988"/>
      <c r="AN1988"/>
      <c r="AO1988"/>
    </row>
    <row r="1989" spans="1:41" s="2" customFormat="1" x14ac:dyDescent="0.2">
      <c r="A1989"/>
      <c r="B1989"/>
      <c r="C1989"/>
      <c r="D1989"/>
      <c r="E1989"/>
      <c r="F1989"/>
      <c r="G1989"/>
      <c r="U1989"/>
      <c r="V1989"/>
      <c r="W1989"/>
      <c r="X1989"/>
      <c r="Y1989"/>
      <c r="Z1989"/>
      <c r="AA1989"/>
      <c r="AB1989"/>
      <c r="AL1989"/>
      <c r="AM1989"/>
      <c r="AN1989"/>
      <c r="AO1989"/>
    </row>
    <row r="1990" spans="1:41" s="2" customFormat="1" x14ac:dyDescent="0.2">
      <c r="A1990"/>
      <c r="B1990"/>
      <c r="C1990"/>
      <c r="D1990"/>
      <c r="E1990"/>
      <c r="F1990"/>
      <c r="G1990"/>
      <c r="U1990"/>
      <c r="V1990"/>
      <c r="W1990"/>
      <c r="X1990"/>
      <c r="Y1990"/>
      <c r="Z1990"/>
      <c r="AA1990"/>
      <c r="AB1990"/>
      <c r="AL1990"/>
      <c r="AM1990"/>
      <c r="AN1990"/>
      <c r="AO1990"/>
    </row>
    <row r="1991" spans="1:41" s="2" customFormat="1" x14ac:dyDescent="0.2">
      <c r="A1991"/>
      <c r="B1991"/>
      <c r="C1991"/>
      <c r="D1991"/>
      <c r="E1991"/>
      <c r="F1991"/>
      <c r="G1991"/>
      <c r="U1991"/>
      <c r="V1991"/>
      <c r="W1991"/>
      <c r="X1991"/>
      <c r="Y1991"/>
      <c r="Z1991"/>
      <c r="AA1991"/>
      <c r="AB1991"/>
      <c r="AL1991"/>
      <c r="AM1991"/>
      <c r="AN1991"/>
      <c r="AO1991"/>
    </row>
    <row r="1992" spans="1:41" s="2" customFormat="1" x14ac:dyDescent="0.2">
      <c r="A1992"/>
      <c r="B1992"/>
      <c r="C1992"/>
      <c r="D1992"/>
      <c r="E1992"/>
      <c r="F1992"/>
      <c r="G1992"/>
      <c r="U1992"/>
      <c r="V1992"/>
      <c r="W1992"/>
      <c r="X1992"/>
      <c r="Y1992"/>
      <c r="Z1992"/>
      <c r="AA1992"/>
      <c r="AB1992"/>
      <c r="AL1992"/>
      <c r="AM1992"/>
      <c r="AN1992"/>
      <c r="AO1992"/>
    </row>
    <row r="1993" spans="1:41" s="2" customFormat="1" x14ac:dyDescent="0.2">
      <c r="A1993"/>
      <c r="B1993"/>
      <c r="C1993"/>
      <c r="D1993"/>
      <c r="E1993"/>
      <c r="F1993"/>
      <c r="G1993"/>
      <c r="U1993"/>
      <c r="V1993"/>
      <c r="W1993"/>
      <c r="X1993"/>
      <c r="Y1993"/>
      <c r="Z1993"/>
      <c r="AA1993"/>
      <c r="AB1993"/>
      <c r="AL1993"/>
      <c r="AM1993"/>
      <c r="AN1993"/>
      <c r="AO1993"/>
    </row>
    <row r="1994" spans="1:41" s="2" customFormat="1" x14ac:dyDescent="0.2">
      <c r="A1994"/>
      <c r="B1994"/>
      <c r="C1994"/>
      <c r="D1994"/>
      <c r="E1994"/>
      <c r="F1994"/>
      <c r="G1994"/>
      <c r="U1994"/>
      <c r="V1994"/>
      <c r="W1994"/>
      <c r="X1994"/>
      <c r="Y1994"/>
      <c r="Z1994"/>
      <c r="AA1994"/>
      <c r="AB1994"/>
      <c r="AL1994"/>
      <c r="AM1994"/>
      <c r="AN1994"/>
      <c r="AO1994"/>
    </row>
    <row r="1995" spans="1:41" s="2" customFormat="1" x14ac:dyDescent="0.2">
      <c r="A1995"/>
      <c r="B1995"/>
      <c r="C1995"/>
      <c r="D1995"/>
      <c r="E1995"/>
      <c r="F1995"/>
      <c r="G1995"/>
      <c r="U1995"/>
      <c r="V1995"/>
      <c r="W1995"/>
      <c r="X1995"/>
      <c r="Y1995"/>
      <c r="Z1995"/>
      <c r="AA1995"/>
      <c r="AB1995"/>
      <c r="AL1995"/>
      <c r="AM1995"/>
      <c r="AN1995"/>
      <c r="AO1995"/>
    </row>
    <row r="1996" spans="1:41" s="2" customFormat="1" x14ac:dyDescent="0.2">
      <c r="A1996"/>
      <c r="B1996"/>
      <c r="C1996"/>
      <c r="D1996"/>
      <c r="E1996"/>
      <c r="F1996"/>
      <c r="G1996"/>
      <c r="U1996"/>
      <c r="V1996"/>
      <c r="W1996"/>
      <c r="X1996"/>
      <c r="Y1996"/>
      <c r="Z1996"/>
      <c r="AA1996"/>
      <c r="AB1996"/>
      <c r="AL1996"/>
      <c r="AM1996"/>
      <c r="AN1996"/>
      <c r="AO1996"/>
    </row>
    <row r="1997" spans="1:41" s="2" customFormat="1" x14ac:dyDescent="0.2">
      <c r="A1997"/>
      <c r="B1997"/>
      <c r="C1997"/>
      <c r="D1997"/>
      <c r="E1997"/>
      <c r="F1997"/>
      <c r="G1997"/>
      <c r="U1997"/>
      <c r="V1997"/>
      <c r="W1997"/>
      <c r="X1997"/>
      <c r="Y1997"/>
      <c r="Z1997"/>
      <c r="AA1997"/>
      <c r="AB1997"/>
      <c r="AL1997"/>
      <c r="AM1997"/>
      <c r="AN1997"/>
      <c r="AO1997"/>
    </row>
    <row r="1998" spans="1:41" s="2" customFormat="1" x14ac:dyDescent="0.2">
      <c r="A1998"/>
      <c r="B1998"/>
      <c r="C1998"/>
      <c r="D1998"/>
      <c r="E1998"/>
      <c r="F1998"/>
      <c r="G1998"/>
      <c r="U1998"/>
      <c r="V1998"/>
      <c r="W1998"/>
      <c r="X1998"/>
      <c r="Y1998"/>
      <c r="Z1998"/>
      <c r="AA1998"/>
      <c r="AB1998"/>
      <c r="AL1998"/>
      <c r="AM1998"/>
      <c r="AN1998"/>
      <c r="AO1998"/>
    </row>
    <row r="1999" spans="1:41" s="2" customFormat="1" x14ac:dyDescent="0.2">
      <c r="A1999"/>
      <c r="B1999"/>
      <c r="C1999"/>
      <c r="D1999"/>
      <c r="E1999"/>
      <c r="F1999"/>
      <c r="G1999"/>
      <c r="U1999"/>
      <c r="V1999"/>
      <c r="W1999"/>
      <c r="X1999"/>
      <c r="Y1999"/>
      <c r="Z1999"/>
      <c r="AA1999"/>
      <c r="AB1999"/>
      <c r="AL1999"/>
      <c r="AM1999"/>
      <c r="AN1999"/>
      <c r="AO1999"/>
    </row>
    <row r="2000" spans="1:41" s="2" customFormat="1" x14ac:dyDescent="0.2">
      <c r="A2000"/>
      <c r="B2000"/>
      <c r="C2000"/>
      <c r="D2000"/>
      <c r="E2000"/>
      <c r="F2000"/>
      <c r="G2000"/>
      <c r="U2000"/>
      <c r="V2000"/>
      <c r="W2000"/>
      <c r="X2000"/>
      <c r="Y2000"/>
      <c r="Z2000"/>
      <c r="AA2000"/>
      <c r="AB2000"/>
      <c r="AL2000"/>
      <c r="AM2000"/>
      <c r="AN2000"/>
      <c r="AO2000"/>
    </row>
    <row r="2001" spans="1:41" s="2" customFormat="1" x14ac:dyDescent="0.2">
      <c r="A2001"/>
      <c r="B2001"/>
      <c r="C2001"/>
      <c r="D2001"/>
      <c r="E2001"/>
      <c r="F2001"/>
      <c r="G2001"/>
      <c r="U2001"/>
      <c r="V2001"/>
      <c r="W2001"/>
      <c r="X2001"/>
      <c r="Y2001"/>
      <c r="Z2001"/>
      <c r="AA2001"/>
      <c r="AB2001"/>
      <c r="AL2001"/>
      <c r="AM2001"/>
      <c r="AN2001"/>
      <c r="AO2001"/>
    </row>
    <row r="2002" spans="1:41" s="2" customFormat="1" x14ac:dyDescent="0.2">
      <c r="A2002"/>
      <c r="B2002"/>
      <c r="C2002"/>
      <c r="D2002"/>
      <c r="E2002"/>
      <c r="F2002"/>
      <c r="G2002"/>
      <c r="U2002"/>
      <c r="V2002"/>
      <c r="W2002"/>
      <c r="X2002"/>
      <c r="Y2002"/>
      <c r="Z2002"/>
      <c r="AA2002"/>
      <c r="AB2002"/>
      <c r="AL2002"/>
      <c r="AM2002"/>
      <c r="AN2002"/>
      <c r="AO2002"/>
    </row>
    <row r="2003" spans="1:41" s="2" customFormat="1" x14ac:dyDescent="0.2">
      <c r="A2003"/>
      <c r="B2003"/>
      <c r="C2003"/>
      <c r="D2003"/>
      <c r="E2003"/>
      <c r="F2003"/>
      <c r="G2003"/>
      <c r="U2003"/>
      <c r="V2003"/>
      <c r="W2003"/>
      <c r="X2003"/>
      <c r="Y2003"/>
      <c r="Z2003"/>
      <c r="AA2003"/>
      <c r="AB2003"/>
      <c r="AL2003"/>
      <c r="AM2003"/>
      <c r="AN2003"/>
      <c r="AO2003"/>
    </row>
    <row r="2004" spans="1:41" s="2" customFormat="1" x14ac:dyDescent="0.2">
      <c r="A2004"/>
      <c r="B2004"/>
      <c r="C2004"/>
      <c r="D2004"/>
      <c r="E2004"/>
      <c r="F2004"/>
      <c r="G2004"/>
      <c r="U2004"/>
      <c r="V2004"/>
      <c r="W2004"/>
      <c r="X2004"/>
      <c r="Y2004"/>
      <c r="Z2004"/>
      <c r="AA2004"/>
      <c r="AB2004"/>
      <c r="AL2004"/>
      <c r="AM2004"/>
      <c r="AN2004"/>
      <c r="AO2004"/>
    </row>
    <row r="2005" spans="1:41" s="2" customFormat="1" x14ac:dyDescent="0.2">
      <c r="A2005"/>
      <c r="B2005"/>
      <c r="C2005"/>
      <c r="D2005"/>
      <c r="E2005"/>
      <c r="F2005"/>
      <c r="G2005"/>
      <c r="U2005"/>
      <c r="V2005"/>
      <c r="W2005"/>
      <c r="X2005"/>
      <c r="Y2005"/>
      <c r="Z2005"/>
      <c r="AA2005"/>
      <c r="AB2005"/>
      <c r="AL2005"/>
      <c r="AM2005"/>
      <c r="AN2005"/>
      <c r="AO2005"/>
    </row>
    <row r="2006" spans="1:41" s="2" customFormat="1" x14ac:dyDescent="0.2">
      <c r="A2006"/>
      <c r="B2006"/>
      <c r="C2006"/>
      <c r="D2006"/>
      <c r="E2006"/>
      <c r="F2006"/>
      <c r="G2006"/>
      <c r="U2006"/>
      <c r="V2006"/>
      <c r="W2006"/>
      <c r="X2006"/>
      <c r="Y2006"/>
      <c r="Z2006"/>
      <c r="AA2006"/>
      <c r="AB2006"/>
      <c r="AL2006"/>
      <c r="AM2006"/>
      <c r="AN2006"/>
      <c r="AO2006"/>
    </row>
    <row r="2007" spans="1:41" s="2" customFormat="1" x14ac:dyDescent="0.2">
      <c r="A2007"/>
      <c r="B2007"/>
      <c r="C2007"/>
      <c r="D2007"/>
      <c r="E2007"/>
      <c r="F2007"/>
      <c r="G2007"/>
      <c r="U2007"/>
      <c r="V2007"/>
      <c r="W2007"/>
      <c r="X2007"/>
      <c r="Y2007"/>
      <c r="Z2007"/>
      <c r="AA2007"/>
      <c r="AB2007"/>
      <c r="AL2007"/>
      <c r="AM2007"/>
      <c r="AN2007"/>
      <c r="AO2007"/>
    </row>
    <row r="2008" spans="1:41" s="2" customFormat="1" x14ac:dyDescent="0.2">
      <c r="A2008"/>
      <c r="B2008"/>
      <c r="C2008"/>
      <c r="D2008"/>
      <c r="E2008"/>
      <c r="F2008"/>
      <c r="G2008"/>
      <c r="U2008"/>
      <c r="V2008"/>
      <c r="W2008"/>
      <c r="X2008"/>
      <c r="Y2008"/>
      <c r="Z2008"/>
      <c r="AA2008"/>
      <c r="AB2008"/>
      <c r="AL2008"/>
      <c r="AM2008"/>
      <c r="AN2008"/>
      <c r="AO2008"/>
    </row>
    <row r="2009" spans="1:41" s="2" customFormat="1" x14ac:dyDescent="0.2">
      <c r="A2009"/>
      <c r="B2009"/>
      <c r="C2009"/>
      <c r="D2009"/>
      <c r="E2009"/>
      <c r="F2009"/>
      <c r="G2009"/>
      <c r="U2009"/>
      <c r="V2009"/>
      <c r="W2009"/>
      <c r="X2009"/>
      <c r="Y2009"/>
      <c r="Z2009"/>
      <c r="AA2009"/>
      <c r="AB2009"/>
      <c r="AL2009"/>
      <c r="AM2009"/>
      <c r="AN2009"/>
      <c r="AO2009"/>
    </row>
    <row r="2010" spans="1:41" s="2" customFormat="1" x14ac:dyDescent="0.2">
      <c r="A2010"/>
      <c r="B2010"/>
      <c r="C2010"/>
      <c r="D2010"/>
      <c r="E2010"/>
      <c r="F2010"/>
      <c r="G2010"/>
      <c r="U2010"/>
      <c r="V2010"/>
      <c r="W2010"/>
      <c r="X2010"/>
      <c r="Y2010"/>
      <c r="Z2010"/>
      <c r="AA2010"/>
      <c r="AB2010"/>
      <c r="AL2010"/>
      <c r="AM2010"/>
      <c r="AN2010"/>
      <c r="AO2010"/>
    </row>
    <row r="2011" spans="1:41" s="2" customFormat="1" x14ac:dyDescent="0.2">
      <c r="A2011"/>
      <c r="B2011"/>
      <c r="C2011"/>
      <c r="D2011"/>
      <c r="E2011"/>
      <c r="F2011"/>
      <c r="G2011"/>
      <c r="U2011"/>
      <c r="V2011"/>
      <c r="W2011"/>
      <c r="X2011"/>
      <c r="Y2011"/>
      <c r="Z2011"/>
      <c r="AA2011"/>
      <c r="AB2011"/>
      <c r="AL2011"/>
      <c r="AM2011"/>
      <c r="AN2011"/>
      <c r="AO2011"/>
    </row>
    <row r="2012" spans="1:41" s="2" customFormat="1" x14ac:dyDescent="0.2">
      <c r="A2012"/>
      <c r="B2012"/>
      <c r="C2012"/>
      <c r="D2012"/>
      <c r="E2012"/>
      <c r="F2012"/>
      <c r="G2012"/>
      <c r="U2012"/>
      <c r="V2012"/>
      <c r="W2012"/>
      <c r="X2012"/>
      <c r="Y2012"/>
      <c r="Z2012"/>
      <c r="AA2012"/>
      <c r="AB2012"/>
      <c r="AL2012"/>
      <c r="AM2012"/>
      <c r="AN2012"/>
      <c r="AO2012"/>
    </row>
    <row r="2013" spans="1:41" s="2" customFormat="1" x14ac:dyDescent="0.2">
      <c r="A2013"/>
      <c r="B2013"/>
      <c r="C2013"/>
      <c r="D2013"/>
      <c r="E2013"/>
      <c r="F2013"/>
      <c r="G2013"/>
      <c r="U2013"/>
      <c r="V2013"/>
      <c r="W2013"/>
      <c r="X2013"/>
      <c r="Y2013"/>
      <c r="Z2013"/>
      <c r="AA2013"/>
      <c r="AB2013"/>
      <c r="AL2013"/>
      <c r="AM2013"/>
      <c r="AN2013"/>
      <c r="AO2013"/>
    </row>
    <row r="2014" spans="1:41" s="2" customFormat="1" x14ac:dyDescent="0.2">
      <c r="A2014"/>
      <c r="B2014"/>
      <c r="C2014"/>
      <c r="D2014"/>
      <c r="E2014"/>
      <c r="F2014"/>
      <c r="G2014"/>
      <c r="U2014"/>
      <c r="V2014"/>
      <c r="W2014"/>
      <c r="X2014"/>
      <c r="Y2014"/>
      <c r="Z2014"/>
      <c r="AA2014"/>
      <c r="AB2014"/>
      <c r="AL2014"/>
      <c r="AM2014"/>
      <c r="AN2014"/>
      <c r="AO2014"/>
    </row>
    <row r="2015" spans="1:41" s="2" customFormat="1" x14ac:dyDescent="0.2">
      <c r="A2015"/>
      <c r="B2015"/>
      <c r="C2015"/>
      <c r="D2015"/>
      <c r="E2015"/>
      <c r="F2015"/>
      <c r="G2015"/>
      <c r="U2015"/>
      <c r="V2015"/>
      <c r="W2015"/>
      <c r="X2015"/>
      <c r="Y2015"/>
      <c r="Z2015"/>
      <c r="AA2015"/>
      <c r="AB2015"/>
      <c r="AL2015"/>
      <c r="AM2015"/>
      <c r="AN2015"/>
      <c r="AO2015"/>
    </row>
    <row r="2016" spans="1:41" s="2" customFormat="1" x14ac:dyDescent="0.2">
      <c r="A2016"/>
      <c r="B2016"/>
      <c r="C2016"/>
      <c r="D2016"/>
      <c r="E2016"/>
      <c r="F2016"/>
      <c r="G2016"/>
      <c r="U2016"/>
      <c r="V2016"/>
      <c r="W2016"/>
      <c r="X2016"/>
      <c r="Y2016"/>
      <c r="Z2016"/>
      <c r="AA2016"/>
      <c r="AB2016"/>
      <c r="AL2016"/>
      <c r="AM2016"/>
      <c r="AN2016"/>
      <c r="AO2016"/>
    </row>
    <row r="2017" spans="1:41" s="2" customFormat="1" x14ac:dyDescent="0.2">
      <c r="A2017"/>
      <c r="B2017"/>
      <c r="C2017"/>
      <c r="D2017"/>
      <c r="E2017"/>
      <c r="F2017"/>
      <c r="G2017"/>
      <c r="U2017"/>
      <c r="V2017"/>
      <c r="W2017"/>
      <c r="X2017"/>
      <c r="Y2017"/>
      <c r="Z2017"/>
      <c r="AA2017"/>
      <c r="AB2017"/>
      <c r="AL2017"/>
      <c r="AM2017"/>
      <c r="AN2017"/>
      <c r="AO2017"/>
    </row>
    <row r="2018" spans="1:41" s="2" customFormat="1" x14ac:dyDescent="0.2">
      <c r="A2018"/>
      <c r="B2018"/>
      <c r="C2018"/>
      <c r="D2018"/>
      <c r="E2018"/>
      <c r="F2018"/>
      <c r="G2018"/>
      <c r="U2018"/>
      <c r="V2018"/>
      <c r="W2018"/>
      <c r="X2018"/>
      <c r="Y2018"/>
      <c r="Z2018"/>
      <c r="AA2018"/>
      <c r="AB2018"/>
      <c r="AL2018"/>
      <c r="AM2018"/>
      <c r="AN2018"/>
      <c r="AO2018"/>
    </row>
    <row r="2019" spans="1:41" s="2" customFormat="1" x14ac:dyDescent="0.2">
      <c r="A2019"/>
      <c r="B2019"/>
      <c r="C2019"/>
      <c r="D2019"/>
      <c r="E2019"/>
      <c r="F2019"/>
      <c r="G2019"/>
      <c r="U2019"/>
      <c r="V2019"/>
      <c r="W2019"/>
      <c r="X2019"/>
      <c r="Y2019"/>
      <c r="Z2019"/>
      <c r="AA2019"/>
      <c r="AB2019"/>
      <c r="AL2019"/>
      <c r="AM2019"/>
      <c r="AN2019"/>
      <c r="AO2019"/>
    </row>
    <row r="2020" spans="1:41" s="2" customFormat="1" x14ac:dyDescent="0.2">
      <c r="A2020"/>
      <c r="B2020"/>
      <c r="C2020"/>
      <c r="D2020"/>
      <c r="E2020"/>
      <c r="F2020"/>
      <c r="G2020"/>
      <c r="U2020"/>
      <c r="V2020"/>
      <c r="W2020"/>
      <c r="X2020"/>
      <c r="Y2020"/>
      <c r="Z2020"/>
      <c r="AA2020"/>
      <c r="AB2020"/>
      <c r="AL2020"/>
      <c r="AM2020"/>
      <c r="AN2020"/>
      <c r="AO2020"/>
    </row>
    <row r="2021" spans="1:41" s="2" customFormat="1" x14ac:dyDescent="0.2">
      <c r="A2021"/>
      <c r="B2021"/>
      <c r="C2021"/>
      <c r="D2021"/>
      <c r="E2021"/>
      <c r="F2021"/>
      <c r="G2021"/>
      <c r="U2021"/>
      <c r="V2021"/>
      <c r="W2021"/>
      <c r="X2021"/>
      <c r="Y2021"/>
      <c r="Z2021"/>
      <c r="AA2021"/>
      <c r="AB2021"/>
      <c r="AL2021"/>
      <c r="AM2021"/>
      <c r="AN2021"/>
      <c r="AO2021"/>
    </row>
    <row r="2022" spans="1:41" s="2" customFormat="1" x14ac:dyDescent="0.2">
      <c r="A2022"/>
      <c r="B2022"/>
      <c r="C2022"/>
      <c r="D2022"/>
      <c r="E2022"/>
      <c r="F2022"/>
      <c r="G2022"/>
      <c r="U2022"/>
      <c r="V2022"/>
      <c r="W2022"/>
      <c r="X2022"/>
      <c r="Y2022"/>
      <c r="Z2022"/>
      <c r="AA2022"/>
      <c r="AB2022"/>
      <c r="AL2022"/>
      <c r="AM2022"/>
      <c r="AN2022"/>
      <c r="AO2022"/>
    </row>
    <row r="2023" spans="1:41" s="2" customFormat="1" x14ac:dyDescent="0.2">
      <c r="A2023"/>
      <c r="B2023"/>
      <c r="C2023"/>
      <c r="D2023"/>
      <c r="E2023"/>
      <c r="F2023"/>
      <c r="G2023"/>
      <c r="U2023"/>
      <c r="V2023"/>
      <c r="W2023"/>
      <c r="X2023"/>
      <c r="Y2023"/>
      <c r="Z2023"/>
      <c r="AA2023"/>
      <c r="AB2023"/>
      <c r="AL2023"/>
      <c r="AM2023"/>
      <c r="AN2023"/>
      <c r="AO2023"/>
    </row>
    <row r="2024" spans="1:41" s="2" customFormat="1" x14ac:dyDescent="0.2">
      <c r="A2024"/>
      <c r="B2024"/>
      <c r="C2024"/>
      <c r="D2024"/>
      <c r="E2024"/>
      <c r="F2024"/>
      <c r="G2024"/>
      <c r="U2024"/>
      <c r="V2024"/>
      <c r="W2024"/>
      <c r="X2024"/>
      <c r="Y2024"/>
      <c r="Z2024"/>
      <c r="AA2024"/>
      <c r="AB2024"/>
      <c r="AL2024"/>
      <c r="AM2024"/>
      <c r="AN2024"/>
      <c r="AO2024"/>
    </row>
    <row r="2025" spans="1:41" s="2" customFormat="1" x14ac:dyDescent="0.2">
      <c r="A2025"/>
      <c r="B2025"/>
      <c r="C2025"/>
      <c r="D2025"/>
      <c r="E2025"/>
      <c r="F2025"/>
      <c r="G2025"/>
      <c r="U2025"/>
      <c r="V2025"/>
      <c r="W2025"/>
      <c r="X2025"/>
      <c r="Y2025"/>
      <c r="Z2025"/>
      <c r="AA2025"/>
      <c r="AB2025"/>
      <c r="AL2025"/>
      <c r="AM2025"/>
      <c r="AN2025"/>
      <c r="AO2025"/>
    </row>
    <row r="2026" spans="1:41" s="2" customFormat="1" x14ac:dyDescent="0.2">
      <c r="A2026"/>
      <c r="B2026"/>
      <c r="C2026"/>
      <c r="D2026"/>
      <c r="E2026"/>
      <c r="F2026"/>
      <c r="G2026"/>
      <c r="U2026"/>
      <c r="V2026"/>
      <c r="W2026"/>
      <c r="X2026"/>
      <c r="Y2026"/>
      <c r="Z2026"/>
      <c r="AA2026"/>
      <c r="AB2026"/>
      <c r="AL2026"/>
      <c r="AM2026"/>
      <c r="AN2026"/>
      <c r="AO2026"/>
    </row>
    <row r="2027" spans="1:41" s="2" customFormat="1" x14ac:dyDescent="0.2">
      <c r="A2027"/>
      <c r="B2027"/>
      <c r="C2027"/>
      <c r="D2027"/>
      <c r="E2027"/>
      <c r="F2027"/>
      <c r="G2027"/>
      <c r="U2027"/>
      <c r="V2027"/>
      <c r="W2027"/>
      <c r="X2027"/>
      <c r="Y2027"/>
      <c r="Z2027"/>
      <c r="AA2027"/>
      <c r="AB2027"/>
      <c r="AL2027"/>
      <c r="AM2027"/>
      <c r="AN2027"/>
      <c r="AO2027"/>
    </row>
    <row r="2028" spans="1:41" s="2" customFormat="1" x14ac:dyDescent="0.2">
      <c r="A2028"/>
      <c r="B2028"/>
      <c r="C2028"/>
      <c r="D2028"/>
      <c r="E2028"/>
      <c r="F2028"/>
      <c r="G2028"/>
      <c r="U2028"/>
      <c r="V2028"/>
      <c r="W2028"/>
      <c r="X2028"/>
      <c r="Y2028"/>
      <c r="Z2028"/>
      <c r="AA2028"/>
      <c r="AB2028"/>
      <c r="AL2028"/>
      <c r="AM2028"/>
      <c r="AN2028"/>
      <c r="AO2028"/>
    </row>
    <row r="2029" spans="1:41" s="2" customFormat="1" x14ac:dyDescent="0.2">
      <c r="A2029"/>
      <c r="B2029"/>
      <c r="C2029"/>
      <c r="D2029"/>
      <c r="E2029"/>
      <c r="F2029"/>
      <c r="G2029"/>
      <c r="U2029"/>
      <c r="V2029"/>
      <c r="W2029"/>
      <c r="X2029"/>
      <c r="Y2029"/>
      <c r="Z2029"/>
      <c r="AA2029"/>
      <c r="AB2029"/>
      <c r="AL2029"/>
      <c r="AM2029"/>
      <c r="AN2029"/>
      <c r="AO2029"/>
    </row>
    <row r="2030" spans="1:41" s="2" customFormat="1" x14ac:dyDescent="0.2">
      <c r="A2030"/>
      <c r="B2030"/>
      <c r="C2030"/>
      <c r="D2030"/>
      <c r="E2030"/>
      <c r="F2030"/>
      <c r="G2030"/>
      <c r="U2030"/>
      <c r="V2030"/>
      <c r="W2030"/>
      <c r="X2030"/>
      <c r="Y2030"/>
      <c r="Z2030"/>
      <c r="AA2030"/>
      <c r="AB2030"/>
      <c r="AL2030"/>
      <c r="AM2030"/>
      <c r="AN2030"/>
      <c r="AO2030"/>
    </row>
    <row r="2031" spans="1:41" s="2" customFormat="1" x14ac:dyDescent="0.2">
      <c r="A2031"/>
      <c r="B2031"/>
      <c r="C2031"/>
      <c r="D2031"/>
      <c r="E2031"/>
      <c r="F2031"/>
      <c r="G2031"/>
      <c r="U2031"/>
      <c r="V2031"/>
      <c r="W2031"/>
      <c r="X2031"/>
      <c r="Y2031"/>
      <c r="Z2031"/>
      <c r="AA2031"/>
      <c r="AB2031"/>
      <c r="AL2031"/>
      <c r="AM2031"/>
      <c r="AN2031"/>
      <c r="AO2031"/>
    </row>
    <row r="2032" spans="1:41" s="2" customFormat="1" x14ac:dyDescent="0.2">
      <c r="A2032"/>
      <c r="B2032"/>
      <c r="C2032"/>
      <c r="D2032"/>
      <c r="E2032"/>
      <c r="F2032"/>
      <c r="G2032"/>
      <c r="U2032"/>
      <c r="V2032"/>
      <c r="W2032"/>
      <c r="X2032"/>
      <c r="Y2032"/>
      <c r="Z2032"/>
      <c r="AA2032"/>
      <c r="AB2032"/>
      <c r="AL2032"/>
      <c r="AM2032"/>
      <c r="AN2032"/>
      <c r="AO2032"/>
    </row>
    <row r="2033" spans="1:41" s="2" customFormat="1" x14ac:dyDescent="0.2">
      <c r="A2033"/>
      <c r="B2033"/>
      <c r="C2033"/>
      <c r="D2033"/>
      <c r="E2033"/>
      <c r="F2033"/>
      <c r="G2033"/>
      <c r="U2033"/>
      <c r="V2033"/>
      <c r="W2033"/>
      <c r="X2033"/>
      <c r="Y2033"/>
      <c r="Z2033"/>
      <c r="AA2033"/>
      <c r="AB2033"/>
      <c r="AL2033"/>
      <c r="AM2033"/>
      <c r="AN2033"/>
      <c r="AO2033"/>
    </row>
    <row r="2034" spans="1:41" s="2" customFormat="1" x14ac:dyDescent="0.2">
      <c r="A2034"/>
      <c r="B2034"/>
      <c r="C2034"/>
      <c r="D2034"/>
      <c r="E2034"/>
      <c r="F2034"/>
      <c r="G2034"/>
      <c r="U2034"/>
      <c r="V2034"/>
      <c r="W2034"/>
      <c r="X2034"/>
      <c r="Y2034"/>
      <c r="Z2034"/>
      <c r="AA2034"/>
      <c r="AB2034"/>
      <c r="AL2034"/>
      <c r="AM2034"/>
      <c r="AN2034"/>
      <c r="AO2034"/>
    </row>
    <row r="2035" spans="1:41" s="2" customFormat="1" x14ac:dyDescent="0.2">
      <c r="A2035"/>
      <c r="B2035"/>
      <c r="C2035"/>
      <c r="D2035"/>
      <c r="E2035"/>
      <c r="F2035"/>
      <c r="G2035"/>
      <c r="U2035"/>
      <c r="V2035"/>
      <c r="W2035"/>
      <c r="X2035"/>
      <c r="Y2035"/>
      <c r="Z2035"/>
      <c r="AA2035"/>
      <c r="AB2035"/>
      <c r="AL2035"/>
      <c r="AM2035"/>
      <c r="AN2035"/>
      <c r="AO2035"/>
    </row>
    <row r="2036" spans="1:41" s="2" customFormat="1" x14ac:dyDescent="0.2">
      <c r="A2036"/>
      <c r="B2036"/>
      <c r="C2036"/>
      <c r="D2036"/>
      <c r="E2036"/>
      <c r="F2036"/>
      <c r="G2036"/>
      <c r="U2036"/>
      <c r="V2036"/>
      <c r="W2036"/>
      <c r="X2036"/>
      <c r="Y2036"/>
      <c r="Z2036"/>
      <c r="AA2036"/>
      <c r="AB2036"/>
      <c r="AL2036"/>
      <c r="AM2036"/>
      <c r="AN2036"/>
      <c r="AO2036"/>
    </row>
    <row r="2037" spans="1:41" s="2" customFormat="1" x14ac:dyDescent="0.2">
      <c r="A2037"/>
      <c r="B2037"/>
      <c r="C2037"/>
      <c r="D2037"/>
      <c r="E2037"/>
      <c r="F2037"/>
      <c r="G2037"/>
      <c r="U2037"/>
      <c r="V2037"/>
      <c r="W2037"/>
      <c r="X2037"/>
      <c r="Y2037"/>
      <c r="Z2037"/>
      <c r="AA2037"/>
      <c r="AB2037"/>
      <c r="AL2037"/>
      <c r="AM2037"/>
      <c r="AN2037"/>
      <c r="AO2037"/>
    </row>
    <row r="2038" spans="1:41" s="2" customFormat="1" x14ac:dyDescent="0.2">
      <c r="A2038"/>
      <c r="B2038"/>
      <c r="C2038"/>
      <c r="D2038"/>
      <c r="E2038"/>
      <c r="F2038"/>
      <c r="G2038"/>
      <c r="U2038"/>
      <c r="V2038"/>
      <c r="W2038"/>
      <c r="X2038"/>
      <c r="Y2038"/>
      <c r="Z2038"/>
      <c r="AA2038"/>
      <c r="AB2038"/>
      <c r="AL2038"/>
      <c r="AM2038"/>
      <c r="AN2038"/>
      <c r="AO2038"/>
    </row>
    <row r="2039" spans="1:41" s="2" customFormat="1" x14ac:dyDescent="0.2">
      <c r="A2039"/>
      <c r="B2039"/>
      <c r="C2039"/>
      <c r="D2039"/>
      <c r="E2039"/>
      <c r="F2039"/>
      <c r="G2039"/>
      <c r="U2039"/>
      <c r="V2039"/>
      <c r="W2039"/>
      <c r="X2039"/>
      <c r="Y2039"/>
      <c r="Z2039"/>
      <c r="AA2039"/>
      <c r="AB2039"/>
      <c r="AL2039"/>
      <c r="AM2039"/>
      <c r="AN2039"/>
      <c r="AO2039"/>
    </row>
    <row r="2040" spans="1:41" s="2" customFormat="1" x14ac:dyDescent="0.2">
      <c r="A2040"/>
      <c r="B2040"/>
      <c r="C2040"/>
      <c r="D2040"/>
      <c r="E2040"/>
      <c r="F2040"/>
      <c r="G2040"/>
      <c r="U2040"/>
      <c r="V2040"/>
      <c r="W2040"/>
      <c r="X2040"/>
      <c r="Y2040"/>
      <c r="Z2040"/>
      <c r="AA2040"/>
      <c r="AB2040"/>
      <c r="AL2040"/>
      <c r="AM2040"/>
      <c r="AN2040"/>
      <c r="AO2040"/>
    </row>
    <row r="2041" spans="1:41" s="2" customFormat="1" x14ac:dyDescent="0.2">
      <c r="A2041"/>
      <c r="B2041"/>
      <c r="C2041"/>
      <c r="D2041"/>
      <c r="E2041"/>
      <c r="F2041"/>
      <c r="G2041"/>
      <c r="U2041"/>
      <c r="V2041"/>
      <c r="W2041"/>
      <c r="X2041"/>
      <c r="Y2041"/>
      <c r="Z2041"/>
      <c r="AA2041"/>
      <c r="AB2041"/>
      <c r="AL2041"/>
      <c r="AM2041"/>
      <c r="AN2041"/>
      <c r="AO2041"/>
    </row>
    <row r="2042" spans="1:41" s="2" customFormat="1" x14ac:dyDescent="0.2">
      <c r="A2042"/>
      <c r="B2042"/>
      <c r="C2042"/>
      <c r="D2042"/>
      <c r="E2042"/>
      <c r="F2042"/>
      <c r="G2042"/>
      <c r="U2042"/>
      <c r="V2042"/>
      <c r="W2042"/>
      <c r="X2042"/>
      <c r="Y2042"/>
      <c r="Z2042"/>
      <c r="AA2042"/>
      <c r="AB2042"/>
      <c r="AL2042"/>
      <c r="AM2042"/>
      <c r="AN2042"/>
      <c r="AO2042"/>
    </row>
    <row r="2043" spans="1:41" s="2" customFormat="1" x14ac:dyDescent="0.2">
      <c r="A2043"/>
      <c r="B2043"/>
      <c r="C2043"/>
      <c r="D2043"/>
      <c r="E2043"/>
      <c r="F2043"/>
      <c r="G2043"/>
      <c r="U2043"/>
      <c r="V2043"/>
      <c r="W2043"/>
      <c r="X2043"/>
      <c r="Y2043"/>
      <c r="Z2043"/>
      <c r="AA2043"/>
      <c r="AB2043"/>
      <c r="AL2043"/>
      <c r="AM2043"/>
      <c r="AN2043"/>
      <c r="AO2043"/>
    </row>
    <row r="2044" spans="1:41" s="2" customFormat="1" x14ac:dyDescent="0.2">
      <c r="A2044"/>
      <c r="B2044"/>
      <c r="C2044"/>
      <c r="D2044"/>
      <c r="E2044"/>
      <c r="F2044"/>
      <c r="G2044"/>
      <c r="U2044"/>
      <c r="V2044"/>
      <c r="W2044"/>
      <c r="X2044"/>
      <c r="Y2044"/>
      <c r="Z2044"/>
      <c r="AA2044"/>
      <c r="AB2044"/>
      <c r="AL2044"/>
      <c r="AM2044"/>
      <c r="AN2044"/>
      <c r="AO2044"/>
    </row>
    <row r="2045" spans="1:41" s="2" customFormat="1" x14ac:dyDescent="0.2">
      <c r="A2045"/>
      <c r="B2045"/>
      <c r="C2045"/>
      <c r="D2045"/>
      <c r="E2045"/>
      <c r="F2045"/>
      <c r="G2045"/>
      <c r="U2045"/>
      <c r="V2045"/>
      <c r="W2045"/>
      <c r="X2045"/>
      <c r="Y2045"/>
      <c r="Z2045"/>
      <c r="AA2045"/>
      <c r="AB2045"/>
      <c r="AL2045"/>
      <c r="AM2045"/>
      <c r="AN2045"/>
      <c r="AO2045"/>
    </row>
    <row r="2046" spans="1:41" s="2" customFormat="1" x14ac:dyDescent="0.2">
      <c r="A2046"/>
      <c r="B2046"/>
      <c r="C2046"/>
      <c r="D2046"/>
      <c r="E2046"/>
      <c r="F2046"/>
      <c r="G2046"/>
      <c r="U2046"/>
      <c r="V2046"/>
      <c r="W2046"/>
      <c r="X2046"/>
      <c r="Y2046"/>
      <c r="Z2046"/>
      <c r="AA2046"/>
      <c r="AB2046"/>
      <c r="AL2046"/>
      <c r="AM2046"/>
      <c r="AN2046"/>
      <c r="AO2046"/>
    </row>
    <row r="2047" spans="1:41" s="2" customFormat="1" x14ac:dyDescent="0.2">
      <c r="A2047"/>
      <c r="B2047"/>
      <c r="C2047"/>
      <c r="D2047"/>
      <c r="E2047"/>
      <c r="F2047"/>
      <c r="G2047"/>
      <c r="U2047"/>
      <c r="V2047"/>
      <c r="W2047"/>
      <c r="X2047"/>
      <c r="Y2047"/>
      <c r="Z2047"/>
      <c r="AA2047"/>
      <c r="AB2047"/>
      <c r="AL2047"/>
      <c r="AM2047"/>
      <c r="AN2047"/>
      <c r="AO2047"/>
    </row>
    <row r="2048" spans="1:41" s="2" customFormat="1" x14ac:dyDescent="0.2">
      <c r="A2048"/>
      <c r="B2048"/>
      <c r="C2048"/>
      <c r="D2048"/>
      <c r="E2048"/>
      <c r="F2048"/>
      <c r="G2048"/>
      <c r="U2048"/>
      <c r="V2048"/>
      <c r="W2048"/>
      <c r="X2048"/>
      <c r="Y2048"/>
      <c r="Z2048"/>
      <c r="AA2048"/>
      <c r="AB2048"/>
      <c r="AL2048"/>
      <c r="AM2048"/>
      <c r="AN2048"/>
      <c r="AO2048"/>
    </row>
    <row r="2049" spans="1:41" s="2" customFormat="1" x14ac:dyDescent="0.2">
      <c r="A2049"/>
      <c r="B2049"/>
      <c r="C2049"/>
      <c r="D2049"/>
      <c r="E2049"/>
      <c r="F2049"/>
      <c r="G2049"/>
      <c r="U2049"/>
      <c r="V2049"/>
      <c r="W2049"/>
      <c r="X2049"/>
      <c r="Y2049"/>
      <c r="Z2049"/>
      <c r="AA2049"/>
      <c r="AB2049"/>
      <c r="AL2049"/>
      <c r="AM2049"/>
      <c r="AN2049"/>
      <c r="AO2049"/>
    </row>
    <row r="2050" spans="1:41" s="2" customFormat="1" x14ac:dyDescent="0.2">
      <c r="A2050"/>
      <c r="B2050"/>
      <c r="C2050"/>
      <c r="D2050"/>
      <c r="E2050"/>
      <c r="F2050"/>
      <c r="G2050"/>
      <c r="U2050"/>
      <c r="V2050"/>
      <c r="W2050"/>
      <c r="X2050"/>
      <c r="Y2050"/>
      <c r="Z2050"/>
      <c r="AA2050"/>
      <c r="AB2050"/>
      <c r="AL2050"/>
      <c r="AM2050"/>
      <c r="AN2050"/>
      <c r="AO2050"/>
    </row>
    <row r="2051" spans="1:41" s="2" customFormat="1" x14ac:dyDescent="0.2">
      <c r="A2051"/>
      <c r="B2051"/>
      <c r="C2051"/>
      <c r="D2051"/>
      <c r="E2051"/>
      <c r="F2051"/>
      <c r="G2051"/>
      <c r="U2051"/>
      <c r="V2051"/>
      <c r="W2051"/>
      <c r="X2051"/>
      <c r="Y2051"/>
      <c r="Z2051"/>
      <c r="AA2051"/>
      <c r="AB2051"/>
      <c r="AL2051"/>
      <c r="AM2051"/>
      <c r="AN2051"/>
      <c r="AO2051"/>
    </row>
    <row r="2052" spans="1:41" s="2" customFormat="1" x14ac:dyDescent="0.2">
      <c r="A2052"/>
      <c r="B2052"/>
      <c r="C2052"/>
      <c r="D2052"/>
      <c r="E2052"/>
      <c r="F2052"/>
      <c r="G2052"/>
      <c r="U2052"/>
      <c r="V2052"/>
      <c r="W2052"/>
      <c r="X2052"/>
      <c r="Y2052"/>
      <c r="Z2052"/>
      <c r="AA2052"/>
      <c r="AB2052"/>
      <c r="AL2052"/>
      <c r="AM2052"/>
      <c r="AN2052"/>
      <c r="AO2052"/>
    </row>
    <row r="2053" spans="1:41" s="2" customFormat="1" x14ac:dyDescent="0.2">
      <c r="A2053"/>
      <c r="B2053"/>
      <c r="C2053"/>
      <c r="D2053"/>
      <c r="E2053"/>
      <c r="F2053"/>
      <c r="G2053"/>
      <c r="U2053"/>
      <c r="V2053"/>
      <c r="W2053"/>
      <c r="X2053"/>
      <c r="Y2053"/>
      <c r="Z2053"/>
      <c r="AA2053"/>
      <c r="AB2053"/>
      <c r="AL2053"/>
      <c r="AM2053"/>
      <c r="AN2053"/>
      <c r="AO2053"/>
    </row>
    <row r="2054" spans="1:41" s="2" customFormat="1" x14ac:dyDescent="0.2">
      <c r="A2054"/>
      <c r="B2054"/>
      <c r="C2054"/>
      <c r="D2054"/>
      <c r="E2054"/>
      <c r="F2054"/>
      <c r="G2054"/>
      <c r="U2054"/>
      <c r="V2054"/>
      <c r="W2054"/>
      <c r="X2054"/>
      <c r="Y2054"/>
      <c r="Z2054"/>
      <c r="AA2054"/>
      <c r="AB2054"/>
      <c r="AL2054"/>
      <c r="AM2054"/>
      <c r="AN2054"/>
      <c r="AO2054"/>
    </row>
    <row r="2055" spans="1:41" s="2" customFormat="1" x14ac:dyDescent="0.2">
      <c r="A2055"/>
      <c r="B2055"/>
      <c r="C2055"/>
      <c r="D2055"/>
      <c r="E2055"/>
      <c r="F2055"/>
      <c r="G2055"/>
      <c r="U2055"/>
      <c r="V2055"/>
      <c r="W2055"/>
      <c r="X2055"/>
      <c r="Y2055"/>
      <c r="Z2055"/>
      <c r="AA2055"/>
      <c r="AB2055"/>
      <c r="AL2055"/>
      <c r="AM2055"/>
      <c r="AN2055"/>
      <c r="AO2055"/>
    </row>
    <row r="2056" spans="1:41" s="2" customFormat="1" x14ac:dyDescent="0.2">
      <c r="A2056"/>
      <c r="B2056"/>
      <c r="C2056"/>
      <c r="D2056"/>
      <c r="E2056"/>
      <c r="F2056"/>
      <c r="G2056"/>
      <c r="U2056"/>
      <c r="V2056"/>
      <c r="W2056"/>
      <c r="X2056"/>
      <c r="Y2056"/>
      <c r="Z2056"/>
      <c r="AA2056"/>
      <c r="AB2056"/>
      <c r="AL2056"/>
      <c r="AM2056"/>
      <c r="AN2056"/>
      <c r="AO2056"/>
    </row>
    <row r="2057" spans="1:41" s="2" customFormat="1" x14ac:dyDescent="0.2">
      <c r="A2057"/>
      <c r="B2057"/>
      <c r="C2057"/>
      <c r="D2057"/>
      <c r="E2057"/>
      <c r="F2057"/>
      <c r="G2057"/>
      <c r="U2057"/>
      <c r="V2057"/>
      <c r="W2057"/>
      <c r="X2057"/>
      <c r="Y2057"/>
      <c r="Z2057"/>
      <c r="AA2057"/>
      <c r="AB2057"/>
      <c r="AL2057"/>
      <c r="AM2057"/>
      <c r="AN2057"/>
      <c r="AO2057"/>
    </row>
    <row r="2058" spans="1:41" s="2" customFormat="1" x14ac:dyDescent="0.2">
      <c r="A2058"/>
      <c r="B2058"/>
      <c r="C2058"/>
      <c r="D2058"/>
      <c r="E2058"/>
      <c r="F2058"/>
      <c r="G2058"/>
      <c r="U2058"/>
      <c r="V2058"/>
      <c r="W2058"/>
      <c r="X2058"/>
      <c r="Y2058"/>
      <c r="Z2058"/>
      <c r="AA2058"/>
      <c r="AB2058"/>
      <c r="AL2058"/>
      <c r="AM2058"/>
      <c r="AN2058"/>
      <c r="AO2058"/>
    </row>
    <row r="2059" spans="1:41" s="2" customFormat="1" x14ac:dyDescent="0.2">
      <c r="A2059"/>
      <c r="B2059"/>
      <c r="C2059"/>
      <c r="D2059"/>
      <c r="E2059"/>
      <c r="F2059"/>
      <c r="G2059"/>
      <c r="U2059"/>
      <c r="V2059"/>
      <c r="W2059"/>
      <c r="X2059"/>
      <c r="Y2059"/>
      <c r="Z2059"/>
      <c r="AA2059"/>
      <c r="AB2059"/>
      <c r="AL2059"/>
      <c r="AM2059"/>
      <c r="AN2059"/>
      <c r="AO2059"/>
    </row>
    <row r="2060" spans="1:41" s="2" customFormat="1" x14ac:dyDescent="0.2">
      <c r="A2060"/>
      <c r="B2060"/>
      <c r="C2060"/>
      <c r="D2060"/>
      <c r="E2060"/>
      <c r="F2060"/>
      <c r="G2060"/>
      <c r="U2060"/>
      <c r="V2060"/>
      <c r="W2060"/>
      <c r="X2060"/>
      <c r="Y2060"/>
      <c r="Z2060"/>
      <c r="AA2060"/>
      <c r="AB2060"/>
      <c r="AL2060"/>
      <c r="AM2060"/>
      <c r="AN2060"/>
      <c r="AO2060"/>
    </row>
    <row r="2061" spans="1:41" s="2" customFormat="1" x14ac:dyDescent="0.2">
      <c r="A2061"/>
      <c r="B2061"/>
      <c r="C2061"/>
      <c r="D2061"/>
      <c r="E2061"/>
      <c r="F2061"/>
      <c r="G2061"/>
      <c r="U2061"/>
      <c r="V2061"/>
      <c r="W2061"/>
      <c r="X2061"/>
      <c r="Y2061"/>
      <c r="Z2061"/>
      <c r="AA2061"/>
      <c r="AB2061"/>
      <c r="AL2061"/>
      <c r="AM2061"/>
      <c r="AN2061"/>
      <c r="AO2061"/>
    </row>
    <row r="2062" spans="1:41" s="2" customFormat="1" x14ac:dyDescent="0.2">
      <c r="A2062"/>
      <c r="B2062"/>
      <c r="C2062"/>
      <c r="D2062"/>
      <c r="E2062"/>
      <c r="F2062"/>
      <c r="G2062"/>
      <c r="U2062"/>
      <c r="V2062"/>
      <c r="W2062"/>
      <c r="X2062"/>
      <c r="Y2062"/>
      <c r="Z2062"/>
      <c r="AA2062"/>
      <c r="AB2062"/>
      <c r="AL2062"/>
      <c r="AM2062"/>
      <c r="AN2062"/>
      <c r="AO2062"/>
    </row>
    <row r="2063" spans="1:41" s="2" customFormat="1" x14ac:dyDescent="0.2">
      <c r="A2063"/>
      <c r="B2063"/>
      <c r="C2063"/>
      <c r="D2063"/>
      <c r="E2063"/>
      <c r="F2063"/>
      <c r="G2063"/>
      <c r="U2063"/>
      <c r="V2063"/>
      <c r="W2063"/>
      <c r="X2063"/>
      <c r="Y2063"/>
      <c r="Z2063"/>
      <c r="AA2063"/>
      <c r="AB2063"/>
      <c r="AL2063"/>
      <c r="AM2063"/>
      <c r="AN2063"/>
      <c r="AO2063"/>
    </row>
    <row r="2064" spans="1:41" s="2" customFormat="1" x14ac:dyDescent="0.2">
      <c r="A2064"/>
      <c r="B2064"/>
      <c r="C2064"/>
      <c r="D2064"/>
      <c r="E2064"/>
      <c r="F2064"/>
      <c r="G2064"/>
      <c r="U2064"/>
      <c r="V2064"/>
      <c r="W2064"/>
      <c r="X2064"/>
      <c r="Y2064"/>
      <c r="Z2064"/>
      <c r="AA2064"/>
      <c r="AB2064"/>
      <c r="AL2064"/>
      <c r="AM2064"/>
      <c r="AN2064"/>
      <c r="AO2064"/>
    </row>
    <row r="2065" spans="1:41" s="2" customFormat="1" x14ac:dyDescent="0.2">
      <c r="A2065"/>
      <c r="B2065"/>
      <c r="C2065"/>
      <c r="D2065"/>
      <c r="E2065"/>
      <c r="F2065"/>
      <c r="G2065"/>
      <c r="U2065"/>
      <c r="V2065"/>
      <c r="W2065"/>
      <c r="X2065"/>
      <c r="Y2065"/>
      <c r="Z2065"/>
      <c r="AA2065"/>
      <c r="AB2065"/>
      <c r="AL2065"/>
      <c r="AM2065"/>
      <c r="AN2065"/>
      <c r="AO2065"/>
    </row>
    <row r="2066" spans="1:41" s="2" customFormat="1" x14ac:dyDescent="0.2">
      <c r="A2066"/>
      <c r="B2066"/>
      <c r="C2066"/>
      <c r="D2066"/>
      <c r="E2066"/>
      <c r="F2066"/>
      <c r="G2066"/>
      <c r="U2066"/>
      <c r="V2066"/>
      <c r="W2066"/>
      <c r="X2066"/>
      <c r="Y2066"/>
      <c r="Z2066"/>
      <c r="AA2066"/>
      <c r="AB2066"/>
      <c r="AL2066"/>
      <c r="AM2066"/>
      <c r="AN2066"/>
      <c r="AO2066"/>
    </row>
    <row r="2067" spans="1:41" s="2" customFormat="1" x14ac:dyDescent="0.2">
      <c r="A2067"/>
      <c r="B2067"/>
      <c r="C2067"/>
      <c r="D2067"/>
      <c r="E2067"/>
      <c r="F2067"/>
      <c r="G2067"/>
      <c r="U2067"/>
      <c r="V2067"/>
      <c r="W2067"/>
      <c r="X2067"/>
      <c r="Y2067"/>
      <c r="Z2067"/>
      <c r="AA2067"/>
      <c r="AB2067"/>
      <c r="AL2067"/>
      <c r="AM2067"/>
      <c r="AN2067"/>
      <c r="AO2067"/>
    </row>
    <row r="2068" spans="1:41" s="2" customFormat="1" x14ac:dyDescent="0.2">
      <c r="A2068"/>
      <c r="B2068"/>
      <c r="C2068"/>
      <c r="D2068"/>
      <c r="E2068"/>
      <c r="F2068"/>
      <c r="G2068"/>
      <c r="U2068"/>
      <c r="V2068"/>
      <c r="W2068"/>
      <c r="X2068"/>
      <c r="Y2068"/>
      <c r="Z2068"/>
      <c r="AA2068"/>
      <c r="AB2068"/>
      <c r="AL2068"/>
      <c r="AM2068"/>
      <c r="AN2068"/>
      <c r="AO2068"/>
    </row>
    <row r="2069" spans="1:41" s="2" customFormat="1" x14ac:dyDescent="0.2">
      <c r="A2069"/>
      <c r="B2069"/>
      <c r="C2069"/>
      <c r="D2069"/>
      <c r="E2069"/>
      <c r="F2069"/>
      <c r="G2069"/>
      <c r="U2069"/>
      <c r="V2069"/>
      <c r="W2069"/>
      <c r="X2069"/>
      <c r="Y2069"/>
      <c r="Z2069"/>
      <c r="AA2069"/>
      <c r="AB2069"/>
      <c r="AL2069"/>
      <c r="AM2069"/>
      <c r="AN2069"/>
      <c r="AO2069"/>
    </row>
    <row r="2070" spans="1:41" s="2" customFormat="1" x14ac:dyDescent="0.2">
      <c r="A2070"/>
      <c r="B2070"/>
      <c r="C2070"/>
      <c r="D2070"/>
      <c r="E2070"/>
      <c r="F2070"/>
      <c r="G2070"/>
      <c r="U2070"/>
      <c r="V2070"/>
      <c r="W2070"/>
      <c r="X2070"/>
      <c r="Y2070"/>
      <c r="Z2070"/>
      <c r="AA2070"/>
      <c r="AB2070"/>
      <c r="AL2070"/>
      <c r="AM2070"/>
      <c r="AN2070"/>
      <c r="AO2070"/>
    </row>
    <row r="2071" spans="1:41" s="2" customFormat="1" x14ac:dyDescent="0.2">
      <c r="A2071"/>
      <c r="B2071"/>
      <c r="C2071"/>
      <c r="D2071"/>
      <c r="E2071"/>
      <c r="F2071"/>
      <c r="G2071"/>
      <c r="U2071"/>
      <c r="V2071"/>
      <c r="W2071"/>
      <c r="X2071"/>
      <c r="Y2071"/>
      <c r="Z2071"/>
      <c r="AA2071"/>
      <c r="AB2071"/>
      <c r="AL2071"/>
      <c r="AM2071"/>
      <c r="AN2071"/>
      <c r="AO2071"/>
    </row>
    <row r="2072" spans="1:41" s="2" customFormat="1" x14ac:dyDescent="0.2">
      <c r="A2072"/>
      <c r="B2072"/>
      <c r="C2072"/>
      <c r="D2072"/>
      <c r="E2072"/>
      <c r="F2072"/>
      <c r="G2072"/>
      <c r="U2072"/>
      <c r="V2072"/>
      <c r="W2072"/>
      <c r="X2072"/>
      <c r="Y2072"/>
      <c r="Z2072"/>
      <c r="AA2072"/>
      <c r="AB2072"/>
      <c r="AL2072"/>
      <c r="AM2072"/>
      <c r="AN2072"/>
      <c r="AO2072"/>
    </row>
    <row r="2073" spans="1:41" s="2" customFormat="1" x14ac:dyDescent="0.2">
      <c r="A2073"/>
      <c r="B2073"/>
      <c r="C2073"/>
      <c r="D2073"/>
      <c r="E2073"/>
      <c r="F2073"/>
      <c r="G2073"/>
      <c r="U2073"/>
      <c r="V2073"/>
      <c r="W2073"/>
      <c r="X2073"/>
      <c r="Y2073"/>
      <c r="Z2073"/>
      <c r="AA2073"/>
      <c r="AB2073"/>
      <c r="AL2073"/>
      <c r="AM2073"/>
      <c r="AN2073"/>
      <c r="AO2073"/>
    </row>
    <row r="2074" spans="1:41" s="2" customFormat="1" x14ac:dyDescent="0.2">
      <c r="A2074"/>
      <c r="B2074"/>
      <c r="C2074"/>
      <c r="D2074"/>
      <c r="E2074"/>
      <c r="F2074"/>
      <c r="G2074"/>
      <c r="U2074"/>
      <c r="V2074"/>
      <c r="W2074"/>
      <c r="X2074"/>
      <c r="Y2074"/>
      <c r="Z2074"/>
      <c r="AA2074"/>
      <c r="AB2074"/>
      <c r="AL2074"/>
      <c r="AM2074"/>
      <c r="AN2074"/>
      <c r="AO2074"/>
    </row>
    <row r="2075" spans="1:41" s="2" customFormat="1" x14ac:dyDescent="0.2">
      <c r="A2075"/>
      <c r="B2075"/>
      <c r="C2075"/>
      <c r="D2075"/>
      <c r="E2075"/>
      <c r="F2075"/>
      <c r="G2075"/>
      <c r="U2075"/>
      <c r="V2075"/>
      <c r="W2075"/>
      <c r="X2075"/>
      <c r="Y2075"/>
      <c r="Z2075"/>
      <c r="AA2075"/>
      <c r="AB2075"/>
      <c r="AL2075"/>
      <c r="AM2075"/>
      <c r="AN2075"/>
      <c r="AO2075"/>
    </row>
    <row r="2076" spans="1:41" s="2" customFormat="1" x14ac:dyDescent="0.2">
      <c r="A2076"/>
      <c r="B2076"/>
      <c r="C2076"/>
      <c r="D2076"/>
      <c r="E2076"/>
      <c r="F2076"/>
      <c r="G2076"/>
      <c r="U2076"/>
      <c r="V2076"/>
      <c r="W2076"/>
      <c r="X2076"/>
      <c r="Y2076"/>
      <c r="Z2076"/>
      <c r="AA2076"/>
      <c r="AB2076"/>
      <c r="AL2076"/>
      <c r="AM2076"/>
      <c r="AN2076"/>
      <c r="AO2076"/>
    </row>
    <row r="2077" spans="1:41" s="2" customFormat="1" x14ac:dyDescent="0.2">
      <c r="A2077"/>
      <c r="B2077"/>
      <c r="C2077"/>
      <c r="D2077"/>
      <c r="E2077"/>
      <c r="F2077"/>
      <c r="G2077"/>
      <c r="U2077"/>
      <c r="V2077"/>
      <c r="W2077"/>
      <c r="X2077"/>
      <c r="Y2077"/>
      <c r="Z2077"/>
      <c r="AA2077"/>
      <c r="AB2077"/>
      <c r="AL2077"/>
      <c r="AM2077"/>
      <c r="AN2077"/>
      <c r="AO2077"/>
    </row>
    <row r="2078" spans="1:41" s="2" customFormat="1" x14ac:dyDescent="0.2">
      <c r="A2078"/>
      <c r="B2078"/>
      <c r="C2078"/>
      <c r="D2078"/>
      <c r="E2078"/>
      <c r="F2078"/>
      <c r="G2078"/>
      <c r="U2078"/>
      <c r="V2078"/>
      <c r="W2078"/>
      <c r="X2078"/>
      <c r="Y2078"/>
      <c r="Z2078"/>
      <c r="AA2078"/>
      <c r="AB2078"/>
      <c r="AL2078"/>
      <c r="AM2078"/>
      <c r="AN2078"/>
      <c r="AO2078"/>
    </row>
    <row r="2079" spans="1:41" s="2" customFormat="1" x14ac:dyDescent="0.2">
      <c r="A2079"/>
      <c r="B2079"/>
      <c r="C2079"/>
      <c r="D2079"/>
      <c r="E2079"/>
      <c r="F2079"/>
      <c r="G2079"/>
      <c r="U2079"/>
      <c r="V2079"/>
      <c r="W2079"/>
      <c r="X2079"/>
      <c r="Y2079"/>
      <c r="Z2079"/>
      <c r="AA2079"/>
      <c r="AB2079"/>
      <c r="AL2079"/>
      <c r="AM2079"/>
      <c r="AN2079"/>
      <c r="AO2079"/>
    </row>
    <row r="2080" spans="1:41" s="2" customFormat="1" x14ac:dyDescent="0.2">
      <c r="A2080"/>
      <c r="B2080"/>
      <c r="C2080"/>
      <c r="D2080"/>
      <c r="E2080"/>
      <c r="F2080"/>
      <c r="G2080"/>
      <c r="U2080"/>
      <c r="V2080"/>
      <c r="W2080"/>
      <c r="X2080"/>
      <c r="Y2080"/>
      <c r="Z2080"/>
      <c r="AA2080"/>
      <c r="AB2080"/>
      <c r="AL2080"/>
      <c r="AM2080"/>
      <c r="AN2080"/>
      <c r="AO2080"/>
    </row>
    <row r="2081" spans="1:41" s="2" customFormat="1" x14ac:dyDescent="0.2">
      <c r="A2081"/>
      <c r="B2081"/>
      <c r="C2081"/>
      <c r="D2081"/>
      <c r="E2081"/>
      <c r="F2081"/>
      <c r="G2081"/>
      <c r="U2081"/>
      <c r="V2081"/>
      <c r="W2081"/>
      <c r="X2081"/>
      <c r="Y2081"/>
      <c r="Z2081"/>
      <c r="AA2081"/>
      <c r="AB2081"/>
      <c r="AL2081"/>
      <c r="AM2081"/>
      <c r="AN2081"/>
      <c r="AO2081"/>
    </row>
    <row r="2082" spans="1:41" s="2" customFormat="1" x14ac:dyDescent="0.2">
      <c r="A2082"/>
      <c r="B2082"/>
      <c r="C2082"/>
      <c r="D2082"/>
      <c r="E2082"/>
      <c r="F2082"/>
      <c r="G2082"/>
      <c r="U2082"/>
      <c r="V2082"/>
      <c r="W2082"/>
      <c r="X2082"/>
      <c r="Y2082"/>
      <c r="Z2082"/>
      <c r="AA2082"/>
      <c r="AB2082"/>
      <c r="AL2082"/>
      <c r="AM2082"/>
      <c r="AN2082"/>
      <c r="AO2082"/>
    </row>
    <row r="2083" spans="1:41" s="2" customFormat="1" x14ac:dyDescent="0.2">
      <c r="A2083"/>
      <c r="B2083"/>
      <c r="C2083"/>
      <c r="D2083"/>
      <c r="E2083"/>
      <c r="F2083"/>
      <c r="G2083"/>
      <c r="U2083"/>
      <c r="V2083"/>
      <c r="W2083"/>
      <c r="X2083"/>
      <c r="Y2083"/>
      <c r="Z2083"/>
      <c r="AA2083"/>
      <c r="AB2083"/>
      <c r="AL2083"/>
      <c r="AM2083"/>
      <c r="AN2083"/>
      <c r="AO2083"/>
    </row>
    <row r="2084" spans="1:41" s="2" customFormat="1" x14ac:dyDescent="0.2">
      <c r="A2084"/>
      <c r="B2084"/>
      <c r="C2084"/>
      <c r="D2084"/>
      <c r="E2084"/>
      <c r="F2084"/>
      <c r="G2084"/>
      <c r="U2084"/>
      <c r="V2084"/>
      <c r="W2084"/>
      <c r="X2084"/>
      <c r="Y2084"/>
      <c r="Z2084"/>
      <c r="AA2084"/>
      <c r="AB2084"/>
      <c r="AL2084"/>
      <c r="AM2084"/>
      <c r="AN2084"/>
      <c r="AO2084"/>
    </row>
    <row r="2085" spans="1:41" s="2" customFormat="1" x14ac:dyDescent="0.2">
      <c r="A2085"/>
      <c r="B2085"/>
      <c r="C2085"/>
      <c r="D2085"/>
      <c r="E2085"/>
      <c r="F2085"/>
      <c r="G2085"/>
      <c r="U2085"/>
      <c r="V2085"/>
      <c r="W2085"/>
      <c r="X2085"/>
      <c r="Y2085"/>
      <c r="Z2085"/>
      <c r="AA2085"/>
      <c r="AB2085"/>
      <c r="AL2085"/>
      <c r="AM2085"/>
      <c r="AN2085"/>
      <c r="AO2085"/>
    </row>
    <row r="2086" spans="1:41" s="2" customFormat="1" x14ac:dyDescent="0.2">
      <c r="A2086"/>
      <c r="B2086"/>
      <c r="C2086"/>
      <c r="D2086"/>
      <c r="E2086"/>
      <c r="F2086"/>
      <c r="G2086"/>
      <c r="U2086"/>
      <c r="V2086"/>
      <c r="W2086"/>
      <c r="X2086"/>
      <c r="Y2086"/>
      <c r="Z2086"/>
      <c r="AA2086"/>
      <c r="AB2086"/>
      <c r="AL2086"/>
      <c r="AM2086"/>
      <c r="AN2086"/>
      <c r="AO2086"/>
    </row>
    <row r="2087" spans="1:41" s="2" customFormat="1" x14ac:dyDescent="0.2">
      <c r="A2087"/>
      <c r="B2087"/>
      <c r="C2087"/>
      <c r="D2087"/>
      <c r="E2087"/>
      <c r="F2087"/>
      <c r="G2087"/>
      <c r="U2087"/>
      <c r="V2087"/>
      <c r="W2087"/>
      <c r="X2087"/>
      <c r="Y2087"/>
      <c r="Z2087"/>
      <c r="AA2087"/>
      <c r="AB2087"/>
      <c r="AL2087"/>
      <c r="AM2087"/>
      <c r="AN2087"/>
      <c r="AO2087"/>
    </row>
    <row r="2088" spans="1:41" s="2" customFormat="1" x14ac:dyDescent="0.2">
      <c r="A2088"/>
      <c r="B2088"/>
      <c r="C2088"/>
      <c r="D2088"/>
      <c r="E2088"/>
      <c r="F2088"/>
      <c r="G2088"/>
      <c r="U2088"/>
      <c r="V2088"/>
      <c r="W2088"/>
      <c r="X2088"/>
      <c r="Y2088"/>
      <c r="Z2088"/>
      <c r="AA2088"/>
      <c r="AB2088"/>
      <c r="AL2088"/>
      <c r="AM2088"/>
      <c r="AN2088"/>
      <c r="AO2088"/>
    </row>
    <row r="2089" spans="1:41" s="2" customFormat="1" x14ac:dyDescent="0.2">
      <c r="A2089"/>
      <c r="B2089"/>
      <c r="C2089"/>
      <c r="D2089"/>
      <c r="E2089"/>
      <c r="F2089"/>
      <c r="G2089"/>
      <c r="U2089"/>
      <c r="V2089"/>
      <c r="W2089"/>
      <c r="X2089"/>
      <c r="Y2089"/>
      <c r="Z2089"/>
      <c r="AA2089"/>
      <c r="AB2089"/>
      <c r="AL2089"/>
      <c r="AM2089"/>
      <c r="AN2089"/>
      <c r="AO2089"/>
    </row>
    <row r="2090" spans="1:41" s="2" customFormat="1" x14ac:dyDescent="0.2">
      <c r="A2090"/>
      <c r="B2090"/>
      <c r="C2090"/>
      <c r="D2090"/>
      <c r="E2090"/>
      <c r="F2090"/>
      <c r="G2090"/>
      <c r="U2090"/>
      <c r="V2090"/>
      <c r="W2090"/>
      <c r="X2090"/>
      <c r="Y2090"/>
      <c r="Z2090"/>
      <c r="AA2090"/>
      <c r="AB2090"/>
      <c r="AL2090"/>
      <c r="AM2090"/>
      <c r="AN2090"/>
      <c r="AO2090"/>
    </row>
    <row r="2091" spans="1:41" s="2" customFormat="1" x14ac:dyDescent="0.2">
      <c r="A2091"/>
      <c r="B2091"/>
      <c r="C2091"/>
      <c r="D2091"/>
      <c r="E2091"/>
      <c r="F2091"/>
      <c r="G2091"/>
      <c r="U2091"/>
      <c r="V2091"/>
      <c r="W2091"/>
      <c r="X2091"/>
      <c r="Y2091"/>
      <c r="Z2091"/>
      <c r="AA2091"/>
      <c r="AB2091"/>
      <c r="AL2091"/>
      <c r="AM2091"/>
      <c r="AN2091"/>
      <c r="AO2091"/>
    </row>
    <row r="2092" spans="1:41" s="2" customFormat="1" x14ac:dyDescent="0.2">
      <c r="A2092"/>
      <c r="B2092"/>
      <c r="C2092"/>
      <c r="D2092"/>
      <c r="E2092"/>
      <c r="F2092"/>
      <c r="G2092"/>
      <c r="U2092"/>
      <c r="V2092"/>
      <c r="W2092"/>
      <c r="X2092"/>
      <c r="Y2092"/>
      <c r="Z2092"/>
      <c r="AA2092"/>
      <c r="AB2092"/>
      <c r="AL2092"/>
      <c r="AM2092"/>
      <c r="AN2092"/>
      <c r="AO2092"/>
    </row>
    <row r="2093" spans="1:41" s="2" customFormat="1" x14ac:dyDescent="0.2">
      <c r="A2093"/>
      <c r="B2093"/>
      <c r="C2093"/>
      <c r="D2093"/>
      <c r="E2093"/>
      <c r="F2093"/>
      <c r="G2093"/>
      <c r="U2093"/>
      <c r="V2093"/>
      <c r="W2093"/>
      <c r="X2093"/>
      <c r="Y2093"/>
      <c r="Z2093"/>
      <c r="AA2093"/>
      <c r="AB2093"/>
      <c r="AL2093"/>
      <c r="AM2093"/>
      <c r="AN2093"/>
      <c r="AO2093"/>
    </row>
    <row r="2094" spans="1:41" s="2" customFormat="1" x14ac:dyDescent="0.2">
      <c r="A2094"/>
      <c r="B2094"/>
      <c r="C2094"/>
      <c r="D2094"/>
      <c r="E2094"/>
      <c r="F2094"/>
      <c r="G2094"/>
      <c r="U2094"/>
      <c r="V2094"/>
      <c r="W2094"/>
      <c r="X2094"/>
      <c r="Y2094"/>
      <c r="Z2094"/>
      <c r="AA2094"/>
      <c r="AB2094"/>
      <c r="AL2094"/>
      <c r="AM2094"/>
      <c r="AN2094"/>
      <c r="AO2094"/>
    </row>
    <row r="2095" spans="1:41" s="2" customFormat="1" x14ac:dyDescent="0.2">
      <c r="A2095"/>
      <c r="B2095"/>
      <c r="C2095"/>
      <c r="D2095"/>
      <c r="E2095"/>
      <c r="F2095"/>
      <c r="G2095"/>
      <c r="U2095"/>
      <c r="V2095"/>
      <c r="W2095"/>
      <c r="X2095"/>
      <c r="Y2095"/>
      <c r="Z2095"/>
      <c r="AA2095"/>
      <c r="AB2095"/>
      <c r="AL2095"/>
      <c r="AM2095"/>
      <c r="AN2095"/>
      <c r="AO2095"/>
    </row>
    <row r="2096" spans="1:41" s="2" customFormat="1" x14ac:dyDescent="0.2">
      <c r="A2096"/>
      <c r="B2096"/>
      <c r="C2096"/>
      <c r="D2096"/>
      <c r="E2096"/>
      <c r="F2096"/>
      <c r="G2096"/>
      <c r="U2096"/>
      <c r="V2096"/>
      <c r="W2096"/>
      <c r="X2096"/>
      <c r="Y2096"/>
      <c r="Z2096"/>
      <c r="AA2096"/>
      <c r="AB2096"/>
      <c r="AL2096"/>
      <c r="AM2096"/>
      <c r="AN2096"/>
      <c r="AO2096"/>
    </row>
    <row r="2097" spans="1:41" s="2" customFormat="1" x14ac:dyDescent="0.2">
      <c r="A2097"/>
      <c r="B2097"/>
      <c r="C2097"/>
      <c r="D2097"/>
      <c r="E2097"/>
      <c r="F2097"/>
      <c r="G2097"/>
      <c r="U2097"/>
      <c r="V2097"/>
      <c r="W2097"/>
      <c r="X2097"/>
      <c r="Y2097"/>
      <c r="Z2097"/>
      <c r="AA2097"/>
      <c r="AB2097"/>
      <c r="AL2097"/>
      <c r="AM2097"/>
      <c r="AN2097"/>
      <c r="AO2097"/>
    </row>
    <row r="2098" spans="1:41" s="2" customFormat="1" x14ac:dyDescent="0.2">
      <c r="A2098"/>
      <c r="B2098"/>
      <c r="C2098"/>
      <c r="D2098"/>
      <c r="E2098"/>
      <c r="F2098"/>
      <c r="G2098"/>
      <c r="U2098"/>
      <c r="V2098"/>
      <c r="W2098"/>
      <c r="X2098"/>
      <c r="Y2098"/>
      <c r="Z2098"/>
      <c r="AA2098"/>
      <c r="AB2098"/>
      <c r="AL2098"/>
      <c r="AM2098"/>
      <c r="AN2098"/>
      <c r="AO2098"/>
    </row>
    <row r="2099" spans="1:41" s="2" customFormat="1" x14ac:dyDescent="0.2">
      <c r="A2099"/>
      <c r="B2099"/>
      <c r="C2099"/>
      <c r="D2099"/>
      <c r="E2099"/>
      <c r="F2099"/>
      <c r="G2099"/>
      <c r="U2099"/>
      <c r="V2099"/>
      <c r="W2099"/>
      <c r="X2099"/>
      <c r="Y2099"/>
      <c r="Z2099"/>
      <c r="AA2099"/>
      <c r="AB2099"/>
      <c r="AL2099"/>
      <c r="AM2099"/>
      <c r="AN2099"/>
      <c r="AO2099"/>
    </row>
    <row r="2100" spans="1:41" s="2" customFormat="1" x14ac:dyDescent="0.2">
      <c r="A2100"/>
      <c r="B2100"/>
      <c r="C2100"/>
      <c r="D2100"/>
      <c r="E2100"/>
      <c r="F2100"/>
      <c r="G2100"/>
      <c r="U2100"/>
      <c r="V2100"/>
      <c r="W2100"/>
      <c r="X2100"/>
      <c r="Y2100"/>
      <c r="Z2100"/>
      <c r="AA2100"/>
      <c r="AB2100"/>
      <c r="AL2100"/>
      <c r="AM2100"/>
      <c r="AN2100"/>
      <c r="AO2100"/>
    </row>
    <row r="2101" spans="1:41" s="2" customFormat="1" x14ac:dyDescent="0.2">
      <c r="A2101"/>
      <c r="B2101"/>
      <c r="C2101"/>
      <c r="D2101"/>
      <c r="E2101"/>
      <c r="F2101"/>
      <c r="G2101"/>
      <c r="U2101"/>
      <c r="V2101"/>
      <c r="W2101"/>
      <c r="X2101"/>
      <c r="Y2101"/>
      <c r="Z2101"/>
      <c r="AA2101"/>
      <c r="AB2101"/>
      <c r="AL2101"/>
      <c r="AM2101"/>
      <c r="AN2101"/>
      <c r="AO2101"/>
    </row>
    <row r="2102" spans="1:41" s="2" customFormat="1" x14ac:dyDescent="0.2">
      <c r="A2102"/>
      <c r="B2102"/>
      <c r="C2102"/>
      <c r="D2102"/>
      <c r="E2102"/>
      <c r="F2102"/>
      <c r="G2102"/>
      <c r="U2102"/>
      <c r="V2102"/>
      <c r="W2102"/>
      <c r="X2102"/>
      <c r="Y2102"/>
      <c r="Z2102"/>
      <c r="AA2102"/>
      <c r="AB2102"/>
      <c r="AL2102"/>
      <c r="AM2102"/>
      <c r="AN2102"/>
      <c r="AO2102"/>
    </row>
    <row r="2103" spans="1:41" s="2" customFormat="1" x14ac:dyDescent="0.2">
      <c r="A2103"/>
      <c r="B2103"/>
      <c r="C2103"/>
      <c r="D2103"/>
      <c r="E2103"/>
      <c r="F2103"/>
      <c r="G2103"/>
      <c r="U2103"/>
      <c r="V2103"/>
      <c r="W2103"/>
      <c r="X2103"/>
      <c r="Y2103"/>
      <c r="Z2103"/>
      <c r="AA2103"/>
      <c r="AB2103"/>
      <c r="AL2103"/>
      <c r="AM2103"/>
      <c r="AN2103"/>
      <c r="AO2103"/>
    </row>
    <row r="2104" spans="1:41" s="2" customFormat="1" x14ac:dyDescent="0.2">
      <c r="A2104"/>
      <c r="B2104"/>
      <c r="C2104"/>
      <c r="D2104"/>
      <c r="E2104"/>
      <c r="F2104"/>
      <c r="G2104"/>
      <c r="U2104"/>
      <c r="V2104"/>
      <c r="W2104"/>
      <c r="X2104"/>
      <c r="Y2104"/>
      <c r="Z2104"/>
      <c r="AA2104"/>
      <c r="AB2104"/>
      <c r="AL2104"/>
      <c r="AM2104"/>
      <c r="AN2104"/>
      <c r="AO2104"/>
    </row>
    <row r="2105" spans="1:41" s="2" customFormat="1" x14ac:dyDescent="0.2">
      <c r="A2105"/>
      <c r="B2105"/>
      <c r="C2105"/>
      <c r="D2105"/>
      <c r="E2105"/>
      <c r="F2105"/>
      <c r="G2105"/>
      <c r="U2105"/>
      <c r="V2105"/>
      <c r="W2105"/>
      <c r="X2105"/>
      <c r="Y2105"/>
      <c r="Z2105"/>
      <c r="AA2105"/>
      <c r="AB2105"/>
      <c r="AL2105"/>
      <c r="AM2105"/>
      <c r="AN2105"/>
      <c r="AO2105"/>
    </row>
    <row r="2106" spans="1:41" s="2" customFormat="1" x14ac:dyDescent="0.2">
      <c r="A2106"/>
      <c r="B2106"/>
      <c r="C2106"/>
      <c r="D2106"/>
      <c r="E2106"/>
      <c r="F2106"/>
      <c r="G2106"/>
      <c r="U2106"/>
      <c r="V2106"/>
      <c r="W2106"/>
      <c r="X2106"/>
      <c r="Y2106"/>
      <c r="Z2106"/>
      <c r="AA2106"/>
      <c r="AB2106"/>
      <c r="AL2106"/>
      <c r="AM2106"/>
      <c r="AN2106"/>
      <c r="AO2106"/>
    </row>
    <row r="2107" spans="1:41" s="2" customFormat="1" x14ac:dyDescent="0.2">
      <c r="A2107"/>
      <c r="B2107"/>
      <c r="C2107"/>
      <c r="D2107"/>
      <c r="E2107"/>
      <c r="F2107"/>
      <c r="G2107"/>
      <c r="U2107"/>
      <c r="V2107"/>
      <c r="W2107"/>
      <c r="X2107"/>
      <c r="Y2107"/>
      <c r="Z2107"/>
      <c r="AA2107"/>
      <c r="AB2107"/>
      <c r="AL2107"/>
      <c r="AM2107"/>
      <c r="AN2107"/>
      <c r="AO2107"/>
    </row>
    <row r="2108" spans="1:41" s="2" customFormat="1" x14ac:dyDescent="0.2">
      <c r="A2108"/>
      <c r="B2108"/>
      <c r="C2108"/>
      <c r="D2108"/>
      <c r="E2108"/>
      <c r="F2108"/>
      <c r="G2108"/>
      <c r="U2108"/>
      <c r="V2108"/>
      <c r="W2108"/>
      <c r="X2108"/>
      <c r="Y2108"/>
      <c r="Z2108"/>
      <c r="AA2108"/>
      <c r="AB2108"/>
      <c r="AL2108"/>
      <c r="AM2108"/>
      <c r="AN2108"/>
      <c r="AO2108"/>
    </row>
    <row r="2109" spans="1:41" s="2" customFormat="1" x14ac:dyDescent="0.2">
      <c r="A2109"/>
      <c r="B2109"/>
      <c r="C2109"/>
      <c r="D2109"/>
      <c r="E2109"/>
      <c r="F2109"/>
      <c r="G2109"/>
      <c r="U2109"/>
      <c r="V2109"/>
      <c r="W2109"/>
      <c r="X2109"/>
      <c r="Y2109"/>
      <c r="Z2109"/>
      <c r="AA2109"/>
      <c r="AB2109"/>
      <c r="AL2109"/>
      <c r="AM2109"/>
      <c r="AN2109"/>
      <c r="AO2109"/>
    </row>
    <row r="2110" spans="1:41" s="2" customFormat="1" x14ac:dyDescent="0.2">
      <c r="A2110"/>
      <c r="B2110"/>
      <c r="C2110"/>
      <c r="D2110"/>
      <c r="E2110"/>
      <c r="F2110"/>
      <c r="G2110"/>
      <c r="U2110"/>
      <c r="V2110"/>
      <c r="W2110"/>
      <c r="X2110"/>
      <c r="Y2110"/>
      <c r="Z2110"/>
      <c r="AA2110"/>
      <c r="AB2110"/>
      <c r="AL2110"/>
      <c r="AM2110"/>
      <c r="AN2110"/>
      <c r="AO2110"/>
    </row>
    <row r="2111" spans="1:41" s="2" customFormat="1" x14ac:dyDescent="0.2">
      <c r="A2111"/>
      <c r="B2111"/>
      <c r="C2111"/>
      <c r="D2111"/>
      <c r="E2111"/>
      <c r="F2111"/>
      <c r="G2111"/>
      <c r="U2111"/>
      <c r="V2111"/>
      <c r="W2111"/>
      <c r="X2111"/>
      <c r="Y2111"/>
      <c r="Z2111"/>
      <c r="AA2111"/>
      <c r="AB2111"/>
      <c r="AL2111"/>
      <c r="AM2111"/>
      <c r="AN2111"/>
      <c r="AO2111"/>
    </row>
    <row r="2112" spans="1:41" s="2" customFormat="1" x14ac:dyDescent="0.2">
      <c r="A2112"/>
      <c r="B2112"/>
      <c r="C2112"/>
      <c r="D2112"/>
      <c r="E2112"/>
      <c r="F2112"/>
      <c r="G2112"/>
      <c r="U2112"/>
      <c r="V2112"/>
      <c r="W2112"/>
      <c r="X2112"/>
      <c r="Y2112"/>
      <c r="Z2112"/>
      <c r="AA2112"/>
      <c r="AB2112"/>
      <c r="AL2112"/>
      <c r="AM2112"/>
      <c r="AN2112"/>
      <c r="AO2112"/>
    </row>
    <row r="2113" spans="1:41" s="2" customFormat="1" x14ac:dyDescent="0.2">
      <c r="A2113"/>
      <c r="B2113"/>
      <c r="C2113"/>
      <c r="D2113"/>
      <c r="E2113"/>
      <c r="F2113"/>
      <c r="G2113"/>
      <c r="U2113"/>
      <c r="V2113"/>
      <c r="W2113"/>
      <c r="X2113"/>
      <c r="Y2113"/>
      <c r="Z2113"/>
      <c r="AA2113"/>
      <c r="AB2113"/>
      <c r="AL2113"/>
      <c r="AM2113"/>
      <c r="AN2113"/>
      <c r="AO2113"/>
    </row>
    <row r="2114" spans="1:41" s="2" customFormat="1" x14ac:dyDescent="0.2">
      <c r="A2114"/>
      <c r="B2114"/>
      <c r="C2114"/>
      <c r="D2114"/>
      <c r="E2114"/>
      <c r="F2114"/>
      <c r="G2114"/>
      <c r="U2114"/>
      <c r="V2114"/>
      <c r="W2114"/>
      <c r="X2114"/>
      <c r="Y2114"/>
      <c r="Z2114"/>
      <c r="AA2114"/>
      <c r="AB2114"/>
      <c r="AL2114"/>
      <c r="AM2114"/>
      <c r="AN2114"/>
      <c r="AO2114"/>
    </row>
    <row r="2115" spans="1:41" s="2" customFormat="1" x14ac:dyDescent="0.2">
      <c r="A2115"/>
      <c r="B2115"/>
      <c r="C2115"/>
      <c r="D2115"/>
      <c r="E2115"/>
      <c r="F2115"/>
      <c r="G2115"/>
      <c r="U2115"/>
      <c r="V2115"/>
      <c r="W2115"/>
      <c r="X2115"/>
      <c r="Y2115"/>
      <c r="Z2115"/>
      <c r="AA2115"/>
      <c r="AB2115"/>
      <c r="AL2115"/>
      <c r="AM2115"/>
      <c r="AN2115"/>
      <c r="AO2115"/>
    </row>
    <row r="2116" spans="1:41" s="2" customFormat="1" x14ac:dyDescent="0.2">
      <c r="A2116"/>
      <c r="B2116"/>
      <c r="C2116"/>
      <c r="D2116"/>
      <c r="E2116"/>
      <c r="F2116"/>
      <c r="G2116"/>
      <c r="U2116"/>
      <c r="V2116"/>
      <c r="W2116"/>
      <c r="X2116"/>
      <c r="Y2116"/>
      <c r="Z2116"/>
      <c r="AA2116"/>
      <c r="AB2116"/>
      <c r="AL2116"/>
      <c r="AM2116"/>
      <c r="AN2116"/>
      <c r="AO2116"/>
    </row>
    <row r="2117" spans="1:41" s="2" customFormat="1" x14ac:dyDescent="0.2">
      <c r="A2117"/>
      <c r="B2117"/>
      <c r="C2117"/>
      <c r="D2117"/>
      <c r="E2117"/>
      <c r="F2117"/>
      <c r="G2117"/>
      <c r="U2117"/>
      <c r="V2117"/>
      <c r="W2117"/>
      <c r="X2117"/>
      <c r="Y2117"/>
      <c r="Z2117"/>
      <c r="AA2117"/>
      <c r="AB2117"/>
      <c r="AL2117"/>
      <c r="AM2117"/>
      <c r="AN2117"/>
      <c r="AO2117"/>
    </row>
    <row r="2118" spans="1:41" s="2" customFormat="1" x14ac:dyDescent="0.2">
      <c r="A2118"/>
      <c r="B2118"/>
      <c r="C2118"/>
      <c r="D2118"/>
      <c r="E2118"/>
      <c r="F2118"/>
      <c r="G2118"/>
      <c r="U2118"/>
      <c r="V2118"/>
      <c r="W2118"/>
      <c r="X2118"/>
      <c r="Y2118"/>
      <c r="Z2118"/>
      <c r="AA2118"/>
      <c r="AB2118"/>
      <c r="AL2118"/>
      <c r="AM2118"/>
      <c r="AN2118"/>
      <c r="AO2118"/>
    </row>
    <row r="2119" spans="1:41" s="2" customFormat="1" x14ac:dyDescent="0.2">
      <c r="A2119"/>
      <c r="B2119"/>
      <c r="C2119"/>
      <c r="D2119"/>
      <c r="E2119"/>
      <c r="F2119"/>
      <c r="G2119"/>
      <c r="U2119"/>
      <c r="V2119"/>
      <c r="W2119"/>
      <c r="X2119"/>
      <c r="Y2119"/>
      <c r="Z2119"/>
      <c r="AA2119"/>
      <c r="AB2119"/>
      <c r="AL2119"/>
      <c r="AM2119"/>
      <c r="AN2119"/>
      <c r="AO2119"/>
    </row>
    <row r="2120" spans="1:41" s="2" customFormat="1" x14ac:dyDescent="0.2">
      <c r="A2120"/>
      <c r="B2120"/>
      <c r="C2120"/>
      <c r="D2120"/>
      <c r="E2120"/>
      <c r="F2120"/>
      <c r="G2120"/>
      <c r="U2120"/>
      <c r="V2120"/>
      <c r="W2120"/>
      <c r="X2120"/>
      <c r="Y2120"/>
      <c r="Z2120"/>
      <c r="AA2120"/>
      <c r="AB2120"/>
      <c r="AL2120"/>
      <c r="AM2120"/>
      <c r="AN2120"/>
      <c r="AO2120"/>
    </row>
    <row r="2121" spans="1:41" s="2" customFormat="1" x14ac:dyDescent="0.2">
      <c r="A2121"/>
      <c r="B2121"/>
      <c r="C2121"/>
      <c r="D2121"/>
      <c r="E2121"/>
      <c r="F2121"/>
      <c r="G2121"/>
      <c r="U2121"/>
      <c r="V2121"/>
      <c r="W2121"/>
      <c r="X2121"/>
      <c r="Y2121"/>
      <c r="Z2121"/>
      <c r="AA2121"/>
      <c r="AB2121"/>
      <c r="AL2121"/>
      <c r="AM2121"/>
      <c r="AN2121"/>
      <c r="AO2121"/>
    </row>
    <row r="2122" spans="1:41" s="2" customFormat="1" x14ac:dyDescent="0.2">
      <c r="A2122"/>
      <c r="B2122"/>
      <c r="C2122"/>
      <c r="D2122"/>
      <c r="E2122"/>
      <c r="F2122"/>
      <c r="G2122"/>
      <c r="U2122"/>
      <c r="V2122"/>
      <c r="W2122"/>
      <c r="X2122"/>
      <c r="Y2122"/>
      <c r="Z2122"/>
      <c r="AA2122"/>
      <c r="AB2122"/>
      <c r="AL2122"/>
      <c r="AM2122"/>
      <c r="AN2122"/>
      <c r="AO2122"/>
    </row>
    <row r="2123" spans="1:41" s="2" customFormat="1" x14ac:dyDescent="0.2">
      <c r="A2123"/>
      <c r="B2123"/>
      <c r="C2123"/>
      <c r="D2123"/>
      <c r="E2123"/>
      <c r="F2123"/>
      <c r="G2123"/>
      <c r="U2123"/>
      <c r="V2123"/>
      <c r="W2123"/>
      <c r="X2123"/>
      <c r="Y2123"/>
      <c r="Z2123"/>
      <c r="AA2123"/>
      <c r="AB2123"/>
      <c r="AL2123"/>
      <c r="AM2123"/>
      <c r="AN2123"/>
      <c r="AO2123"/>
    </row>
    <row r="2124" spans="1:41" s="2" customFormat="1" x14ac:dyDescent="0.2">
      <c r="A2124"/>
      <c r="B2124"/>
      <c r="C2124"/>
      <c r="D2124"/>
      <c r="E2124"/>
      <c r="F2124"/>
      <c r="G2124"/>
      <c r="U2124"/>
      <c r="V2124"/>
      <c r="W2124"/>
      <c r="X2124"/>
      <c r="Y2124"/>
      <c r="Z2124"/>
      <c r="AA2124"/>
      <c r="AB2124"/>
      <c r="AL2124"/>
      <c r="AM2124"/>
      <c r="AN2124"/>
      <c r="AO2124"/>
    </row>
    <row r="2125" spans="1:41" s="2" customFormat="1" x14ac:dyDescent="0.2">
      <c r="A2125"/>
      <c r="B2125"/>
      <c r="C2125"/>
      <c r="D2125"/>
      <c r="E2125"/>
      <c r="F2125"/>
      <c r="G2125"/>
      <c r="U2125"/>
      <c r="V2125"/>
      <c r="W2125"/>
      <c r="X2125"/>
      <c r="Y2125"/>
      <c r="Z2125"/>
      <c r="AA2125"/>
      <c r="AB2125"/>
      <c r="AL2125"/>
      <c r="AM2125"/>
      <c r="AN2125"/>
      <c r="AO2125"/>
    </row>
    <row r="2126" spans="1:41" s="2" customFormat="1" x14ac:dyDescent="0.2">
      <c r="A2126"/>
      <c r="B2126"/>
      <c r="C2126"/>
      <c r="D2126"/>
      <c r="E2126"/>
      <c r="F2126"/>
      <c r="G2126"/>
      <c r="U2126"/>
      <c r="V2126"/>
      <c r="W2126"/>
      <c r="X2126"/>
      <c r="Y2126"/>
      <c r="Z2126"/>
      <c r="AA2126"/>
      <c r="AB2126"/>
      <c r="AL2126"/>
      <c r="AM2126"/>
      <c r="AN2126"/>
      <c r="AO2126"/>
    </row>
    <row r="2127" spans="1:41" s="2" customFormat="1" x14ac:dyDescent="0.2">
      <c r="A2127"/>
      <c r="B2127"/>
      <c r="C2127"/>
      <c r="D2127"/>
      <c r="E2127"/>
      <c r="F2127"/>
      <c r="G2127"/>
      <c r="U2127"/>
      <c r="V2127"/>
      <c r="W2127"/>
      <c r="X2127"/>
      <c r="Y2127"/>
      <c r="Z2127"/>
      <c r="AA2127"/>
      <c r="AB2127"/>
      <c r="AL2127"/>
      <c r="AM2127"/>
      <c r="AN2127"/>
      <c r="AO2127"/>
    </row>
    <row r="2128" spans="1:41" s="2" customFormat="1" x14ac:dyDescent="0.2">
      <c r="A2128"/>
      <c r="B2128"/>
      <c r="C2128"/>
      <c r="D2128"/>
      <c r="E2128"/>
      <c r="F2128"/>
      <c r="G2128"/>
      <c r="U2128"/>
      <c r="V2128"/>
      <c r="W2128"/>
      <c r="X2128"/>
      <c r="Y2128"/>
      <c r="Z2128"/>
      <c r="AA2128"/>
      <c r="AB2128"/>
      <c r="AL2128"/>
      <c r="AM2128"/>
      <c r="AN2128"/>
      <c r="AO2128"/>
    </row>
    <row r="2129" spans="1:41" s="2" customFormat="1" x14ac:dyDescent="0.2">
      <c r="A2129"/>
      <c r="B2129"/>
      <c r="C2129"/>
      <c r="D2129"/>
      <c r="E2129"/>
      <c r="F2129"/>
      <c r="G2129"/>
      <c r="U2129"/>
      <c r="V2129"/>
      <c r="W2129"/>
      <c r="X2129"/>
      <c r="Y2129"/>
      <c r="Z2129"/>
      <c r="AA2129"/>
      <c r="AB2129"/>
      <c r="AL2129"/>
      <c r="AM2129"/>
      <c r="AN2129"/>
      <c r="AO2129"/>
    </row>
    <row r="2130" spans="1:41" s="2" customFormat="1" x14ac:dyDescent="0.2">
      <c r="A2130"/>
      <c r="B2130"/>
      <c r="C2130"/>
      <c r="D2130"/>
      <c r="E2130"/>
      <c r="F2130"/>
      <c r="G2130"/>
      <c r="U2130"/>
      <c r="V2130"/>
      <c r="W2130"/>
      <c r="X2130"/>
      <c r="Y2130"/>
      <c r="Z2130"/>
      <c r="AA2130"/>
      <c r="AB2130"/>
      <c r="AL2130"/>
      <c r="AM2130"/>
      <c r="AN2130"/>
      <c r="AO2130"/>
    </row>
    <row r="2131" spans="1:41" s="2" customFormat="1" x14ac:dyDescent="0.2">
      <c r="A2131"/>
      <c r="B2131"/>
      <c r="C2131"/>
      <c r="D2131"/>
      <c r="E2131"/>
      <c r="F2131"/>
      <c r="G2131"/>
      <c r="U2131"/>
      <c r="V2131"/>
      <c r="W2131"/>
      <c r="X2131"/>
      <c r="Y2131"/>
      <c r="Z2131"/>
      <c r="AA2131"/>
      <c r="AB2131"/>
      <c r="AL2131"/>
      <c r="AM2131"/>
      <c r="AN2131"/>
      <c r="AO2131"/>
    </row>
    <row r="2132" spans="1:41" s="2" customFormat="1" x14ac:dyDescent="0.2">
      <c r="A2132"/>
      <c r="B2132"/>
      <c r="C2132"/>
      <c r="D2132"/>
      <c r="E2132"/>
      <c r="F2132"/>
      <c r="G2132"/>
      <c r="U2132"/>
      <c r="V2132"/>
      <c r="W2132"/>
      <c r="X2132"/>
      <c r="Y2132"/>
      <c r="Z2132"/>
      <c r="AA2132"/>
      <c r="AB2132"/>
      <c r="AL2132"/>
      <c r="AM2132"/>
      <c r="AN2132"/>
      <c r="AO2132"/>
    </row>
    <row r="2133" spans="1:41" s="2" customFormat="1" x14ac:dyDescent="0.2">
      <c r="A2133"/>
      <c r="B2133"/>
      <c r="C2133"/>
      <c r="D2133"/>
      <c r="E2133"/>
      <c r="F2133"/>
      <c r="G2133"/>
      <c r="U2133"/>
      <c r="V2133"/>
      <c r="W2133"/>
      <c r="X2133"/>
      <c r="Y2133"/>
      <c r="Z2133"/>
      <c r="AA2133"/>
      <c r="AB2133"/>
      <c r="AL2133"/>
      <c r="AM2133"/>
      <c r="AN2133"/>
      <c r="AO2133"/>
    </row>
    <row r="2134" spans="1:41" s="2" customFormat="1" x14ac:dyDescent="0.2">
      <c r="A2134"/>
      <c r="B2134"/>
      <c r="C2134"/>
      <c r="D2134"/>
      <c r="E2134"/>
      <c r="F2134"/>
      <c r="G2134"/>
      <c r="U2134"/>
      <c r="V2134"/>
      <c r="W2134"/>
      <c r="X2134"/>
      <c r="Y2134"/>
      <c r="Z2134"/>
      <c r="AA2134"/>
      <c r="AB2134"/>
      <c r="AL2134"/>
      <c r="AM2134"/>
      <c r="AN2134"/>
      <c r="AO2134"/>
    </row>
    <row r="2135" spans="1:41" s="2" customFormat="1" x14ac:dyDescent="0.2">
      <c r="A2135"/>
      <c r="B2135"/>
      <c r="C2135"/>
      <c r="D2135"/>
      <c r="E2135"/>
      <c r="F2135"/>
      <c r="G2135"/>
      <c r="U2135"/>
      <c r="V2135"/>
      <c r="W2135"/>
      <c r="X2135"/>
      <c r="Y2135"/>
      <c r="Z2135"/>
      <c r="AA2135"/>
      <c r="AB2135"/>
      <c r="AL2135"/>
      <c r="AM2135"/>
      <c r="AN2135"/>
      <c r="AO2135"/>
    </row>
    <row r="2136" spans="1:41" s="2" customFormat="1" x14ac:dyDescent="0.2">
      <c r="A2136"/>
      <c r="B2136"/>
      <c r="C2136"/>
      <c r="D2136"/>
      <c r="E2136"/>
      <c r="F2136"/>
      <c r="G2136"/>
      <c r="U2136"/>
      <c r="V2136"/>
      <c r="W2136"/>
      <c r="X2136"/>
      <c r="Y2136"/>
      <c r="Z2136"/>
      <c r="AA2136"/>
      <c r="AB2136"/>
      <c r="AL2136"/>
      <c r="AM2136"/>
      <c r="AN2136"/>
      <c r="AO2136"/>
    </row>
    <row r="2137" spans="1:41" s="2" customFormat="1" x14ac:dyDescent="0.2">
      <c r="A2137"/>
      <c r="B2137"/>
      <c r="C2137"/>
      <c r="D2137"/>
      <c r="E2137"/>
      <c r="F2137"/>
      <c r="G2137"/>
      <c r="U2137"/>
      <c r="V2137"/>
      <c r="W2137"/>
      <c r="X2137"/>
      <c r="Y2137"/>
      <c r="Z2137"/>
      <c r="AA2137"/>
      <c r="AB2137"/>
      <c r="AL2137"/>
      <c r="AM2137"/>
      <c r="AN2137"/>
      <c r="AO2137"/>
    </row>
    <row r="2138" spans="1:41" s="2" customFormat="1" x14ac:dyDescent="0.2">
      <c r="A2138"/>
      <c r="B2138"/>
      <c r="C2138"/>
      <c r="D2138"/>
      <c r="E2138"/>
      <c r="F2138"/>
      <c r="G2138"/>
      <c r="U2138"/>
      <c r="V2138"/>
      <c r="W2138"/>
      <c r="X2138"/>
      <c r="Y2138"/>
      <c r="Z2138"/>
      <c r="AA2138"/>
      <c r="AB2138"/>
      <c r="AL2138"/>
      <c r="AM2138"/>
      <c r="AN2138"/>
      <c r="AO2138"/>
    </row>
    <row r="2139" spans="1:41" s="2" customFormat="1" x14ac:dyDescent="0.2">
      <c r="A2139"/>
      <c r="B2139"/>
      <c r="C2139"/>
      <c r="D2139"/>
      <c r="E2139"/>
      <c r="F2139"/>
      <c r="G2139"/>
      <c r="U2139"/>
      <c r="V2139"/>
      <c r="W2139"/>
      <c r="X2139"/>
      <c r="Y2139"/>
      <c r="Z2139"/>
      <c r="AA2139"/>
      <c r="AB2139"/>
      <c r="AL2139"/>
      <c r="AM2139"/>
      <c r="AN2139"/>
      <c r="AO2139"/>
    </row>
    <row r="2140" spans="1:41" s="2" customFormat="1" x14ac:dyDescent="0.2">
      <c r="A2140"/>
      <c r="B2140"/>
      <c r="C2140"/>
      <c r="D2140"/>
      <c r="E2140"/>
      <c r="F2140"/>
      <c r="G2140"/>
      <c r="U2140"/>
      <c r="V2140"/>
      <c r="W2140"/>
      <c r="X2140"/>
      <c r="Y2140"/>
      <c r="Z2140"/>
      <c r="AA2140"/>
      <c r="AB2140"/>
      <c r="AL2140"/>
      <c r="AM2140"/>
      <c r="AN2140"/>
      <c r="AO2140"/>
    </row>
    <row r="2141" spans="1:41" s="2" customFormat="1" x14ac:dyDescent="0.2">
      <c r="A2141"/>
      <c r="B2141"/>
      <c r="C2141"/>
      <c r="D2141"/>
      <c r="E2141"/>
      <c r="F2141"/>
      <c r="G2141"/>
      <c r="U2141"/>
      <c r="V2141"/>
      <c r="W2141"/>
      <c r="X2141"/>
      <c r="Y2141"/>
      <c r="Z2141"/>
      <c r="AA2141"/>
      <c r="AB2141"/>
      <c r="AL2141"/>
      <c r="AM2141"/>
      <c r="AN2141"/>
      <c r="AO2141"/>
    </row>
    <row r="2142" spans="1:41" s="2" customFormat="1" x14ac:dyDescent="0.2">
      <c r="A2142"/>
      <c r="B2142"/>
      <c r="C2142"/>
      <c r="D2142"/>
      <c r="E2142"/>
      <c r="F2142"/>
      <c r="G2142"/>
      <c r="U2142"/>
      <c r="V2142"/>
      <c r="W2142"/>
      <c r="X2142"/>
      <c r="Y2142"/>
      <c r="Z2142"/>
      <c r="AA2142"/>
      <c r="AB2142"/>
      <c r="AL2142"/>
      <c r="AM2142"/>
      <c r="AN2142"/>
      <c r="AO2142"/>
    </row>
    <row r="2143" spans="1:41" s="2" customFormat="1" x14ac:dyDescent="0.2">
      <c r="A2143"/>
      <c r="B2143"/>
      <c r="C2143"/>
      <c r="D2143"/>
      <c r="E2143"/>
      <c r="F2143"/>
      <c r="G2143"/>
      <c r="U2143"/>
      <c r="V2143"/>
      <c r="W2143"/>
      <c r="X2143"/>
      <c r="Y2143"/>
      <c r="Z2143"/>
      <c r="AA2143"/>
      <c r="AB2143"/>
      <c r="AL2143"/>
      <c r="AM2143"/>
      <c r="AN2143"/>
      <c r="AO2143"/>
    </row>
    <row r="2144" spans="1:41" s="2" customFormat="1" x14ac:dyDescent="0.2">
      <c r="A2144"/>
      <c r="B2144"/>
      <c r="C2144"/>
      <c r="D2144"/>
      <c r="E2144"/>
      <c r="F2144"/>
      <c r="G2144"/>
      <c r="U2144"/>
      <c r="V2144"/>
      <c r="W2144"/>
      <c r="X2144"/>
      <c r="Y2144"/>
      <c r="Z2144"/>
      <c r="AA2144"/>
      <c r="AB2144"/>
      <c r="AL2144"/>
      <c r="AM2144"/>
      <c r="AN2144"/>
      <c r="AO2144"/>
    </row>
    <row r="2145" spans="1:41" s="2" customFormat="1" x14ac:dyDescent="0.2">
      <c r="A2145"/>
      <c r="B2145"/>
      <c r="C2145"/>
      <c r="D2145"/>
      <c r="E2145"/>
      <c r="F2145"/>
      <c r="G2145"/>
      <c r="U2145"/>
      <c r="V2145"/>
      <c r="W2145"/>
      <c r="X2145"/>
      <c r="Y2145"/>
      <c r="Z2145"/>
      <c r="AA2145"/>
      <c r="AB2145"/>
      <c r="AL2145"/>
      <c r="AM2145"/>
      <c r="AN2145"/>
      <c r="AO2145"/>
    </row>
    <row r="2146" spans="1:41" s="2" customFormat="1" x14ac:dyDescent="0.2">
      <c r="A2146"/>
      <c r="B2146"/>
      <c r="C2146"/>
      <c r="D2146"/>
      <c r="E2146"/>
      <c r="F2146"/>
      <c r="G2146"/>
      <c r="U2146"/>
      <c r="V2146"/>
      <c r="W2146"/>
      <c r="X2146"/>
      <c r="Y2146"/>
      <c r="Z2146"/>
      <c r="AA2146"/>
      <c r="AB2146"/>
      <c r="AL2146"/>
      <c r="AM2146"/>
      <c r="AN2146"/>
      <c r="AO2146"/>
    </row>
    <row r="2147" spans="1:41" s="2" customFormat="1" x14ac:dyDescent="0.2">
      <c r="A2147"/>
      <c r="B2147"/>
      <c r="C2147"/>
      <c r="D2147"/>
      <c r="E2147"/>
      <c r="F2147"/>
      <c r="G2147"/>
      <c r="U2147"/>
      <c r="V2147"/>
      <c r="W2147"/>
      <c r="X2147"/>
      <c r="Y2147"/>
      <c r="Z2147"/>
      <c r="AA2147"/>
      <c r="AB2147"/>
      <c r="AL2147"/>
      <c r="AM2147"/>
      <c r="AN2147"/>
      <c r="AO2147"/>
    </row>
    <row r="2148" spans="1:41" s="2" customFormat="1" x14ac:dyDescent="0.2">
      <c r="A2148"/>
      <c r="B2148"/>
      <c r="C2148"/>
      <c r="D2148"/>
      <c r="E2148"/>
      <c r="F2148"/>
      <c r="G2148"/>
      <c r="U2148"/>
      <c r="V2148"/>
      <c r="W2148"/>
      <c r="X2148"/>
      <c r="Y2148"/>
      <c r="Z2148"/>
      <c r="AA2148"/>
      <c r="AB2148"/>
      <c r="AL2148"/>
      <c r="AM2148"/>
      <c r="AN2148"/>
      <c r="AO2148"/>
    </row>
    <row r="2149" spans="1:41" s="2" customFormat="1" x14ac:dyDescent="0.2">
      <c r="A2149"/>
      <c r="B2149"/>
      <c r="C2149"/>
      <c r="D2149"/>
      <c r="E2149"/>
      <c r="F2149"/>
      <c r="G2149"/>
      <c r="U2149"/>
      <c r="V2149"/>
      <c r="W2149"/>
      <c r="X2149"/>
      <c r="Y2149"/>
      <c r="Z2149"/>
      <c r="AA2149"/>
      <c r="AB2149"/>
      <c r="AL2149"/>
      <c r="AM2149"/>
      <c r="AN2149"/>
      <c r="AO2149"/>
    </row>
    <row r="2150" spans="1:41" s="2" customFormat="1" x14ac:dyDescent="0.2">
      <c r="A2150"/>
      <c r="B2150"/>
      <c r="C2150"/>
      <c r="D2150"/>
      <c r="E2150"/>
      <c r="F2150"/>
      <c r="G2150"/>
      <c r="U2150"/>
      <c r="V2150"/>
      <c r="W2150"/>
      <c r="X2150"/>
      <c r="Y2150"/>
      <c r="Z2150"/>
      <c r="AA2150"/>
      <c r="AB2150"/>
      <c r="AL2150"/>
      <c r="AM2150"/>
      <c r="AN2150"/>
      <c r="AO2150"/>
    </row>
    <row r="2151" spans="1:41" s="2" customFormat="1" x14ac:dyDescent="0.2">
      <c r="A2151"/>
      <c r="B2151"/>
      <c r="C2151"/>
      <c r="D2151"/>
      <c r="E2151"/>
      <c r="F2151"/>
      <c r="G2151"/>
      <c r="U2151"/>
      <c r="V2151"/>
      <c r="W2151"/>
      <c r="X2151"/>
      <c r="Y2151"/>
      <c r="Z2151"/>
      <c r="AA2151"/>
      <c r="AB2151"/>
      <c r="AL2151"/>
      <c r="AM2151"/>
      <c r="AN2151"/>
      <c r="AO2151"/>
    </row>
    <row r="2152" spans="1:41" s="2" customFormat="1" x14ac:dyDescent="0.2">
      <c r="A2152"/>
      <c r="B2152"/>
      <c r="C2152"/>
      <c r="D2152"/>
      <c r="E2152"/>
      <c r="F2152"/>
      <c r="G2152"/>
      <c r="U2152"/>
      <c r="V2152"/>
      <c r="W2152"/>
      <c r="X2152"/>
      <c r="Y2152"/>
      <c r="Z2152"/>
      <c r="AA2152"/>
      <c r="AB2152"/>
      <c r="AL2152"/>
      <c r="AM2152"/>
      <c r="AN2152"/>
      <c r="AO2152"/>
    </row>
    <row r="2153" spans="1:41" s="2" customFormat="1" x14ac:dyDescent="0.2">
      <c r="A2153"/>
      <c r="B2153"/>
      <c r="C2153"/>
      <c r="D2153"/>
      <c r="E2153"/>
      <c r="F2153"/>
      <c r="G2153"/>
      <c r="U2153"/>
      <c r="V2153"/>
      <c r="W2153"/>
      <c r="X2153"/>
      <c r="Y2153"/>
      <c r="Z2153"/>
      <c r="AA2153"/>
      <c r="AB2153"/>
      <c r="AL2153"/>
      <c r="AM2153"/>
      <c r="AN2153"/>
      <c r="AO2153"/>
    </row>
    <row r="2154" spans="1:41" s="2" customFormat="1" x14ac:dyDescent="0.2">
      <c r="A2154"/>
      <c r="B2154"/>
      <c r="C2154"/>
      <c r="D2154"/>
      <c r="E2154"/>
      <c r="F2154"/>
      <c r="G2154"/>
      <c r="U2154"/>
      <c r="V2154"/>
      <c r="W2154"/>
      <c r="X2154"/>
      <c r="Y2154"/>
      <c r="Z2154"/>
      <c r="AA2154"/>
      <c r="AB2154"/>
      <c r="AL2154"/>
      <c r="AM2154"/>
      <c r="AN2154"/>
      <c r="AO2154"/>
    </row>
    <row r="2155" spans="1:41" s="2" customFormat="1" x14ac:dyDescent="0.2">
      <c r="A2155"/>
      <c r="B2155"/>
      <c r="C2155"/>
      <c r="D2155"/>
      <c r="E2155"/>
      <c r="F2155"/>
      <c r="G2155"/>
      <c r="U2155"/>
      <c r="V2155"/>
      <c r="W2155"/>
      <c r="X2155"/>
      <c r="Y2155"/>
      <c r="Z2155"/>
      <c r="AA2155"/>
      <c r="AB2155"/>
      <c r="AL2155"/>
      <c r="AM2155"/>
      <c r="AN2155"/>
      <c r="AO2155"/>
    </row>
    <row r="2156" spans="1:41" s="2" customFormat="1" x14ac:dyDescent="0.2">
      <c r="A2156"/>
      <c r="B2156"/>
      <c r="C2156"/>
      <c r="D2156"/>
      <c r="E2156"/>
      <c r="F2156"/>
      <c r="G2156"/>
      <c r="U2156"/>
      <c r="V2156"/>
      <c r="W2156"/>
      <c r="X2156"/>
      <c r="Y2156"/>
      <c r="Z2156"/>
      <c r="AA2156"/>
      <c r="AB2156"/>
      <c r="AL2156"/>
      <c r="AM2156"/>
      <c r="AN2156"/>
      <c r="AO2156"/>
    </row>
    <row r="2157" spans="1:41" s="2" customFormat="1" x14ac:dyDescent="0.2">
      <c r="A2157"/>
      <c r="B2157"/>
      <c r="C2157"/>
      <c r="D2157"/>
      <c r="E2157"/>
      <c r="F2157"/>
      <c r="G2157"/>
      <c r="U2157"/>
      <c r="V2157"/>
      <c r="W2157"/>
      <c r="X2157"/>
      <c r="Y2157"/>
      <c r="Z2157"/>
      <c r="AA2157"/>
      <c r="AB2157"/>
      <c r="AL2157"/>
      <c r="AM2157"/>
      <c r="AN2157"/>
      <c r="AO2157"/>
    </row>
    <row r="2158" spans="1:41" s="2" customFormat="1" x14ac:dyDescent="0.2">
      <c r="A2158"/>
      <c r="B2158"/>
      <c r="C2158"/>
      <c r="D2158"/>
      <c r="E2158"/>
      <c r="F2158"/>
      <c r="G2158"/>
      <c r="U2158"/>
      <c r="V2158"/>
      <c r="W2158"/>
      <c r="X2158"/>
      <c r="Y2158"/>
      <c r="Z2158"/>
      <c r="AA2158"/>
      <c r="AB2158"/>
      <c r="AL2158"/>
      <c r="AM2158"/>
      <c r="AN2158"/>
      <c r="AO2158"/>
    </row>
    <row r="2159" spans="1:41" s="2" customFormat="1" x14ac:dyDescent="0.2">
      <c r="A2159"/>
      <c r="B2159"/>
      <c r="C2159"/>
      <c r="D2159"/>
      <c r="E2159"/>
      <c r="F2159"/>
      <c r="G2159"/>
      <c r="U2159"/>
      <c r="V2159"/>
      <c r="W2159"/>
      <c r="X2159"/>
      <c r="Y2159"/>
      <c r="Z2159"/>
      <c r="AA2159"/>
      <c r="AB2159"/>
      <c r="AL2159"/>
      <c r="AM2159"/>
      <c r="AN2159"/>
      <c r="AO2159"/>
    </row>
    <row r="2160" spans="1:41" s="2" customFormat="1" x14ac:dyDescent="0.2">
      <c r="A2160"/>
      <c r="B2160"/>
      <c r="C2160"/>
      <c r="D2160"/>
      <c r="E2160"/>
      <c r="F2160"/>
      <c r="G2160"/>
      <c r="U2160"/>
      <c r="V2160"/>
      <c r="W2160"/>
      <c r="X2160"/>
      <c r="Y2160"/>
      <c r="Z2160"/>
      <c r="AA2160"/>
      <c r="AB2160"/>
      <c r="AL2160"/>
      <c r="AM2160"/>
      <c r="AN2160"/>
      <c r="AO2160"/>
    </row>
    <row r="2161" spans="1:41" s="2" customFormat="1" x14ac:dyDescent="0.2">
      <c r="A2161"/>
      <c r="B2161"/>
      <c r="C2161"/>
      <c r="D2161"/>
      <c r="E2161"/>
      <c r="F2161"/>
      <c r="G2161"/>
      <c r="U2161"/>
      <c r="V2161"/>
      <c r="W2161"/>
      <c r="X2161"/>
      <c r="Y2161"/>
      <c r="Z2161"/>
      <c r="AA2161"/>
      <c r="AB2161"/>
      <c r="AL2161"/>
      <c r="AM2161"/>
      <c r="AN2161"/>
      <c r="AO2161"/>
    </row>
    <row r="2162" spans="1:41" s="2" customFormat="1" x14ac:dyDescent="0.2">
      <c r="A2162"/>
      <c r="B2162"/>
      <c r="C2162"/>
      <c r="D2162"/>
      <c r="E2162"/>
      <c r="F2162"/>
      <c r="G2162"/>
      <c r="U2162"/>
      <c r="V2162"/>
      <c r="W2162"/>
      <c r="X2162"/>
      <c r="Y2162"/>
      <c r="Z2162"/>
      <c r="AA2162"/>
      <c r="AB2162"/>
      <c r="AL2162"/>
      <c r="AM2162"/>
      <c r="AN2162"/>
      <c r="AO2162"/>
    </row>
    <row r="2163" spans="1:41" s="2" customFormat="1" x14ac:dyDescent="0.2">
      <c r="A2163"/>
      <c r="B2163"/>
      <c r="C2163"/>
      <c r="D2163"/>
      <c r="E2163"/>
      <c r="F2163"/>
      <c r="G2163"/>
      <c r="U2163"/>
      <c r="V2163"/>
      <c r="W2163"/>
      <c r="X2163"/>
      <c r="Y2163"/>
      <c r="Z2163"/>
      <c r="AA2163"/>
      <c r="AB2163"/>
      <c r="AL2163"/>
      <c r="AM2163"/>
      <c r="AN2163"/>
      <c r="AO2163"/>
    </row>
    <row r="2164" spans="1:41" s="2" customFormat="1" x14ac:dyDescent="0.2">
      <c r="A2164"/>
      <c r="B2164"/>
      <c r="C2164"/>
      <c r="D2164"/>
      <c r="E2164"/>
      <c r="F2164"/>
      <c r="G2164"/>
      <c r="U2164"/>
      <c r="V2164"/>
      <c r="W2164"/>
      <c r="X2164"/>
      <c r="Y2164"/>
      <c r="Z2164"/>
      <c r="AA2164"/>
      <c r="AB2164"/>
      <c r="AL2164"/>
      <c r="AM2164"/>
      <c r="AN2164"/>
      <c r="AO2164"/>
    </row>
    <row r="2165" spans="1:41" s="2" customFormat="1" x14ac:dyDescent="0.2">
      <c r="A2165"/>
      <c r="B2165"/>
      <c r="C2165"/>
      <c r="D2165"/>
      <c r="E2165"/>
      <c r="F2165"/>
      <c r="G2165"/>
      <c r="U2165"/>
      <c r="V2165"/>
      <c r="W2165"/>
      <c r="X2165"/>
      <c r="Y2165"/>
      <c r="Z2165"/>
      <c r="AA2165"/>
      <c r="AB2165"/>
      <c r="AL2165"/>
      <c r="AM2165"/>
      <c r="AN2165"/>
      <c r="AO2165"/>
    </row>
    <row r="2166" spans="1:41" s="2" customFormat="1" x14ac:dyDescent="0.2">
      <c r="A2166"/>
      <c r="B2166"/>
      <c r="C2166"/>
      <c r="D2166"/>
      <c r="E2166"/>
      <c r="F2166"/>
      <c r="G2166"/>
      <c r="U2166"/>
      <c r="V2166"/>
      <c r="W2166"/>
      <c r="X2166"/>
      <c r="Y2166"/>
      <c r="Z2166"/>
      <c r="AA2166"/>
      <c r="AB2166"/>
      <c r="AL2166"/>
      <c r="AM2166"/>
      <c r="AN2166"/>
      <c r="AO2166"/>
    </row>
    <row r="2167" spans="1:41" s="2" customFormat="1" x14ac:dyDescent="0.2">
      <c r="A2167"/>
      <c r="B2167"/>
      <c r="C2167"/>
      <c r="D2167"/>
      <c r="E2167"/>
      <c r="F2167"/>
      <c r="G2167"/>
      <c r="U2167"/>
      <c r="V2167"/>
      <c r="W2167"/>
      <c r="X2167"/>
      <c r="Y2167"/>
      <c r="Z2167"/>
      <c r="AA2167"/>
      <c r="AB2167"/>
      <c r="AL2167"/>
      <c r="AM2167"/>
      <c r="AN2167"/>
      <c r="AO2167"/>
    </row>
    <row r="2168" spans="1:41" s="2" customFormat="1" x14ac:dyDescent="0.2">
      <c r="A2168"/>
      <c r="B2168"/>
      <c r="C2168"/>
      <c r="D2168"/>
      <c r="E2168"/>
      <c r="F2168"/>
      <c r="G2168"/>
      <c r="U2168"/>
      <c r="V2168"/>
      <c r="W2168"/>
      <c r="X2168"/>
      <c r="Y2168"/>
      <c r="Z2168"/>
      <c r="AA2168"/>
      <c r="AB2168"/>
      <c r="AL2168"/>
      <c r="AM2168"/>
      <c r="AN2168"/>
      <c r="AO2168"/>
    </row>
    <row r="2169" spans="1:41" s="2" customFormat="1" x14ac:dyDescent="0.2">
      <c r="A2169"/>
      <c r="B2169"/>
      <c r="C2169"/>
      <c r="D2169"/>
      <c r="E2169"/>
      <c r="F2169"/>
      <c r="G2169"/>
      <c r="U2169"/>
      <c r="V2169"/>
      <c r="W2169"/>
      <c r="X2169"/>
      <c r="Y2169"/>
      <c r="Z2169"/>
      <c r="AA2169"/>
      <c r="AB2169"/>
      <c r="AL2169"/>
      <c r="AM2169"/>
      <c r="AN2169"/>
      <c r="AO2169"/>
    </row>
    <row r="2170" spans="1:41" s="2" customFormat="1" x14ac:dyDescent="0.2">
      <c r="A2170"/>
      <c r="B2170"/>
      <c r="C2170"/>
      <c r="D2170"/>
      <c r="E2170"/>
      <c r="F2170"/>
      <c r="G2170"/>
      <c r="U2170"/>
      <c r="V2170"/>
      <c r="W2170"/>
      <c r="X2170"/>
      <c r="Y2170"/>
      <c r="Z2170"/>
      <c r="AA2170"/>
      <c r="AB2170"/>
      <c r="AL2170"/>
      <c r="AM2170"/>
      <c r="AN2170"/>
      <c r="AO2170"/>
    </row>
    <row r="2171" spans="1:41" s="2" customFormat="1" x14ac:dyDescent="0.2">
      <c r="A2171"/>
      <c r="B2171"/>
      <c r="C2171"/>
      <c r="D2171"/>
      <c r="E2171"/>
      <c r="F2171"/>
      <c r="G2171"/>
      <c r="U2171"/>
      <c r="V2171"/>
      <c r="W2171"/>
      <c r="X2171"/>
      <c r="Y2171"/>
      <c r="Z2171"/>
      <c r="AA2171"/>
      <c r="AB2171"/>
      <c r="AL2171"/>
      <c r="AM2171"/>
      <c r="AN2171"/>
      <c r="AO2171"/>
    </row>
    <row r="2172" spans="1:41" s="2" customFormat="1" x14ac:dyDescent="0.2">
      <c r="A2172"/>
      <c r="B2172"/>
      <c r="C2172"/>
      <c r="D2172"/>
      <c r="E2172"/>
      <c r="F2172"/>
      <c r="G2172"/>
      <c r="U2172"/>
      <c r="V2172"/>
      <c r="W2172"/>
      <c r="X2172"/>
      <c r="Y2172"/>
      <c r="Z2172"/>
      <c r="AA2172"/>
      <c r="AB2172"/>
      <c r="AL2172"/>
      <c r="AM2172"/>
      <c r="AN2172"/>
      <c r="AO2172"/>
    </row>
    <row r="2173" spans="1:41" s="2" customFormat="1" x14ac:dyDescent="0.2">
      <c r="A2173"/>
      <c r="B2173"/>
      <c r="C2173"/>
      <c r="D2173"/>
      <c r="E2173"/>
      <c r="F2173"/>
      <c r="G2173"/>
      <c r="U2173"/>
      <c r="V2173"/>
      <c r="W2173"/>
      <c r="X2173"/>
      <c r="Y2173"/>
      <c r="Z2173"/>
      <c r="AA2173"/>
      <c r="AB2173"/>
      <c r="AL2173"/>
      <c r="AM2173"/>
      <c r="AN2173"/>
      <c r="AO2173"/>
    </row>
    <row r="2174" spans="1:41" s="2" customFormat="1" x14ac:dyDescent="0.2">
      <c r="A2174"/>
      <c r="B2174"/>
      <c r="C2174"/>
      <c r="D2174"/>
      <c r="E2174"/>
      <c r="F2174"/>
      <c r="G2174"/>
      <c r="U2174"/>
      <c r="V2174"/>
      <c r="W2174"/>
      <c r="X2174"/>
      <c r="Y2174"/>
      <c r="Z2174"/>
      <c r="AA2174"/>
      <c r="AB2174"/>
      <c r="AL2174"/>
      <c r="AM2174"/>
      <c r="AN2174"/>
      <c r="AO2174"/>
    </row>
    <row r="2175" spans="1:41" s="2" customFormat="1" x14ac:dyDescent="0.2">
      <c r="A2175"/>
      <c r="B2175"/>
      <c r="C2175"/>
      <c r="D2175"/>
      <c r="E2175"/>
      <c r="F2175"/>
      <c r="G2175"/>
      <c r="U2175"/>
      <c r="V2175"/>
      <c r="W2175"/>
      <c r="X2175"/>
      <c r="Y2175"/>
      <c r="Z2175"/>
      <c r="AA2175"/>
      <c r="AB2175"/>
      <c r="AL2175"/>
      <c r="AM2175"/>
      <c r="AN2175"/>
      <c r="AO2175"/>
    </row>
    <row r="2176" spans="1:41" s="2" customFormat="1" x14ac:dyDescent="0.2">
      <c r="A2176"/>
      <c r="B2176"/>
      <c r="C2176"/>
      <c r="D2176"/>
      <c r="E2176"/>
      <c r="F2176"/>
      <c r="G2176"/>
      <c r="U2176"/>
      <c r="V2176"/>
      <c r="W2176"/>
      <c r="X2176"/>
      <c r="Y2176"/>
      <c r="Z2176"/>
      <c r="AA2176"/>
      <c r="AB2176"/>
      <c r="AL2176"/>
      <c r="AM2176"/>
      <c r="AN2176"/>
      <c r="AO2176"/>
    </row>
    <row r="2177" spans="1:41" s="2" customFormat="1" x14ac:dyDescent="0.2">
      <c r="A2177"/>
      <c r="B2177"/>
      <c r="C2177"/>
      <c r="D2177"/>
      <c r="E2177"/>
      <c r="F2177"/>
      <c r="G2177"/>
      <c r="U2177"/>
      <c r="V2177"/>
      <c r="W2177"/>
      <c r="X2177"/>
      <c r="Y2177"/>
      <c r="Z2177"/>
      <c r="AA2177"/>
      <c r="AB2177"/>
      <c r="AL2177"/>
      <c r="AM2177"/>
      <c r="AN2177"/>
      <c r="AO2177"/>
    </row>
    <row r="2178" spans="1:41" s="2" customFormat="1" x14ac:dyDescent="0.2">
      <c r="A2178"/>
      <c r="B2178"/>
      <c r="C2178"/>
      <c r="D2178"/>
      <c r="E2178"/>
      <c r="F2178"/>
      <c r="G2178"/>
      <c r="U2178"/>
      <c r="V2178"/>
      <c r="W2178"/>
      <c r="X2178"/>
      <c r="Y2178"/>
      <c r="Z2178"/>
      <c r="AA2178"/>
      <c r="AB2178"/>
      <c r="AL2178"/>
      <c r="AM2178"/>
      <c r="AN2178"/>
      <c r="AO2178"/>
    </row>
    <row r="2179" spans="1:41" s="2" customFormat="1" x14ac:dyDescent="0.2">
      <c r="A2179"/>
      <c r="B2179"/>
      <c r="C2179"/>
      <c r="D2179"/>
      <c r="E2179"/>
      <c r="F2179"/>
      <c r="G2179"/>
      <c r="U2179"/>
      <c r="V2179"/>
      <c r="W2179"/>
      <c r="X2179"/>
      <c r="Y2179"/>
      <c r="Z2179"/>
      <c r="AA2179"/>
      <c r="AB2179"/>
      <c r="AL2179"/>
      <c r="AM2179"/>
      <c r="AN2179"/>
      <c r="AO2179"/>
    </row>
    <row r="2180" spans="1:41" s="2" customFormat="1" x14ac:dyDescent="0.2">
      <c r="A2180"/>
      <c r="B2180"/>
      <c r="C2180"/>
      <c r="D2180"/>
      <c r="E2180"/>
      <c r="F2180"/>
      <c r="G2180"/>
      <c r="U2180"/>
      <c r="V2180"/>
      <c r="W2180"/>
      <c r="X2180"/>
      <c r="Y2180"/>
      <c r="Z2180"/>
      <c r="AA2180"/>
      <c r="AB2180"/>
      <c r="AL2180"/>
      <c r="AM2180"/>
      <c r="AN2180"/>
      <c r="AO2180"/>
    </row>
    <row r="2181" spans="1:41" s="2" customFormat="1" x14ac:dyDescent="0.2">
      <c r="A2181"/>
      <c r="B2181"/>
      <c r="C2181"/>
      <c r="D2181"/>
      <c r="E2181"/>
      <c r="F2181"/>
      <c r="G2181"/>
      <c r="U2181"/>
      <c r="V2181"/>
      <c r="W2181"/>
      <c r="X2181"/>
      <c r="Y2181"/>
      <c r="Z2181"/>
      <c r="AA2181"/>
      <c r="AB2181"/>
      <c r="AL2181"/>
      <c r="AM2181"/>
      <c r="AN2181"/>
      <c r="AO2181"/>
    </row>
    <row r="2182" spans="1:41" s="2" customFormat="1" x14ac:dyDescent="0.2">
      <c r="A2182"/>
      <c r="B2182"/>
      <c r="C2182"/>
      <c r="D2182"/>
      <c r="E2182"/>
      <c r="F2182"/>
      <c r="G2182"/>
      <c r="U2182"/>
      <c r="V2182"/>
      <c r="W2182"/>
      <c r="X2182"/>
      <c r="Y2182"/>
      <c r="Z2182"/>
      <c r="AA2182"/>
      <c r="AB2182"/>
      <c r="AL2182"/>
      <c r="AM2182"/>
      <c r="AN2182"/>
      <c r="AO2182"/>
    </row>
    <row r="2183" spans="1:41" s="2" customFormat="1" x14ac:dyDescent="0.2">
      <c r="A2183"/>
      <c r="B2183"/>
      <c r="C2183"/>
      <c r="D2183"/>
      <c r="E2183"/>
      <c r="F2183"/>
      <c r="G2183"/>
      <c r="U2183"/>
      <c r="V2183"/>
      <c r="W2183"/>
      <c r="X2183"/>
      <c r="Y2183"/>
      <c r="Z2183"/>
      <c r="AA2183"/>
      <c r="AB2183"/>
      <c r="AL2183"/>
      <c r="AM2183"/>
      <c r="AN2183"/>
      <c r="AO2183"/>
    </row>
    <row r="2184" spans="1:41" s="2" customFormat="1" x14ac:dyDescent="0.2">
      <c r="A2184"/>
      <c r="B2184"/>
      <c r="C2184"/>
      <c r="D2184"/>
      <c r="E2184"/>
      <c r="F2184"/>
      <c r="G2184"/>
      <c r="U2184"/>
      <c r="V2184"/>
      <c r="W2184"/>
      <c r="X2184"/>
      <c r="Y2184"/>
      <c r="Z2184"/>
      <c r="AA2184"/>
      <c r="AB2184"/>
      <c r="AL2184"/>
      <c r="AM2184"/>
      <c r="AN2184"/>
      <c r="AO2184"/>
    </row>
    <row r="2185" spans="1:41" s="2" customFormat="1" x14ac:dyDescent="0.2">
      <c r="A2185"/>
      <c r="B2185"/>
      <c r="C2185"/>
      <c r="D2185"/>
      <c r="E2185"/>
      <c r="F2185"/>
      <c r="G2185"/>
      <c r="U2185"/>
      <c r="V2185"/>
      <c r="W2185"/>
      <c r="X2185"/>
      <c r="Y2185"/>
      <c r="Z2185"/>
      <c r="AA2185"/>
      <c r="AB2185"/>
      <c r="AL2185"/>
      <c r="AM2185"/>
      <c r="AN2185"/>
      <c r="AO2185"/>
    </row>
    <row r="2186" spans="1:41" s="2" customFormat="1" x14ac:dyDescent="0.2">
      <c r="A2186"/>
      <c r="B2186"/>
      <c r="C2186"/>
      <c r="D2186"/>
      <c r="E2186"/>
      <c r="F2186"/>
      <c r="G2186"/>
      <c r="U2186"/>
      <c r="V2186"/>
      <c r="W2186"/>
      <c r="X2186"/>
      <c r="Y2186"/>
      <c r="Z2186"/>
      <c r="AA2186"/>
      <c r="AB2186"/>
      <c r="AL2186"/>
      <c r="AM2186"/>
      <c r="AN2186"/>
      <c r="AO2186"/>
    </row>
    <row r="2187" spans="1:41" s="2" customFormat="1" x14ac:dyDescent="0.2">
      <c r="A2187"/>
      <c r="B2187"/>
      <c r="C2187"/>
      <c r="D2187"/>
      <c r="E2187"/>
      <c r="F2187"/>
      <c r="G2187"/>
      <c r="U2187"/>
      <c r="V2187"/>
      <c r="W2187"/>
      <c r="X2187"/>
      <c r="Y2187"/>
      <c r="Z2187"/>
      <c r="AA2187"/>
      <c r="AB2187"/>
      <c r="AL2187"/>
      <c r="AM2187"/>
      <c r="AN2187"/>
      <c r="AO2187"/>
    </row>
    <row r="2188" spans="1:41" s="2" customFormat="1" x14ac:dyDescent="0.2">
      <c r="A2188"/>
      <c r="B2188"/>
      <c r="C2188"/>
      <c r="D2188"/>
      <c r="E2188"/>
      <c r="F2188"/>
      <c r="G2188"/>
      <c r="U2188"/>
      <c r="V2188"/>
      <c r="W2188"/>
      <c r="X2188"/>
      <c r="Y2188"/>
      <c r="Z2188"/>
      <c r="AA2188"/>
      <c r="AB2188"/>
      <c r="AL2188"/>
      <c r="AM2188"/>
      <c r="AN2188"/>
      <c r="AO2188"/>
    </row>
    <row r="2189" spans="1:41" s="2" customFormat="1" x14ac:dyDescent="0.2">
      <c r="A2189"/>
      <c r="B2189"/>
      <c r="C2189"/>
      <c r="D2189"/>
      <c r="E2189"/>
      <c r="F2189"/>
      <c r="G2189"/>
      <c r="U2189"/>
      <c r="V2189"/>
      <c r="W2189"/>
      <c r="X2189"/>
      <c r="Y2189"/>
      <c r="Z2189"/>
      <c r="AA2189"/>
      <c r="AB2189"/>
      <c r="AL2189"/>
      <c r="AM2189"/>
      <c r="AN2189"/>
      <c r="AO2189"/>
    </row>
    <row r="2190" spans="1:41" s="2" customFormat="1" x14ac:dyDescent="0.2">
      <c r="A2190"/>
      <c r="B2190"/>
      <c r="C2190"/>
      <c r="D2190"/>
      <c r="E2190"/>
      <c r="F2190"/>
      <c r="G2190"/>
      <c r="U2190"/>
      <c r="V2190"/>
      <c r="W2190"/>
      <c r="X2190"/>
      <c r="Y2190"/>
      <c r="Z2190"/>
      <c r="AA2190"/>
      <c r="AB2190"/>
      <c r="AL2190"/>
      <c r="AM2190"/>
      <c r="AN2190"/>
      <c r="AO2190"/>
    </row>
    <row r="2191" spans="1:41" s="2" customFormat="1" x14ac:dyDescent="0.2">
      <c r="A2191"/>
      <c r="B2191"/>
      <c r="C2191"/>
      <c r="D2191"/>
      <c r="E2191"/>
      <c r="F2191"/>
      <c r="G2191"/>
      <c r="U2191"/>
      <c r="V2191"/>
      <c r="W2191"/>
      <c r="X2191"/>
      <c r="Y2191"/>
      <c r="Z2191"/>
      <c r="AA2191"/>
      <c r="AB2191"/>
      <c r="AL2191"/>
      <c r="AM2191"/>
      <c r="AN2191"/>
      <c r="AO2191"/>
    </row>
    <row r="2192" spans="1:41" s="2" customFormat="1" x14ac:dyDescent="0.2">
      <c r="A2192"/>
      <c r="B2192"/>
      <c r="C2192"/>
      <c r="D2192"/>
      <c r="E2192"/>
      <c r="F2192"/>
      <c r="G2192"/>
      <c r="U2192"/>
      <c r="V2192"/>
      <c r="W2192"/>
      <c r="X2192"/>
      <c r="Y2192"/>
      <c r="Z2192"/>
      <c r="AA2192"/>
      <c r="AB2192"/>
      <c r="AL2192"/>
      <c r="AM2192"/>
      <c r="AN2192"/>
      <c r="AO2192"/>
    </row>
    <row r="2193" spans="1:41" s="2" customFormat="1" x14ac:dyDescent="0.2">
      <c r="A2193"/>
      <c r="B2193"/>
      <c r="C2193"/>
      <c r="D2193"/>
      <c r="E2193"/>
      <c r="F2193"/>
      <c r="G2193"/>
      <c r="U2193"/>
      <c r="V2193"/>
      <c r="W2193"/>
      <c r="X2193"/>
      <c r="Y2193"/>
      <c r="Z2193"/>
      <c r="AA2193"/>
      <c r="AB2193"/>
      <c r="AL2193"/>
      <c r="AM2193"/>
      <c r="AN2193"/>
      <c r="AO2193"/>
    </row>
    <row r="2194" spans="1:41" s="2" customFormat="1" x14ac:dyDescent="0.2">
      <c r="A2194"/>
      <c r="B2194"/>
      <c r="C2194"/>
      <c r="D2194"/>
      <c r="E2194"/>
      <c r="F2194"/>
      <c r="G2194"/>
      <c r="U2194"/>
      <c r="V2194"/>
      <c r="W2194"/>
      <c r="X2194"/>
      <c r="Y2194"/>
      <c r="Z2194"/>
      <c r="AA2194"/>
      <c r="AB2194"/>
      <c r="AL2194"/>
      <c r="AM2194"/>
      <c r="AN2194"/>
      <c r="AO2194"/>
    </row>
    <row r="2195" spans="1:41" s="2" customFormat="1" x14ac:dyDescent="0.2">
      <c r="A2195"/>
      <c r="B2195"/>
      <c r="C2195"/>
      <c r="D2195"/>
      <c r="E2195"/>
      <c r="F2195"/>
      <c r="G2195"/>
      <c r="U2195"/>
      <c r="V2195"/>
      <c r="W2195"/>
      <c r="X2195"/>
      <c r="Y2195"/>
      <c r="Z2195"/>
      <c r="AA2195"/>
      <c r="AB2195"/>
      <c r="AL2195"/>
      <c r="AM2195"/>
      <c r="AN2195"/>
      <c r="AO2195"/>
    </row>
    <row r="2196" spans="1:41" s="2" customFormat="1" x14ac:dyDescent="0.2">
      <c r="A2196"/>
      <c r="B2196"/>
      <c r="C2196"/>
      <c r="D2196"/>
      <c r="E2196"/>
      <c r="F2196"/>
      <c r="G2196"/>
      <c r="U2196"/>
      <c r="V2196"/>
      <c r="W2196"/>
      <c r="X2196"/>
      <c r="Y2196"/>
      <c r="Z2196"/>
      <c r="AA2196"/>
      <c r="AB2196"/>
      <c r="AL2196"/>
      <c r="AM2196"/>
      <c r="AN2196"/>
      <c r="AO2196"/>
    </row>
    <row r="2197" spans="1:41" s="2" customFormat="1" x14ac:dyDescent="0.2">
      <c r="A2197"/>
      <c r="B2197"/>
      <c r="C2197"/>
      <c r="D2197"/>
      <c r="E2197"/>
      <c r="F2197"/>
      <c r="G2197"/>
      <c r="U2197"/>
      <c r="V2197"/>
      <c r="W2197"/>
      <c r="X2197"/>
      <c r="Y2197"/>
      <c r="Z2197"/>
      <c r="AA2197"/>
      <c r="AB2197"/>
      <c r="AL2197"/>
      <c r="AM2197"/>
      <c r="AN2197"/>
      <c r="AO2197"/>
    </row>
    <row r="2198" spans="1:41" s="2" customFormat="1" x14ac:dyDescent="0.2">
      <c r="A2198"/>
      <c r="B2198"/>
      <c r="C2198"/>
      <c r="D2198"/>
      <c r="E2198"/>
      <c r="F2198"/>
      <c r="G2198"/>
      <c r="U2198"/>
      <c r="V2198"/>
      <c r="W2198"/>
      <c r="X2198"/>
      <c r="Y2198"/>
      <c r="Z2198"/>
      <c r="AA2198"/>
      <c r="AB2198"/>
      <c r="AL2198"/>
      <c r="AM2198"/>
      <c r="AN2198"/>
      <c r="AO2198"/>
    </row>
    <row r="2199" spans="1:41" s="2" customFormat="1" x14ac:dyDescent="0.2">
      <c r="A2199"/>
      <c r="B2199"/>
      <c r="C2199"/>
      <c r="D2199"/>
      <c r="E2199"/>
      <c r="F2199"/>
      <c r="G2199"/>
      <c r="U2199"/>
      <c r="V2199"/>
      <c r="W2199"/>
      <c r="X2199"/>
      <c r="Y2199"/>
      <c r="Z2199"/>
      <c r="AA2199"/>
      <c r="AB2199"/>
      <c r="AL2199"/>
      <c r="AM2199"/>
      <c r="AN2199"/>
      <c r="AO2199"/>
    </row>
    <row r="2200" spans="1:41" s="2" customFormat="1" x14ac:dyDescent="0.2">
      <c r="A2200"/>
      <c r="B2200"/>
      <c r="C2200"/>
      <c r="D2200"/>
      <c r="E2200"/>
      <c r="F2200"/>
      <c r="G2200"/>
      <c r="U2200"/>
      <c r="V2200"/>
      <c r="W2200"/>
      <c r="X2200"/>
      <c r="Y2200"/>
      <c r="Z2200"/>
      <c r="AA2200"/>
      <c r="AB2200"/>
      <c r="AL2200"/>
      <c r="AM2200"/>
      <c r="AN2200"/>
      <c r="AO2200"/>
    </row>
    <row r="2201" spans="1:41" s="2" customFormat="1" x14ac:dyDescent="0.2">
      <c r="A2201"/>
      <c r="B2201"/>
      <c r="C2201"/>
      <c r="D2201"/>
      <c r="E2201"/>
      <c r="F2201"/>
      <c r="G2201"/>
      <c r="U2201"/>
      <c r="V2201"/>
      <c r="W2201"/>
      <c r="X2201"/>
      <c r="Y2201"/>
      <c r="Z2201"/>
      <c r="AA2201"/>
      <c r="AB2201"/>
      <c r="AL2201"/>
      <c r="AM2201"/>
      <c r="AN2201"/>
      <c r="AO2201"/>
    </row>
    <row r="2202" spans="1:41" s="2" customFormat="1" x14ac:dyDescent="0.2">
      <c r="A2202"/>
      <c r="B2202"/>
      <c r="C2202"/>
      <c r="D2202"/>
      <c r="E2202"/>
      <c r="F2202"/>
      <c r="G2202"/>
      <c r="U2202"/>
      <c r="V2202"/>
      <c r="W2202"/>
      <c r="X2202"/>
      <c r="Y2202"/>
      <c r="Z2202"/>
      <c r="AA2202"/>
      <c r="AB2202"/>
      <c r="AL2202"/>
      <c r="AM2202"/>
      <c r="AN2202"/>
      <c r="AO2202"/>
    </row>
    <row r="2203" spans="1:41" s="2" customFormat="1" x14ac:dyDescent="0.2">
      <c r="A2203"/>
      <c r="B2203"/>
      <c r="C2203"/>
      <c r="D2203"/>
      <c r="E2203"/>
      <c r="F2203"/>
      <c r="G2203"/>
      <c r="U2203"/>
      <c r="V2203"/>
      <c r="W2203"/>
      <c r="X2203"/>
      <c r="Y2203"/>
      <c r="Z2203"/>
      <c r="AA2203"/>
      <c r="AB2203"/>
      <c r="AL2203"/>
      <c r="AM2203"/>
      <c r="AN2203"/>
      <c r="AO2203"/>
    </row>
    <row r="2204" spans="1:41" s="2" customFormat="1" x14ac:dyDescent="0.2">
      <c r="A2204"/>
      <c r="B2204"/>
      <c r="C2204"/>
      <c r="D2204"/>
      <c r="E2204"/>
      <c r="F2204"/>
      <c r="G2204"/>
      <c r="U2204"/>
      <c r="V2204"/>
      <c r="W2204"/>
      <c r="X2204"/>
      <c r="Y2204"/>
      <c r="Z2204"/>
      <c r="AA2204"/>
      <c r="AB2204"/>
      <c r="AL2204"/>
      <c r="AM2204"/>
      <c r="AN2204"/>
      <c r="AO2204"/>
    </row>
    <row r="2205" spans="1:41" s="2" customFormat="1" x14ac:dyDescent="0.2">
      <c r="A2205"/>
      <c r="B2205"/>
      <c r="C2205"/>
      <c r="D2205"/>
      <c r="E2205"/>
      <c r="F2205"/>
      <c r="G2205"/>
      <c r="U2205"/>
      <c r="V2205"/>
      <c r="W2205"/>
      <c r="X2205"/>
      <c r="Y2205"/>
      <c r="Z2205"/>
      <c r="AA2205"/>
      <c r="AB2205"/>
      <c r="AL2205"/>
      <c r="AM2205"/>
      <c r="AN2205"/>
      <c r="AO2205"/>
    </row>
    <row r="2206" spans="1:41" s="2" customFormat="1" x14ac:dyDescent="0.2">
      <c r="A2206"/>
      <c r="B2206"/>
      <c r="C2206"/>
      <c r="D2206"/>
      <c r="E2206"/>
      <c r="F2206"/>
      <c r="G2206"/>
      <c r="U2206"/>
      <c r="V2206"/>
      <c r="W2206"/>
      <c r="X2206"/>
      <c r="Y2206"/>
      <c r="Z2206"/>
      <c r="AA2206"/>
      <c r="AB2206"/>
      <c r="AL2206"/>
      <c r="AM2206"/>
      <c r="AN2206"/>
      <c r="AO2206"/>
    </row>
    <row r="2207" spans="1:41" s="2" customFormat="1" x14ac:dyDescent="0.2">
      <c r="A2207"/>
      <c r="B2207"/>
      <c r="C2207"/>
      <c r="D2207"/>
      <c r="E2207"/>
      <c r="F2207"/>
      <c r="G2207"/>
      <c r="U2207"/>
      <c r="V2207"/>
      <c r="W2207"/>
      <c r="X2207"/>
      <c r="Y2207"/>
      <c r="Z2207"/>
      <c r="AA2207"/>
      <c r="AB2207"/>
      <c r="AL2207"/>
      <c r="AM2207"/>
      <c r="AN2207"/>
      <c r="AO2207"/>
    </row>
    <row r="2208" spans="1:41" s="2" customFormat="1" x14ac:dyDescent="0.2">
      <c r="A2208"/>
      <c r="B2208"/>
      <c r="C2208"/>
      <c r="D2208"/>
      <c r="E2208"/>
      <c r="F2208"/>
      <c r="G2208"/>
      <c r="U2208"/>
      <c r="V2208"/>
      <c r="W2208"/>
      <c r="X2208"/>
      <c r="Y2208"/>
      <c r="Z2208"/>
      <c r="AA2208"/>
      <c r="AB2208"/>
      <c r="AL2208"/>
      <c r="AM2208"/>
      <c r="AN2208"/>
      <c r="AO2208"/>
    </row>
    <row r="2209" spans="1:41" s="2" customFormat="1" x14ac:dyDescent="0.2">
      <c r="A2209"/>
      <c r="B2209"/>
      <c r="C2209"/>
      <c r="D2209"/>
      <c r="E2209"/>
      <c r="F2209"/>
      <c r="G2209"/>
      <c r="U2209"/>
      <c r="V2209"/>
      <c r="W2209"/>
      <c r="X2209"/>
      <c r="Y2209"/>
      <c r="Z2209"/>
      <c r="AA2209"/>
      <c r="AB2209"/>
      <c r="AL2209"/>
      <c r="AM2209"/>
      <c r="AN2209"/>
      <c r="AO2209"/>
    </row>
    <row r="2210" spans="1:41" s="2" customFormat="1" x14ac:dyDescent="0.2">
      <c r="A2210"/>
      <c r="B2210"/>
      <c r="C2210"/>
      <c r="D2210"/>
      <c r="E2210"/>
      <c r="F2210"/>
      <c r="G2210"/>
      <c r="U2210"/>
      <c r="V2210"/>
      <c r="W2210"/>
      <c r="X2210"/>
      <c r="Y2210"/>
      <c r="Z2210"/>
      <c r="AA2210"/>
      <c r="AB2210"/>
      <c r="AL2210"/>
      <c r="AM2210"/>
      <c r="AN2210"/>
      <c r="AO2210"/>
    </row>
    <row r="2211" spans="1:41" s="2" customFormat="1" x14ac:dyDescent="0.2">
      <c r="A2211"/>
      <c r="B2211"/>
      <c r="C2211"/>
      <c r="D2211"/>
      <c r="E2211"/>
      <c r="F2211"/>
      <c r="G2211"/>
      <c r="U2211"/>
      <c r="V2211"/>
      <c r="W2211"/>
      <c r="X2211"/>
      <c r="Y2211"/>
      <c r="Z2211"/>
      <c r="AA2211"/>
      <c r="AB2211"/>
      <c r="AL2211"/>
      <c r="AM2211"/>
      <c r="AN2211"/>
      <c r="AO2211"/>
    </row>
    <row r="2212" spans="1:41" s="2" customFormat="1" x14ac:dyDescent="0.2">
      <c r="A2212"/>
      <c r="B2212"/>
      <c r="C2212"/>
      <c r="D2212"/>
      <c r="E2212"/>
      <c r="F2212"/>
      <c r="G2212"/>
      <c r="U2212"/>
      <c r="V2212"/>
      <c r="W2212"/>
      <c r="X2212"/>
      <c r="Y2212"/>
      <c r="Z2212"/>
      <c r="AA2212"/>
      <c r="AB2212"/>
      <c r="AL2212"/>
      <c r="AM2212"/>
      <c r="AN2212"/>
      <c r="AO2212"/>
    </row>
    <row r="2213" spans="1:41" s="2" customFormat="1" x14ac:dyDescent="0.2">
      <c r="A2213"/>
      <c r="B2213"/>
      <c r="C2213"/>
      <c r="D2213"/>
      <c r="E2213"/>
      <c r="F2213"/>
      <c r="G2213"/>
      <c r="U2213"/>
      <c r="V2213"/>
      <c r="W2213"/>
      <c r="X2213"/>
      <c r="Y2213"/>
      <c r="Z2213"/>
      <c r="AA2213"/>
      <c r="AB2213"/>
      <c r="AL2213"/>
      <c r="AM2213"/>
      <c r="AN2213"/>
      <c r="AO2213"/>
    </row>
    <row r="2214" spans="1:41" s="2" customFormat="1" x14ac:dyDescent="0.2">
      <c r="A2214"/>
      <c r="B2214"/>
      <c r="C2214"/>
      <c r="D2214"/>
      <c r="E2214"/>
      <c r="F2214"/>
      <c r="G2214"/>
      <c r="U2214"/>
      <c r="V2214"/>
      <c r="W2214"/>
      <c r="X2214"/>
      <c r="Y2214"/>
      <c r="Z2214"/>
      <c r="AA2214"/>
      <c r="AB2214"/>
      <c r="AL2214"/>
      <c r="AM2214"/>
      <c r="AN2214"/>
      <c r="AO2214"/>
    </row>
    <row r="2215" spans="1:41" s="2" customFormat="1" x14ac:dyDescent="0.2">
      <c r="A2215"/>
      <c r="B2215"/>
      <c r="C2215"/>
      <c r="D2215"/>
      <c r="E2215"/>
      <c r="F2215"/>
      <c r="G2215"/>
      <c r="U2215"/>
      <c r="V2215"/>
      <c r="W2215"/>
      <c r="X2215"/>
      <c r="Y2215"/>
      <c r="Z2215"/>
      <c r="AA2215"/>
      <c r="AB2215"/>
      <c r="AL2215"/>
      <c r="AM2215"/>
      <c r="AN2215"/>
      <c r="AO2215"/>
    </row>
    <row r="2216" spans="1:41" s="2" customFormat="1" x14ac:dyDescent="0.2">
      <c r="A2216"/>
      <c r="B2216"/>
      <c r="C2216"/>
      <c r="D2216"/>
      <c r="E2216"/>
      <c r="F2216"/>
      <c r="G2216"/>
      <c r="U2216"/>
      <c r="V2216"/>
      <c r="W2216"/>
      <c r="X2216"/>
      <c r="Y2216"/>
      <c r="Z2216"/>
      <c r="AA2216"/>
      <c r="AB2216"/>
      <c r="AL2216"/>
      <c r="AM2216"/>
      <c r="AN2216"/>
      <c r="AO2216"/>
    </row>
    <row r="2217" spans="1:41" s="2" customFormat="1" x14ac:dyDescent="0.2">
      <c r="A2217"/>
      <c r="B2217"/>
      <c r="C2217"/>
      <c r="D2217"/>
      <c r="E2217"/>
      <c r="F2217"/>
      <c r="G2217"/>
      <c r="U2217"/>
      <c r="V2217"/>
      <c r="W2217"/>
      <c r="X2217"/>
      <c r="Y2217"/>
      <c r="Z2217"/>
      <c r="AA2217"/>
      <c r="AB2217"/>
      <c r="AL2217"/>
      <c r="AM2217"/>
      <c r="AN2217"/>
      <c r="AO2217"/>
    </row>
    <row r="2218" spans="1:41" s="2" customFormat="1" x14ac:dyDescent="0.2">
      <c r="A2218"/>
      <c r="B2218"/>
      <c r="C2218"/>
      <c r="D2218"/>
      <c r="E2218"/>
      <c r="F2218"/>
      <c r="G2218"/>
      <c r="U2218"/>
      <c r="V2218"/>
      <c r="W2218"/>
      <c r="X2218"/>
      <c r="Y2218"/>
      <c r="Z2218"/>
      <c r="AA2218"/>
      <c r="AB2218"/>
      <c r="AL2218"/>
      <c r="AM2218"/>
      <c r="AN2218"/>
      <c r="AO2218"/>
    </row>
    <row r="2219" spans="1:41" s="2" customFormat="1" x14ac:dyDescent="0.2">
      <c r="A2219"/>
      <c r="B2219"/>
      <c r="C2219"/>
      <c r="D2219"/>
      <c r="E2219"/>
      <c r="F2219"/>
      <c r="G2219"/>
      <c r="U2219"/>
      <c r="V2219"/>
      <c r="W2219"/>
      <c r="X2219"/>
      <c r="Y2219"/>
      <c r="Z2219"/>
      <c r="AA2219"/>
      <c r="AB2219"/>
      <c r="AL2219"/>
      <c r="AM2219"/>
      <c r="AN2219"/>
      <c r="AO2219"/>
    </row>
    <row r="2220" spans="1:41" s="2" customFormat="1" x14ac:dyDescent="0.2">
      <c r="A2220"/>
      <c r="B2220"/>
      <c r="C2220"/>
      <c r="D2220"/>
      <c r="E2220"/>
      <c r="F2220"/>
      <c r="G2220"/>
      <c r="U2220"/>
      <c r="V2220"/>
      <c r="W2220"/>
      <c r="X2220"/>
      <c r="Y2220"/>
      <c r="Z2220"/>
      <c r="AA2220"/>
      <c r="AB2220"/>
      <c r="AL2220"/>
      <c r="AM2220"/>
      <c r="AN2220"/>
      <c r="AO2220"/>
    </row>
    <row r="2221" spans="1:41" s="2" customFormat="1" x14ac:dyDescent="0.2">
      <c r="A2221"/>
      <c r="B2221"/>
      <c r="C2221"/>
      <c r="D2221"/>
      <c r="E2221"/>
      <c r="F2221"/>
      <c r="G2221"/>
      <c r="U2221"/>
      <c r="V2221"/>
      <c r="W2221"/>
      <c r="X2221"/>
      <c r="Y2221"/>
      <c r="Z2221"/>
      <c r="AA2221"/>
      <c r="AB2221"/>
      <c r="AL2221"/>
      <c r="AM2221"/>
      <c r="AN2221"/>
      <c r="AO2221"/>
    </row>
    <row r="2222" spans="1:41" s="2" customFormat="1" x14ac:dyDescent="0.2">
      <c r="A2222"/>
      <c r="B2222"/>
      <c r="C2222"/>
      <c r="D2222"/>
      <c r="E2222"/>
      <c r="F2222"/>
      <c r="G2222"/>
      <c r="U2222"/>
      <c r="V2222"/>
      <c r="W2222"/>
      <c r="X2222"/>
      <c r="Y2222"/>
      <c r="Z2222"/>
      <c r="AA2222"/>
      <c r="AB2222"/>
      <c r="AL2222"/>
      <c r="AM2222"/>
      <c r="AN2222"/>
      <c r="AO2222"/>
    </row>
    <row r="2223" spans="1:41" s="2" customFormat="1" x14ac:dyDescent="0.2">
      <c r="A2223"/>
      <c r="B2223"/>
      <c r="C2223"/>
      <c r="D2223"/>
      <c r="E2223"/>
      <c r="F2223"/>
      <c r="G2223"/>
      <c r="U2223"/>
      <c r="V2223"/>
      <c r="W2223"/>
      <c r="X2223"/>
      <c r="Y2223"/>
      <c r="Z2223"/>
      <c r="AA2223"/>
      <c r="AB2223"/>
      <c r="AL2223"/>
      <c r="AM2223"/>
      <c r="AN2223"/>
      <c r="AO2223"/>
    </row>
    <row r="2224" spans="1:41" s="2" customFormat="1" x14ac:dyDescent="0.2">
      <c r="A2224"/>
      <c r="B2224"/>
      <c r="C2224"/>
      <c r="D2224"/>
      <c r="E2224"/>
      <c r="F2224"/>
      <c r="G2224"/>
      <c r="U2224"/>
      <c r="V2224"/>
      <c r="W2224"/>
      <c r="X2224"/>
      <c r="Y2224"/>
      <c r="Z2224"/>
      <c r="AA2224"/>
      <c r="AB2224"/>
      <c r="AL2224"/>
      <c r="AM2224"/>
      <c r="AN2224"/>
      <c r="AO2224"/>
    </row>
    <row r="2225" spans="1:41" s="2" customFormat="1" x14ac:dyDescent="0.2">
      <c r="A2225"/>
      <c r="B2225"/>
      <c r="C2225"/>
      <c r="D2225"/>
      <c r="E2225"/>
      <c r="F2225"/>
      <c r="G2225"/>
      <c r="U2225"/>
      <c r="V2225"/>
      <c r="W2225"/>
      <c r="X2225"/>
      <c r="Y2225"/>
      <c r="Z2225"/>
      <c r="AA2225"/>
      <c r="AB2225"/>
      <c r="AL2225"/>
      <c r="AM2225"/>
      <c r="AN2225"/>
      <c r="AO2225"/>
    </row>
    <row r="2226" spans="1:41" s="2" customFormat="1" x14ac:dyDescent="0.2">
      <c r="A2226"/>
      <c r="B2226"/>
      <c r="C2226"/>
      <c r="D2226"/>
      <c r="E2226"/>
      <c r="F2226"/>
      <c r="G2226"/>
      <c r="U2226"/>
      <c r="V2226"/>
      <c r="W2226"/>
      <c r="X2226"/>
      <c r="Y2226"/>
      <c r="Z2226"/>
      <c r="AA2226"/>
      <c r="AB2226"/>
      <c r="AL2226"/>
      <c r="AM2226"/>
      <c r="AN2226"/>
      <c r="AO2226"/>
    </row>
    <row r="2227" spans="1:41" s="2" customFormat="1" x14ac:dyDescent="0.2">
      <c r="A2227"/>
      <c r="B2227"/>
      <c r="C2227"/>
      <c r="D2227"/>
      <c r="E2227"/>
      <c r="F2227"/>
      <c r="G2227"/>
      <c r="U2227"/>
      <c r="V2227"/>
      <c r="W2227"/>
      <c r="X2227"/>
      <c r="Y2227"/>
      <c r="Z2227"/>
      <c r="AA2227"/>
      <c r="AB2227"/>
      <c r="AL2227"/>
      <c r="AM2227"/>
      <c r="AN2227"/>
      <c r="AO2227"/>
    </row>
    <row r="2228" spans="1:41" s="2" customFormat="1" x14ac:dyDescent="0.2">
      <c r="A2228"/>
      <c r="B2228"/>
      <c r="C2228"/>
      <c r="D2228"/>
      <c r="E2228"/>
      <c r="F2228"/>
      <c r="G2228"/>
      <c r="U2228"/>
      <c r="V2228"/>
      <c r="W2228"/>
      <c r="X2228"/>
      <c r="Y2228"/>
      <c r="Z2228"/>
      <c r="AA2228"/>
      <c r="AB2228"/>
      <c r="AL2228"/>
      <c r="AM2228"/>
      <c r="AN2228"/>
      <c r="AO2228"/>
    </row>
    <row r="2229" spans="1:41" s="2" customFormat="1" x14ac:dyDescent="0.2">
      <c r="A2229"/>
      <c r="B2229"/>
      <c r="C2229"/>
      <c r="D2229"/>
      <c r="E2229"/>
      <c r="F2229"/>
      <c r="G2229"/>
      <c r="U2229"/>
      <c r="V2229"/>
      <c r="W2229"/>
      <c r="X2229"/>
      <c r="Y2229"/>
      <c r="Z2229"/>
      <c r="AA2229"/>
      <c r="AB2229"/>
      <c r="AL2229"/>
      <c r="AM2229"/>
      <c r="AN2229"/>
      <c r="AO2229"/>
    </row>
    <row r="2230" spans="1:41" s="2" customFormat="1" x14ac:dyDescent="0.2">
      <c r="A2230"/>
      <c r="B2230"/>
      <c r="C2230"/>
      <c r="D2230"/>
      <c r="E2230"/>
      <c r="F2230"/>
      <c r="G2230"/>
      <c r="U2230"/>
      <c r="V2230"/>
      <c r="W2230"/>
      <c r="X2230"/>
      <c r="Y2230"/>
      <c r="Z2230"/>
      <c r="AA2230"/>
      <c r="AB2230"/>
      <c r="AL2230"/>
      <c r="AM2230"/>
      <c r="AN2230"/>
      <c r="AO2230"/>
    </row>
    <row r="2231" spans="1:41" s="2" customFormat="1" x14ac:dyDescent="0.2">
      <c r="A2231"/>
      <c r="B2231"/>
      <c r="C2231"/>
      <c r="D2231"/>
      <c r="E2231"/>
      <c r="F2231"/>
      <c r="G2231"/>
      <c r="U2231"/>
      <c r="V2231"/>
      <c r="W2231"/>
      <c r="X2231"/>
      <c r="Y2231"/>
      <c r="Z2231"/>
      <c r="AA2231"/>
      <c r="AB2231"/>
      <c r="AL2231"/>
      <c r="AM2231"/>
      <c r="AN2231"/>
      <c r="AO2231"/>
    </row>
    <row r="2232" spans="1:41" s="2" customFormat="1" x14ac:dyDescent="0.2">
      <c r="A2232"/>
      <c r="B2232"/>
      <c r="C2232"/>
      <c r="D2232"/>
      <c r="E2232"/>
      <c r="F2232"/>
      <c r="G2232"/>
      <c r="U2232"/>
      <c r="V2232"/>
      <c r="W2232"/>
      <c r="X2232"/>
      <c r="Y2232"/>
      <c r="Z2232"/>
      <c r="AA2232"/>
      <c r="AB2232"/>
      <c r="AL2232"/>
      <c r="AM2232"/>
      <c r="AN2232"/>
      <c r="AO2232"/>
    </row>
    <row r="2233" spans="1:41" s="2" customFormat="1" x14ac:dyDescent="0.2">
      <c r="A2233"/>
      <c r="B2233"/>
      <c r="C2233"/>
      <c r="D2233"/>
      <c r="E2233"/>
      <c r="F2233"/>
      <c r="G2233"/>
      <c r="U2233"/>
      <c r="V2233"/>
      <c r="W2233"/>
      <c r="X2233"/>
      <c r="Y2233"/>
      <c r="Z2233"/>
      <c r="AA2233"/>
      <c r="AB2233"/>
      <c r="AL2233"/>
      <c r="AM2233"/>
      <c r="AN2233"/>
      <c r="AO2233"/>
    </row>
    <row r="2234" spans="1:41" s="2" customFormat="1" x14ac:dyDescent="0.2">
      <c r="A2234"/>
      <c r="B2234"/>
      <c r="C2234"/>
      <c r="D2234"/>
      <c r="E2234"/>
      <c r="F2234"/>
      <c r="G2234"/>
      <c r="U2234"/>
      <c r="V2234"/>
      <c r="W2234"/>
      <c r="X2234"/>
      <c r="Y2234"/>
      <c r="Z2234"/>
      <c r="AA2234"/>
      <c r="AB2234"/>
      <c r="AL2234"/>
      <c r="AM2234"/>
      <c r="AN2234"/>
      <c r="AO2234"/>
    </row>
    <row r="2235" spans="1:41" s="2" customFormat="1" x14ac:dyDescent="0.2">
      <c r="A2235"/>
      <c r="B2235"/>
      <c r="C2235"/>
      <c r="D2235"/>
      <c r="E2235"/>
      <c r="F2235"/>
      <c r="G2235"/>
      <c r="U2235"/>
      <c r="V2235"/>
      <c r="W2235"/>
      <c r="X2235"/>
      <c r="Y2235"/>
      <c r="Z2235"/>
      <c r="AA2235"/>
      <c r="AB2235"/>
      <c r="AL2235"/>
      <c r="AM2235"/>
      <c r="AN2235"/>
      <c r="AO2235"/>
    </row>
    <row r="2236" spans="1:41" s="2" customFormat="1" x14ac:dyDescent="0.2">
      <c r="A2236"/>
      <c r="B2236"/>
      <c r="C2236"/>
      <c r="D2236"/>
      <c r="E2236"/>
      <c r="F2236"/>
      <c r="G2236"/>
      <c r="U2236"/>
      <c r="V2236"/>
      <c r="W2236"/>
      <c r="X2236"/>
      <c r="Y2236"/>
      <c r="Z2236"/>
      <c r="AA2236"/>
      <c r="AB2236"/>
      <c r="AL2236"/>
      <c r="AM2236"/>
      <c r="AN2236"/>
      <c r="AO2236"/>
    </row>
    <row r="2237" spans="1:41" s="2" customFormat="1" x14ac:dyDescent="0.2">
      <c r="A2237"/>
      <c r="B2237"/>
      <c r="C2237"/>
      <c r="D2237"/>
      <c r="E2237"/>
      <c r="F2237"/>
      <c r="G2237"/>
      <c r="U2237"/>
      <c r="V2237"/>
      <c r="W2237"/>
      <c r="X2237"/>
      <c r="Y2237"/>
      <c r="Z2237"/>
      <c r="AA2237"/>
      <c r="AB2237"/>
      <c r="AL2237"/>
      <c r="AM2237"/>
      <c r="AN2237"/>
      <c r="AO2237"/>
    </row>
    <row r="2238" spans="1:41" s="2" customFormat="1" x14ac:dyDescent="0.2">
      <c r="A2238"/>
      <c r="B2238"/>
      <c r="C2238"/>
      <c r="D2238"/>
      <c r="E2238"/>
      <c r="F2238"/>
      <c r="G2238"/>
      <c r="U2238"/>
      <c r="V2238"/>
      <c r="W2238"/>
      <c r="X2238"/>
      <c r="Y2238"/>
      <c r="Z2238"/>
      <c r="AA2238"/>
      <c r="AB2238"/>
      <c r="AL2238"/>
      <c r="AM2238"/>
      <c r="AN2238"/>
      <c r="AO2238"/>
    </row>
    <row r="2239" spans="1:41" s="2" customFormat="1" x14ac:dyDescent="0.2">
      <c r="A2239"/>
      <c r="B2239"/>
      <c r="C2239"/>
      <c r="D2239"/>
      <c r="E2239"/>
      <c r="F2239"/>
      <c r="G2239"/>
      <c r="U2239"/>
      <c r="V2239"/>
      <c r="W2239"/>
      <c r="X2239"/>
      <c r="Y2239"/>
      <c r="Z2239"/>
      <c r="AA2239"/>
      <c r="AB2239"/>
      <c r="AL2239"/>
      <c r="AM2239"/>
      <c r="AN2239"/>
      <c r="AO2239"/>
    </row>
    <row r="2240" spans="1:41" s="2" customFormat="1" x14ac:dyDescent="0.2">
      <c r="A2240"/>
      <c r="B2240"/>
      <c r="C2240"/>
      <c r="D2240"/>
      <c r="E2240"/>
      <c r="F2240"/>
      <c r="G2240"/>
      <c r="U2240"/>
      <c r="V2240"/>
      <c r="W2240"/>
      <c r="X2240"/>
      <c r="Y2240"/>
      <c r="Z2240"/>
      <c r="AA2240"/>
      <c r="AB2240"/>
      <c r="AL2240"/>
      <c r="AM2240"/>
      <c r="AN2240"/>
      <c r="AO2240"/>
    </row>
    <row r="2241" spans="1:41" s="2" customFormat="1" x14ac:dyDescent="0.2">
      <c r="A2241"/>
      <c r="B2241"/>
      <c r="C2241"/>
      <c r="D2241"/>
      <c r="E2241"/>
      <c r="F2241"/>
      <c r="G2241"/>
      <c r="U2241"/>
      <c r="V2241"/>
      <c r="W2241"/>
      <c r="X2241"/>
      <c r="Y2241"/>
      <c r="Z2241"/>
      <c r="AA2241"/>
      <c r="AB2241"/>
      <c r="AL2241"/>
      <c r="AM2241"/>
      <c r="AN2241"/>
      <c r="AO2241"/>
    </row>
    <row r="2242" spans="1:41" s="2" customFormat="1" x14ac:dyDescent="0.2">
      <c r="A2242"/>
      <c r="B2242"/>
      <c r="C2242"/>
      <c r="D2242"/>
      <c r="E2242"/>
      <c r="F2242"/>
      <c r="G2242"/>
      <c r="U2242"/>
      <c r="V2242"/>
      <c r="W2242"/>
      <c r="X2242"/>
      <c r="Y2242"/>
      <c r="Z2242"/>
      <c r="AA2242"/>
      <c r="AB2242"/>
      <c r="AL2242"/>
      <c r="AM2242"/>
      <c r="AN2242"/>
      <c r="AO2242"/>
    </row>
    <row r="2243" spans="1:41" s="2" customFormat="1" x14ac:dyDescent="0.2">
      <c r="A2243"/>
      <c r="B2243"/>
      <c r="C2243"/>
      <c r="D2243"/>
      <c r="E2243"/>
      <c r="F2243"/>
      <c r="G2243"/>
      <c r="U2243"/>
      <c r="V2243"/>
      <c r="W2243"/>
      <c r="X2243"/>
      <c r="Y2243"/>
      <c r="Z2243"/>
      <c r="AA2243"/>
      <c r="AB2243"/>
      <c r="AL2243"/>
      <c r="AM2243"/>
      <c r="AN2243"/>
      <c r="AO2243"/>
    </row>
    <row r="2244" spans="1:41" s="2" customFormat="1" x14ac:dyDescent="0.2">
      <c r="A2244"/>
      <c r="B2244"/>
      <c r="C2244"/>
      <c r="D2244"/>
      <c r="E2244"/>
      <c r="F2244"/>
      <c r="G2244"/>
      <c r="U2244"/>
      <c r="V2244"/>
      <c r="W2244"/>
      <c r="X2244"/>
      <c r="Y2244"/>
      <c r="Z2244"/>
      <c r="AA2244"/>
      <c r="AB2244"/>
      <c r="AL2244"/>
      <c r="AM2244"/>
      <c r="AN2244"/>
      <c r="AO2244"/>
    </row>
    <row r="2245" spans="1:41" s="2" customFormat="1" x14ac:dyDescent="0.2">
      <c r="A2245"/>
      <c r="B2245"/>
      <c r="C2245"/>
      <c r="D2245"/>
      <c r="E2245"/>
      <c r="F2245"/>
      <c r="G2245"/>
      <c r="U2245"/>
      <c r="V2245"/>
      <c r="W2245"/>
      <c r="X2245"/>
      <c r="Y2245"/>
      <c r="Z2245"/>
      <c r="AA2245"/>
      <c r="AB2245"/>
      <c r="AL2245"/>
      <c r="AM2245"/>
      <c r="AN2245"/>
      <c r="AO2245"/>
    </row>
    <row r="2246" spans="1:41" s="2" customFormat="1" x14ac:dyDescent="0.2">
      <c r="A2246"/>
      <c r="B2246"/>
      <c r="C2246"/>
      <c r="D2246"/>
      <c r="E2246"/>
      <c r="F2246"/>
      <c r="G2246"/>
      <c r="U2246"/>
      <c r="V2246"/>
      <c r="W2246"/>
      <c r="X2246"/>
      <c r="Y2246"/>
      <c r="Z2246"/>
      <c r="AA2246"/>
      <c r="AB2246"/>
      <c r="AL2246"/>
      <c r="AM2246"/>
      <c r="AN2246"/>
      <c r="AO2246"/>
    </row>
    <row r="2247" spans="1:41" s="2" customFormat="1" x14ac:dyDescent="0.2">
      <c r="A2247"/>
      <c r="B2247"/>
      <c r="C2247"/>
      <c r="D2247"/>
      <c r="E2247"/>
      <c r="F2247"/>
      <c r="G2247"/>
      <c r="U2247"/>
      <c r="V2247"/>
      <c r="W2247"/>
      <c r="X2247"/>
      <c r="Y2247"/>
      <c r="Z2247"/>
      <c r="AA2247"/>
      <c r="AB2247"/>
      <c r="AL2247"/>
      <c r="AM2247"/>
      <c r="AN2247"/>
      <c r="AO2247"/>
    </row>
    <row r="2248" spans="1:41" s="2" customFormat="1" x14ac:dyDescent="0.2">
      <c r="A2248"/>
      <c r="B2248"/>
      <c r="C2248"/>
      <c r="D2248"/>
      <c r="E2248"/>
      <c r="F2248"/>
      <c r="G2248"/>
      <c r="U2248"/>
      <c r="V2248"/>
      <c r="W2248"/>
      <c r="X2248"/>
      <c r="Y2248"/>
      <c r="Z2248"/>
      <c r="AA2248"/>
      <c r="AB2248"/>
      <c r="AL2248"/>
      <c r="AM2248"/>
      <c r="AN2248"/>
      <c r="AO2248"/>
    </row>
    <row r="2249" spans="1:41" s="2" customFormat="1" x14ac:dyDescent="0.2">
      <c r="A2249"/>
      <c r="B2249"/>
      <c r="C2249"/>
      <c r="D2249"/>
      <c r="E2249"/>
      <c r="F2249"/>
      <c r="G2249"/>
      <c r="U2249"/>
      <c r="V2249"/>
      <c r="W2249"/>
      <c r="X2249"/>
      <c r="Y2249"/>
      <c r="Z2249"/>
      <c r="AA2249"/>
      <c r="AB2249"/>
      <c r="AL2249"/>
      <c r="AM2249"/>
      <c r="AN2249"/>
      <c r="AO2249"/>
    </row>
    <row r="2250" spans="1:41" s="2" customFormat="1" x14ac:dyDescent="0.2">
      <c r="A2250"/>
      <c r="B2250"/>
      <c r="C2250"/>
      <c r="D2250"/>
      <c r="E2250"/>
      <c r="F2250"/>
      <c r="G2250"/>
      <c r="U2250"/>
      <c r="V2250"/>
      <c r="W2250"/>
      <c r="X2250"/>
      <c r="Y2250"/>
      <c r="Z2250"/>
      <c r="AA2250"/>
      <c r="AB2250"/>
      <c r="AL2250"/>
      <c r="AM2250"/>
      <c r="AN2250"/>
      <c r="AO2250"/>
    </row>
    <row r="2251" spans="1:41" s="2" customFormat="1" x14ac:dyDescent="0.2">
      <c r="A2251"/>
      <c r="B2251"/>
      <c r="C2251"/>
      <c r="D2251"/>
      <c r="E2251"/>
      <c r="F2251"/>
      <c r="G2251"/>
      <c r="U2251"/>
      <c r="V2251"/>
      <c r="W2251"/>
      <c r="X2251"/>
      <c r="Y2251"/>
      <c r="Z2251"/>
      <c r="AA2251"/>
      <c r="AB2251"/>
      <c r="AL2251"/>
      <c r="AM2251"/>
      <c r="AN2251"/>
      <c r="AO2251"/>
    </row>
    <row r="2252" spans="1:41" s="2" customFormat="1" x14ac:dyDescent="0.2">
      <c r="A2252"/>
      <c r="B2252"/>
      <c r="C2252"/>
      <c r="D2252"/>
      <c r="E2252"/>
      <c r="F2252"/>
      <c r="G2252"/>
      <c r="U2252"/>
      <c r="V2252"/>
      <c r="W2252"/>
      <c r="X2252"/>
      <c r="Y2252"/>
      <c r="Z2252"/>
      <c r="AA2252"/>
      <c r="AB2252"/>
      <c r="AL2252"/>
      <c r="AM2252"/>
      <c r="AN2252"/>
      <c r="AO2252"/>
    </row>
    <row r="2253" spans="1:41" s="2" customFormat="1" x14ac:dyDescent="0.2">
      <c r="A2253"/>
      <c r="B2253"/>
      <c r="C2253"/>
      <c r="D2253"/>
      <c r="E2253"/>
      <c r="F2253"/>
      <c r="G2253"/>
      <c r="U2253"/>
      <c r="V2253"/>
      <c r="W2253"/>
      <c r="X2253"/>
      <c r="Y2253"/>
      <c r="Z2253"/>
      <c r="AA2253"/>
      <c r="AB2253"/>
      <c r="AL2253"/>
      <c r="AM2253"/>
      <c r="AN2253"/>
      <c r="AO2253"/>
    </row>
    <row r="2254" spans="1:41" s="2" customFormat="1" x14ac:dyDescent="0.2">
      <c r="A2254"/>
      <c r="B2254"/>
      <c r="C2254"/>
      <c r="D2254"/>
      <c r="E2254"/>
      <c r="F2254"/>
      <c r="G2254"/>
      <c r="U2254"/>
      <c r="V2254"/>
      <c r="W2254"/>
      <c r="X2254"/>
      <c r="Y2254"/>
      <c r="Z2254"/>
      <c r="AA2254"/>
      <c r="AB2254"/>
      <c r="AL2254"/>
      <c r="AM2254"/>
      <c r="AN2254"/>
      <c r="AO2254"/>
    </row>
    <row r="2255" spans="1:41" s="2" customFormat="1" x14ac:dyDescent="0.2">
      <c r="A2255"/>
      <c r="B2255"/>
      <c r="C2255"/>
      <c r="D2255"/>
      <c r="E2255"/>
      <c r="F2255"/>
      <c r="G2255"/>
      <c r="U2255"/>
      <c r="V2255"/>
      <c r="W2255"/>
      <c r="X2255"/>
      <c r="Y2255"/>
      <c r="Z2255"/>
      <c r="AA2255"/>
      <c r="AB2255"/>
      <c r="AL2255"/>
      <c r="AM2255"/>
      <c r="AN2255"/>
      <c r="AO2255"/>
    </row>
    <row r="2256" spans="1:41" s="2" customFormat="1" x14ac:dyDescent="0.2">
      <c r="A2256"/>
      <c r="B2256"/>
      <c r="C2256"/>
      <c r="D2256"/>
      <c r="E2256"/>
      <c r="F2256"/>
      <c r="G2256"/>
      <c r="U2256"/>
      <c r="V2256"/>
      <c r="W2256"/>
      <c r="X2256"/>
      <c r="Y2256"/>
      <c r="Z2256"/>
      <c r="AA2256"/>
      <c r="AB2256"/>
      <c r="AL2256"/>
      <c r="AM2256"/>
      <c r="AN2256"/>
      <c r="AO2256"/>
    </row>
    <row r="2257" spans="1:41" s="2" customFormat="1" x14ac:dyDescent="0.2">
      <c r="A2257"/>
      <c r="B2257"/>
      <c r="C2257"/>
      <c r="D2257"/>
      <c r="E2257"/>
      <c r="F2257"/>
      <c r="G2257"/>
      <c r="U2257"/>
      <c r="V2257"/>
      <c r="W2257"/>
      <c r="X2257"/>
      <c r="Y2257"/>
      <c r="Z2257"/>
      <c r="AA2257"/>
      <c r="AB2257"/>
      <c r="AL2257"/>
      <c r="AM2257"/>
      <c r="AN2257"/>
      <c r="AO2257"/>
    </row>
    <row r="2258" spans="1:41" s="2" customFormat="1" x14ac:dyDescent="0.2">
      <c r="A2258"/>
      <c r="B2258"/>
      <c r="C2258"/>
      <c r="D2258"/>
      <c r="E2258"/>
      <c r="F2258"/>
      <c r="G2258"/>
      <c r="U2258"/>
      <c r="V2258"/>
      <c r="W2258"/>
      <c r="X2258"/>
      <c r="Y2258"/>
      <c r="Z2258"/>
      <c r="AA2258"/>
      <c r="AB2258"/>
      <c r="AL2258"/>
      <c r="AM2258"/>
      <c r="AN2258"/>
      <c r="AO2258"/>
    </row>
    <row r="2259" spans="1:41" s="2" customFormat="1" x14ac:dyDescent="0.2">
      <c r="A2259"/>
      <c r="B2259"/>
      <c r="C2259"/>
      <c r="D2259"/>
      <c r="E2259"/>
      <c r="F2259"/>
      <c r="G2259"/>
      <c r="U2259"/>
      <c r="V2259"/>
      <c r="W2259"/>
      <c r="X2259"/>
      <c r="Y2259"/>
      <c r="Z2259"/>
      <c r="AA2259"/>
      <c r="AB2259"/>
      <c r="AL2259"/>
      <c r="AM2259"/>
      <c r="AN2259"/>
      <c r="AO2259"/>
    </row>
    <row r="2260" spans="1:41" s="2" customFormat="1" x14ac:dyDescent="0.2">
      <c r="A2260"/>
      <c r="B2260"/>
      <c r="C2260"/>
      <c r="D2260"/>
      <c r="E2260"/>
      <c r="F2260"/>
      <c r="G2260"/>
      <c r="U2260"/>
      <c r="V2260"/>
      <c r="W2260"/>
      <c r="X2260"/>
      <c r="Y2260"/>
      <c r="Z2260"/>
      <c r="AA2260"/>
      <c r="AB2260"/>
      <c r="AL2260"/>
      <c r="AM2260"/>
      <c r="AN2260"/>
      <c r="AO2260"/>
    </row>
    <row r="2261" spans="1:41" s="2" customFormat="1" x14ac:dyDescent="0.2">
      <c r="A2261"/>
      <c r="B2261"/>
      <c r="C2261"/>
      <c r="D2261"/>
      <c r="E2261"/>
      <c r="F2261"/>
      <c r="G2261"/>
      <c r="U2261"/>
      <c r="V2261"/>
      <c r="W2261"/>
      <c r="X2261"/>
      <c r="Y2261"/>
      <c r="Z2261"/>
      <c r="AA2261"/>
      <c r="AB2261"/>
      <c r="AL2261"/>
      <c r="AM2261"/>
      <c r="AN2261"/>
      <c r="AO2261"/>
    </row>
    <row r="2262" spans="1:41" s="2" customFormat="1" x14ac:dyDescent="0.2">
      <c r="A2262"/>
      <c r="B2262"/>
      <c r="C2262"/>
      <c r="D2262"/>
      <c r="E2262"/>
      <c r="F2262"/>
      <c r="G2262"/>
      <c r="U2262"/>
      <c r="V2262"/>
      <c r="W2262"/>
      <c r="X2262"/>
      <c r="Y2262"/>
      <c r="Z2262"/>
      <c r="AA2262"/>
      <c r="AB2262"/>
      <c r="AL2262"/>
      <c r="AM2262"/>
      <c r="AN2262"/>
      <c r="AO2262"/>
    </row>
    <row r="2263" spans="1:41" s="2" customFormat="1" x14ac:dyDescent="0.2">
      <c r="A2263"/>
      <c r="B2263"/>
      <c r="C2263"/>
      <c r="D2263"/>
      <c r="E2263"/>
      <c r="F2263"/>
      <c r="G2263"/>
      <c r="U2263"/>
      <c r="V2263"/>
      <c r="W2263"/>
      <c r="X2263"/>
      <c r="Y2263"/>
      <c r="Z2263"/>
      <c r="AA2263"/>
      <c r="AB2263"/>
      <c r="AL2263"/>
      <c r="AM2263"/>
      <c r="AN2263"/>
      <c r="AO2263"/>
    </row>
    <row r="2264" spans="1:41" s="2" customFormat="1" x14ac:dyDescent="0.2">
      <c r="A2264"/>
      <c r="B2264"/>
      <c r="C2264"/>
      <c r="D2264"/>
      <c r="E2264"/>
      <c r="F2264"/>
      <c r="G2264"/>
      <c r="U2264"/>
      <c r="V2264"/>
      <c r="W2264"/>
      <c r="X2264"/>
      <c r="Y2264"/>
      <c r="Z2264"/>
      <c r="AA2264"/>
      <c r="AB2264"/>
      <c r="AL2264"/>
      <c r="AM2264"/>
      <c r="AN2264"/>
      <c r="AO2264"/>
    </row>
    <row r="2265" spans="1:41" s="2" customFormat="1" x14ac:dyDescent="0.2">
      <c r="A2265"/>
      <c r="B2265"/>
      <c r="C2265"/>
      <c r="D2265"/>
      <c r="E2265"/>
      <c r="F2265"/>
      <c r="G2265"/>
      <c r="U2265"/>
      <c r="V2265"/>
      <c r="W2265"/>
      <c r="X2265"/>
      <c r="Y2265"/>
      <c r="Z2265"/>
      <c r="AA2265"/>
      <c r="AB2265"/>
      <c r="AL2265"/>
      <c r="AM2265"/>
      <c r="AN2265"/>
      <c r="AO2265"/>
    </row>
    <row r="2266" spans="1:41" s="2" customFormat="1" x14ac:dyDescent="0.2">
      <c r="A2266"/>
      <c r="B2266"/>
      <c r="C2266"/>
      <c r="D2266"/>
      <c r="E2266"/>
      <c r="F2266"/>
      <c r="G2266"/>
      <c r="U2266"/>
      <c r="V2266"/>
      <c r="W2266"/>
      <c r="X2266"/>
      <c r="Y2266"/>
      <c r="Z2266"/>
      <c r="AA2266"/>
      <c r="AB2266"/>
      <c r="AL2266"/>
      <c r="AM2266"/>
      <c r="AN2266"/>
      <c r="AO2266"/>
    </row>
    <row r="2267" spans="1:41" s="2" customFormat="1" x14ac:dyDescent="0.2">
      <c r="A2267"/>
      <c r="B2267"/>
      <c r="C2267"/>
      <c r="D2267"/>
      <c r="E2267"/>
      <c r="F2267"/>
      <c r="G2267"/>
      <c r="U2267"/>
      <c r="V2267"/>
      <c r="W2267"/>
      <c r="X2267"/>
      <c r="Y2267"/>
      <c r="Z2267"/>
      <c r="AA2267"/>
      <c r="AB2267"/>
      <c r="AL2267"/>
      <c r="AM2267"/>
      <c r="AN2267"/>
      <c r="AO2267"/>
    </row>
    <row r="2268" spans="1:41" s="2" customFormat="1" x14ac:dyDescent="0.2">
      <c r="A2268"/>
      <c r="B2268"/>
      <c r="C2268"/>
      <c r="D2268"/>
      <c r="E2268"/>
      <c r="F2268"/>
      <c r="G2268"/>
      <c r="U2268"/>
      <c r="V2268"/>
      <c r="W2268"/>
      <c r="X2268"/>
      <c r="Y2268"/>
      <c r="Z2268"/>
      <c r="AA2268"/>
      <c r="AB2268"/>
      <c r="AL2268"/>
      <c r="AM2268"/>
      <c r="AN2268"/>
      <c r="AO2268"/>
    </row>
    <row r="2269" spans="1:41" s="2" customFormat="1" x14ac:dyDescent="0.2">
      <c r="A2269"/>
      <c r="B2269"/>
      <c r="C2269"/>
      <c r="D2269"/>
      <c r="E2269"/>
      <c r="F2269"/>
      <c r="G2269"/>
      <c r="U2269"/>
      <c r="V2269"/>
      <c r="W2269"/>
      <c r="X2269"/>
      <c r="Y2269"/>
      <c r="Z2269"/>
      <c r="AA2269"/>
      <c r="AB2269"/>
      <c r="AL2269"/>
      <c r="AM2269"/>
      <c r="AN2269"/>
      <c r="AO2269"/>
    </row>
    <row r="2270" spans="1:41" s="2" customFormat="1" x14ac:dyDescent="0.2">
      <c r="A2270"/>
      <c r="B2270"/>
      <c r="C2270"/>
      <c r="D2270"/>
      <c r="E2270"/>
      <c r="F2270"/>
      <c r="G2270"/>
      <c r="U2270"/>
      <c r="V2270"/>
      <c r="W2270"/>
      <c r="X2270"/>
      <c r="Y2270"/>
      <c r="Z2270"/>
      <c r="AA2270"/>
      <c r="AB2270"/>
      <c r="AL2270"/>
      <c r="AM2270"/>
      <c r="AN2270"/>
      <c r="AO2270"/>
    </row>
    <row r="2271" spans="1:41" s="2" customFormat="1" x14ac:dyDescent="0.2">
      <c r="A2271"/>
      <c r="B2271"/>
      <c r="C2271"/>
      <c r="D2271"/>
      <c r="E2271"/>
      <c r="F2271"/>
      <c r="G2271"/>
      <c r="U2271"/>
      <c r="V2271"/>
      <c r="W2271"/>
      <c r="X2271"/>
      <c r="Y2271"/>
      <c r="Z2271"/>
      <c r="AA2271"/>
      <c r="AB2271"/>
      <c r="AL2271"/>
      <c r="AM2271"/>
      <c r="AN2271"/>
      <c r="AO2271"/>
    </row>
    <row r="2272" spans="1:41" s="2" customFormat="1" x14ac:dyDescent="0.2">
      <c r="A2272"/>
      <c r="B2272"/>
      <c r="C2272"/>
      <c r="D2272"/>
      <c r="E2272"/>
      <c r="F2272"/>
      <c r="G2272"/>
      <c r="U2272"/>
      <c r="V2272"/>
      <c r="W2272"/>
      <c r="X2272"/>
      <c r="Y2272"/>
      <c r="Z2272"/>
      <c r="AA2272"/>
      <c r="AB2272"/>
      <c r="AL2272"/>
      <c r="AM2272"/>
      <c r="AN2272"/>
      <c r="AO2272"/>
    </row>
    <row r="2273" spans="1:41" s="2" customFormat="1" x14ac:dyDescent="0.2">
      <c r="A2273"/>
      <c r="B2273"/>
      <c r="C2273"/>
      <c r="D2273"/>
      <c r="E2273"/>
      <c r="F2273"/>
      <c r="G2273"/>
      <c r="U2273"/>
      <c r="V2273"/>
      <c r="W2273"/>
      <c r="X2273"/>
      <c r="Y2273"/>
      <c r="Z2273"/>
      <c r="AA2273"/>
      <c r="AB2273"/>
      <c r="AL2273"/>
      <c r="AM2273"/>
      <c r="AN2273"/>
      <c r="AO2273"/>
    </row>
    <row r="2274" spans="1:41" s="2" customFormat="1" x14ac:dyDescent="0.2">
      <c r="A2274"/>
      <c r="B2274"/>
      <c r="C2274"/>
      <c r="D2274"/>
      <c r="E2274"/>
      <c r="F2274"/>
      <c r="G2274"/>
      <c r="U2274"/>
      <c r="V2274"/>
      <c r="W2274"/>
      <c r="X2274"/>
      <c r="Y2274"/>
      <c r="Z2274"/>
      <c r="AA2274"/>
      <c r="AB2274"/>
      <c r="AL2274"/>
      <c r="AM2274"/>
      <c r="AN2274"/>
      <c r="AO2274"/>
    </row>
    <row r="2275" spans="1:41" s="2" customFormat="1" x14ac:dyDescent="0.2">
      <c r="A2275"/>
      <c r="B2275"/>
      <c r="C2275"/>
      <c r="D2275"/>
      <c r="E2275"/>
      <c r="F2275"/>
      <c r="G2275"/>
      <c r="U2275"/>
      <c r="V2275"/>
      <c r="W2275"/>
      <c r="X2275"/>
      <c r="Y2275"/>
      <c r="Z2275"/>
      <c r="AA2275"/>
      <c r="AB2275"/>
      <c r="AL2275"/>
      <c r="AM2275"/>
      <c r="AN2275"/>
      <c r="AO2275"/>
    </row>
    <row r="2276" spans="1:41" s="2" customFormat="1" x14ac:dyDescent="0.2">
      <c r="A2276"/>
      <c r="B2276"/>
      <c r="C2276"/>
      <c r="D2276"/>
      <c r="E2276"/>
      <c r="F2276"/>
      <c r="G2276"/>
      <c r="U2276"/>
      <c r="V2276"/>
      <c r="W2276"/>
      <c r="X2276"/>
      <c r="Y2276"/>
      <c r="Z2276"/>
      <c r="AA2276"/>
      <c r="AB2276"/>
      <c r="AL2276"/>
      <c r="AM2276"/>
      <c r="AN2276"/>
      <c r="AO2276"/>
    </row>
    <row r="2277" spans="1:41" s="2" customFormat="1" x14ac:dyDescent="0.2">
      <c r="A2277"/>
      <c r="B2277"/>
      <c r="C2277"/>
      <c r="D2277"/>
      <c r="E2277"/>
      <c r="F2277"/>
      <c r="G2277"/>
      <c r="U2277"/>
      <c r="V2277"/>
      <c r="W2277"/>
      <c r="X2277"/>
      <c r="Y2277"/>
      <c r="Z2277"/>
      <c r="AA2277"/>
      <c r="AB2277"/>
      <c r="AL2277"/>
      <c r="AM2277"/>
      <c r="AN2277"/>
      <c r="AO2277"/>
    </row>
    <row r="2278" spans="1:41" s="2" customFormat="1" x14ac:dyDescent="0.2">
      <c r="A2278"/>
      <c r="B2278"/>
      <c r="C2278"/>
      <c r="D2278"/>
      <c r="E2278"/>
      <c r="F2278"/>
      <c r="G2278"/>
      <c r="U2278"/>
      <c r="V2278"/>
      <c r="W2278"/>
      <c r="X2278"/>
      <c r="Y2278"/>
      <c r="Z2278"/>
      <c r="AA2278"/>
      <c r="AB2278"/>
      <c r="AL2278"/>
      <c r="AM2278"/>
      <c r="AN2278"/>
      <c r="AO2278"/>
    </row>
    <row r="2279" spans="1:41" s="2" customFormat="1" x14ac:dyDescent="0.2">
      <c r="A2279"/>
      <c r="B2279"/>
      <c r="C2279"/>
      <c r="D2279"/>
      <c r="E2279"/>
      <c r="F2279"/>
      <c r="G2279"/>
      <c r="U2279"/>
      <c r="V2279"/>
      <c r="W2279"/>
      <c r="X2279"/>
      <c r="Y2279"/>
      <c r="Z2279"/>
      <c r="AA2279"/>
      <c r="AB2279"/>
      <c r="AL2279"/>
      <c r="AM2279"/>
      <c r="AN2279"/>
      <c r="AO2279"/>
    </row>
    <row r="2280" spans="1:41" s="2" customFormat="1" x14ac:dyDescent="0.2">
      <c r="A2280"/>
      <c r="B2280"/>
      <c r="C2280"/>
      <c r="D2280"/>
      <c r="E2280"/>
      <c r="F2280"/>
      <c r="G2280"/>
      <c r="U2280"/>
      <c r="V2280"/>
      <c r="W2280"/>
      <c r="X2280"/>
      <c r="Y2280"/>
      <c r="Z2280"/>
      <c r="AA2280"/>
      <c r="AB2280"/>
      <c r="AL2280"/>
      <c r="AM2280"/>
      <c r="AN2280"/>
      <c r="AO2280"/>
    </row>
    <row r="2281" spans="1:41" s="2" customFormat="1" x14ac:dyDescent="0.2">
      <c r="A2281"/>
      <c r="B2281"/>
      <c r="C2281"/>
      <c r="D2281"/>
      <c r="E2281"/>
      <c r="F2281"/>
      <c r="G2281"/>
      <c r="U2281"/>
      <c r="V2281"/>
      <c r="W2281"/>
      <c r="X2281"/>
      <c r="Y2281"/>
      <c r="Z2281"/>
      <c r="AA2281"/>
      <c r="AB2281"/>
      <c r="AL2281"/>
      <c r="AM2281"/>
      <c r="AN2281"/>
      <c r="AO2281"/>
    </row>
    <row r="2282" spans="1:41" s="2" customFormat="1" x14ac:dyDescent="0.2">
      <c r="A2282"/>
      <c r="B2282"/>
      <c r="C2282"/>
      <c r="D2282"/>
      <c r="E2282"/>
      <c r="F2282"/>
      <c r="G2282"/>
      <c r="U2282"/>
      <c r="V2282"/>
      <c r="W2282"/>
      <c r="X2282"/>
      <c r="Y2282"/>
      <c r="Z2282"/>
      <c r="AA2282"/>
      <c r="AB2282"/>
      <c r="AL2282"/>
      <c r="AM2282"/>
      <c r="AN2282"/>
      <c r="AO2282"/>
    </row>
    <row r="2283" spans="1:41" s="2" customFormat="1" x14ac:dyDescent="0.2">
      <c r="A2283"/>
      <c r="B2283"/>
      <c r="C2283"/>
      <c r="D2283"/>
      <c r="E2283"/>
      <c r="F2283"/>
      <c r="G2283"/>
      <c r="U2283"/>
      <c r="V2283"/>
      <c r="W2283"/>
      <c r="X2283"/>
      <c r="Y2283"/>
      <c r="Z2283"/>
      <c r="AA2283"/>
      <c r="AB2283"/>
      <c r="AL2283"/>
      <c r="AM2283"/>
      <c r="AN2283"/>
      <c r="AO2283"/>
    </row>
    <row r="2284" spans="1:41" s="2" customFormat="1" x14ac:dyDescent="0.2">
      <c r="A2284"/>
      <c r="B2284"/>
      <c r="C2284"/>
      <c r="D2284"/>
      <c r="E2284"/>
      <c r="F2284"/>
      <c r="G2284"/>
      <c r="U2284"/>
      <c r="V2284"/>
      <c r="W2284"/>
      <c r="X2284"/>
      <c r="Y2284"/>
      <c r="Z2284"/>
      <c r="AA2284"/>
      <c r="AB2284"/>
      <c r="AL2284"/>
      <c r="AM2284"/>
      <c r="AN2284"/>
      <c r="AO2284"/>
    </row>
    <row r="2285" spans="1:41" s="2" customFormat="1" x14ac:dyDescent="0.2">
      <c r="A2285"/>
      <c r="B2285"/>
      <c r="C2285"/>
      <c r="D2285"/>
      <c r="E2285"/>
      <c r="F2285"/>
      <c r="G2285"/>
      <c r="U2285"/>
      <c r="V2285"/>
      <c r="W2285"/>
      <c r="X2285"/>
      <c r="Y2285"/>
      <c r="Z2285"/>
      <c r="AA2285"/>
      <c r="AB2285"/>
      <c r="AL2285"/>
      <c r="AM2285"/>
      <c r="AN2285"/>
      <c r="AO2285"/>
    </row>
    <row r="2286" spans="1:41" s="2" customFormat="1" x14ac:dyDescent="0.2">
      <c r="A2286"/>
      <c r="B2286"/>
      <c r="C2286"/>
      <c r="D2286"/>
      <c r="E2286"/>
      <c r="F2286"/>
      <c r="G2286"/>
      <c r="U2286"/>
      <c r="V2286"/>
      <c r="W2286"/>
      <c r="X2286"/>
      <c r="Y2286"/>
      <c r="Z2286"/>
      <c r="AA2286"/>
      <c r="AB2286"/>
      <c r="AL2286"/>
      <c r="AM2286"/>
      <c r="AN2286"/>
      <c r="AO2286"/>
    </row>
    <row r="2287" spans="1:41" s="2" customFormat="1" x14ac:dyDescent="0.2">
      <c r="A2287"/>
      <c r="B2287"/>
      <c r="C2287"/>
      <c r="D2287"/>
      <c r="E2287"/>
      <c r="F2287"/>
      <c r="G2287"/>
      <c r="U2287"/>
      <c r="V2287"/>
      <c r="W2287"/>
      <c r="X2287"/>
      <c r="Y2287"/>
      <c r="Z2287"/>
      <c r="AA2287"/>
      <c r="AB2287"/>
      <c r="AL2287"/>
      <c r="AM2287"/>
      <c r="AN2287"/>
      <c r="AO2287"/>
    </row>
    <row r="2288" spans="1:41" s="2" customFormat="1" x14ac:dyDescent="0.2">
      <c r="A2288"/>
      <c r="B2288"/>
      <c r="C2288"/>
      <c r="D2288"/>
      <c r="E2288"/>
      <c r="F2288"/>
      <c r="G2288"/>
      <c r="U2288"/>
      <c r="V2288"/>
      <c r="W2288"/>
      <c r="X2288"/>
      <c r="Y2288"/>
      <c r="Z2288"/>
      <c r="AA2288"/>
      <c r="AB2288"/>
      <c r="AL2288"/>
      <c r="AM2288"/>
      <c r="AN2288"/>
      <c r="AO2288"/>
    </row>
    <row r="2289" spans="1:41" s="2" customFormat="1" x14ac:dyDescent="0.2">
      <c r="A2289"/>
      <c r="B2289"/>
      <c r="C2289"/>
      <c r="D2289"/>
      <c r="E2289"/>
      <c r="F2289"/>
      <c r="G2289"/>
      <c r="U2289"/>
      <c r="V2289"/>
      <c r="W2289"/>
      <c r="X2289"/>
      <c r="Y2289"/>
      <c r="Z2289"/>
      <c r="AA2289"/>
      <c r="AB2289"/>
      <c r="AL2289"/>
      <c r="AM2289"/>
      <c r="AN2289"/>
      <c r="AO2289"/>
    </row>
    <row r="2290" spans="1:41" s="2" customFormat="1" x14ac:dyDescent="0.2">
      <c r="A2290"/>
      <c r="B2290"/>
      <c r="C2290"/>
      <c r="D2290"/>
      <c r="E2290"/>
      <c r="F2290"/>
      <c r="G2290"/>
      <c r="U2290"/>
      <c r="V2290"/>
      <c r="W2290"/>
      <c r="X2290"/>
      <c r="Y2290"/>
      <c r="Z2290"/>
      <c r="AA2290"/>
      <c r="AB2290"/>
      <c r="AL2290"/>
      <c r="AM2290"/>
      <c r="AN2290"/>
      <c r="AO2290"/>
    </row>
    <row r="2291" spans="1:41" s="2" customFormat="1" x14ac:dyDescent="0.2">
      <c r="A2291"/>
      <c r="B2291"/>
      <c r="C2291"/>
      <c r="D2291"/>
      <c r="E2291"/>
      <c r="F2291"/>
      <c r="G2291"/>
      <c r="U2291"/>
      <c r="V2291"/>
      <c r="W2291"/>
      <c r="X2291"/>
      <c r="Y2291"/>
      <c r="Z2291"/>
      <c r="AA2291"/>
      <c r="AB2291"/>
      <c r="AL2291"/>
      <c r="AM2291"/>
      <c r="AN2291"/>
      <c r="AO2291"/>
    </row>
    <row r="2292" spans="1:41" s="2" customFormat="1" x14ac:dyDescent="0.2">
      <c r="A2292"/>
      <c r="B2292"/>
      <c r="C2292"/>
      <c r="D2292"/>
      <c r="E2292"/>
      <c r="F2292"/>
      <c r="G2292"/>
      <c r="U2292"/>
      <c r="V2292"/>
      <c r="W2292"/>
      <c r="X2292"/>
      <c r="Y2292"/>
      <c r="Z2292"/>
      <c r="AA2292"/>
      <c r="AB2292"/>
      <c r="AL2292"/>
      <c r="AM2292"/>
      <c r="AN2292"/>
      <c r="AO2292"/>
    </row>
    <row r="2293" spans="1:41" s="2" customFormat="1" x14ac:dyDescent="0.2">
      <c r="A2293"/>
      <c r="B2293"/>
      <c r="C2293"/>
      <c r="D2293"/>
      <c r="E2293"/>
      <c r="F2293"/>
      <c r="G2293"/>
      <c r="U2293"/>
      <c r="V2293"/>
      <c r="W2293"/>
      <c r="X2293"/>
      <c r="Y2293"/>
      <c r="Z2293"/>
      <c r="AA2293"/>
      <c r="AB2293"/>
      <c r="AL2293"/>
      <c r="AM2293"/>
      <c r="AN2293"/>
      <c r="AO2293"/>
    </row>
    <row r="2294" spans="1:41" s="2" customFormat="1" x14ac:dyDescent="0.2">
      <c r="A2294"/>
      <c r="B2294"/>
      <c r="C2294"/>
      <c r="D2294"/>
      <c r="E2294"/>
      <c r="F2294"/>
      <c r="G2294"/>
      <c r="U2294"/>
      <c r="V2294"/>
      <c r="W2294"/>
      <c r="X2294"/>
      <c r="Y2294"/>
      <c r="Z2294"/>
      <c r="AA2294"/>
      <c r="AB2294"/>
      <c r="AL2294"/>
      <c r="AM2294"/>
      <c r="AN2294"/>
      <c r="AO2294"/>
    </row>
    <row r="2295" spans="1:41" s="2" customFormat="1" x14ac:dyDescent="0.2">
      <c r="A2295"/>
      <c r="B2295"/>
      <c r="C2295"/>
      <c r="D2295"/>
      <c r="E2295"/>
      <c r="F2295"/>
      <c r="G2295"/>
      <c r="U2295"/>
      <c r="V2295"/>
      <c r="W2295"/>
      <c r="X2295"/>
      <c r="Y2295"/>
      <c r="Z2295"/>
      <c r="AA2295"/>
      <c r="AB2295"/>
      <c r="AL2295"/>
      <c r="AM2295"/>
      <c r="AN2295"/>
      <c r="AO2295"/>
    </row>
    <row r="2296" spans="1:41" s="2" customFormat="1" x14ac:dyDescent="0.2">
      <c r="A2296"/>
      <c r="B2296"/>
      <c r="C2296"/>
      <c r="D2296"/>
      <c r="E2296"/>
      <c r="F2296"/>
      <c r="G2296"/>
      <c r="U2296"/>
      <c r="V2296"/>
      <c r="W2296"/>
      <c r="X2296"/>
      <c r="Y2296"/>
      <c r="Z2296"/>
      <c r="AA2296"/>
      <c r="AB2296"/>
      <c r="AL2296"/>
      <c r="AM2296"/>
      <c r="AN2296"/>
      <c r="AO2296"/>
    </row>
    <row r="2297" spans="1:41" s="2" customFormat="1" x14ac:dyDescent="0.2">
      <c r="A2297"/>
      <c r="B2297"/>
      <c r="C2297"/>
      <c r="D2297"/>
      <c r="E2297"/>
      <c r="F2297"/>
      <c r="G2297"/>
      <c r="U2297"/>
      <c r="V2297"/>
      <c r="W2297"/>
      <c r="X2297"/>
      <c r="Y2297"/>
      <c r="Z2297"/>
      <c r="AA2297"/>
      <c r="AB2297"/>
      <c r="AL2297"/>
      <c r="AM2297"/>
      <c r="AN2297"/>
      <c r="AO2297"/>
    </row>
    <row r="2298" spans="1:41" s="2" customFormat="1" x14ac:dyDescent="0.2">
      <c r="A2298"/>
      <c r="B2298"/>
      <c r="C2298"/>
      <c r="D2298"/>
      <c r="E2298"/>
      <c r="F2298"/>
      <c r="G2298"/>
      <c r="U2298"/>
      <c r="V2298"/>
      <c r="W2298"/>
      <c r="X2298"/>
      <c r="Y2298"/>
      <c r="Z2298"/>
      <c r="AA2298"/>
      <c r="AB2298"/>
      <c r="AL2298"/>
      <c r="AM2298"/>
      <c r="AN2298"/>
      <c r="AO2298"/>
    </row>
    <row r="2299" spans="1:41" s="2" customFormat="1" x14ac:dyDescent="0.2">
      <c r="A2299"/>
      <c r="B2299"/>
      <c r="C2299"/>
      <c r="D2299"/>
      <c r="E2299"/>
      <c r="F2299"/>
      <c r="G2299"/>
      <c r="U2299"/>
      <c r="V2299"/>
      <c r="W2299"/>
      <c r="X2299"/>
      <c r="Y2299"/>
      <c r="Z2299"/>
      <c r="AA2299"/>
      <c r="AB2299"/>
      <c r="AL2299"/>
      <c r="AM2299"/>
      <c r="AN2299"/>
      <c r="AO2299"/>
    </row>
    <row r="2300" spans="1:41" s="2" customFormat="1" x14ac:dyDescent="0.2">
      <c r="A2300"/>
      <c r="B2300"/>
      <c r="C2300"/>
      <c r="D2300"/>
      <c r="E2300"/>
      <c r="F2300"/>
      <c r="G2300"/>
      <c r="U2300"/>
      <c r="V2300"/>
      <c r="W2300"/>
      <c r="X2300"/>
      <c r="Y2300"/>
      <c r="Z2300"/>
      <c r="AA2300"/>
      <c r="AB2300"/>
      <c r="AL2300"/>
      <c r="AM2300"/>
      <c r="AN2300"/>
      <c r="AO2300"/>
    </row>
    <row r="2301" spans="1:41" s="2" customFormat="1" x14ac:dyDescent="0.2">
      <c r="A2301"/>
      <c r="B2301"/>
      <c r="C2301"/>
      <c r="D2301"/>
      <c r="E2301"/>
      <c r="F2301"/>
      <c r="G2301"/>
      <c r="U2301"/>
      <c r="V2301"/>
      <c r="W2301"/>
      <c r="X2301"/>
      <c r="Y2301"/>
      <c r="Z2301"/>
      <c r="AA2301"/>
      <c r="AB2301"/>
      <c r="AL2301"/>
      <c r="AM2301"/>
      <c r="AN2301"/>
      <c r="AO2301"/>
    </row>
    <row r="2302" spans="1:41" s="2" customFormat="1" x14ac:dyDescent="0.2">
      <c r="A2302"/>
      <c r="B2302"/>
      <c r="C2302"/>
      <c r="D2302"/>
      <c r="E2302"/>
      <c r="F2302"/>
      <c r="G2302"/>
      <c r="U2302"/>
      <c r="V2302"/>
      <c r="W2302"/>
      <c r="X2302"/>
      <c r="Y2302"/>
      <c r="Z2302"/>
      <c r="AA2302"/>
      <c r="AB2302"/>
      <c r="AL2302"/>
      <c r="AM2302"/>
      <c r="AN2302"/>
      <c r="AO2302"/>
    </row>
    <row r="2303" spans="1:41" s="2" customFormat="1" x14ac:dyDescent="0.2">
      <c r="A2303"/>
      <c r="B2303"/>
      <c r="C2303"/>
      <c r="D2303"/>
      <c r="E2303"/>
      <c r="F2303"/>
      <c r="G2303"/>
      <c r="U2303"/>
      <c r="V2303"/>
      <c r="W2303"/>
      <c r="X2303"/>
      <c r="Y2303"/>
      <c r="Z2303"/>
      <c r="AA2303"/>
      <c r="AB2303"/>
      <c r="AL2303"/>
      <c r="AM2303"/>
      <c r="AN2303"/>
      <c r="AO2303"/>
    </row>
    <row r="2304" spans="1:41" s="2" customFormat="1" x14ac:dyDescent="0.2">
      <c r="A2304"/>
      <c r="B2304"/>
      <c r="C2304"/>
      <c r="D2304"/>
      <c r="E2304"/>
      <c r="F2304"/>
      <c r="G2304"/>
      <c r="U2304"/>
      <c r="V2304"/>
      <c r="W2304"/>
      <c r="X2304"/>
      <c r="Y2304"/>
      <c r="Z2304"/>
      <c r="AA2304"/>
      <c r="AB2304"/>
      <c r="AL2304"/>
      <c r="AM2304"/>
      <c r="AN2304"/>
      <c r="AO2304"/>
    </row>
    <row r="2305" spans="1:41" s="2" customFormat="1" x14ac:dyDescent="0.2">
      <c r="A2305"/>
      <c r="B2305"/>
      <c r="C2305"/>
      <c r="D2305"/>
      <c r="E2305"/>
      <c r="F2305"/>
      <c r="G2305"/>
      <c r="U2305"/>
      <c r="V2305"/>
      <c r="W2305"/>
      <c r="X2305"/>
      <c r="Y2305"/>
      <c r="Z2305"/>
      <c r="AA2305"/>
      <c r="AB2305"/>
      <c r="AL2305"/>
      <c r="AM2305"/>
      <c r="AN2305"/>
      <c r="AO2305"/>
    </row>
    <row r="2306" spans="1:41" s="2" customFormat="1" x14ac:dyDescent="0.2">
      <c r="A2306"/>
      <c r="B2306"/>
      <c r="C2306"/>
      <c r="D2306"/>
      <c r="E2306"/>
      <c r="F2306"/>
      <c r="G2306"/>
      <c r="U2306"/>
      <c r="V2306"/>
      <c r="W2306"/>
      <c r="X2306"/>
      <c r="Y2306"/>
      <c r="Z2306"/>
      <c r="AA2306"/>
      <c r="AB2306"/>
      <c r="AL2306"/>
      <c r="AM2306"/>
      <c r="AN2306"/>
      <c r="AO2306"/>
    </row>
    <row r="2307" spans="1:41" s="2" customFormat="1" x14ac:dyDescent="0.2">
      <c r="A2307"/>
      <c r="B2307"/>
      <c r="C2307"/>
      <c r="D2307"/>
      <c r="E2307"/>
      <c r="F2307"/>
      <c r="G2307"/>
      <c r="U2307"/>
      <c r="V2307"/>
      <c r="W2307"/>
      <c r="X2307"/>
      <c r="Y2307"/>
      <c r="Z2307"/>
      <c r="AA2307"/>
      <c r="AB2307"/>
      <c r="AL2307"/>
      <c r="AM2307"/>
      <c r="AN2307"/>
      <c r="AO2307"/>
    </row>
    <row r="2308" spans="1:41" s="2" customFormat="1" x14ac:dyDescent="0.2">
      <c r="A2308"/>
      <c r="B2308"/>
      <c r="C2308"/>
      <c r="D2308"/>
      <c r="E2308"/>
      <c r="F2308"/>
      <c r="G2308"/>
      <c r="U2308"/>
      <c r="V2308"/>
      <c r="W2308"/>
      <c r="X2308"/>
      <c r="Y2308"/>
      <c r="Z2308"/>
      <c r="AA2308"/>
      <c r="AB2308"/>
      <c r="AL2308"/>
      <c r="AM2308"/>
      <c r="AN2308"/>
      <c r="AO2308"/>
    </row>
    <row r="2309" spans="1:41" s="2" customFormat="1" x14ac:dyDescent="0.2">
      <c r="A2309"/>
      <c r="B2309"/>
      <c r="C2309"/>
      <c r="D2309"/>
      <c r="E2309"/>
      <c r="F2309"/>
      <c r="G2309"/>
      <c r="U2309"/>
      <c r="V2309"/>
      <c r="W2309"/>
      <c r="X2309"/>
      <c r="Y2309"/>
      <c r="Z2309"/>
      <c r="AA2309"/>
      <c r="AB2309"/>
      <c r="AL2309"/>
      <c r="AM2309"/>
      <c r="AN2309"/>
      <c r="AO2309"/>
    </row>
    <row r="2310" spans="1:41" s="2" customFormat="1" x14ac:dyDescent="0.2">
      <c r="A2310"/>
      <c r="B2310"/>
      <c r="C2310"/>
      <c r="D2310"/>
      <c r="E2310"/>
      <c r="F2310"/>
      <c r="G2310"/>
      <c r="U2310"/>
      <c r="V2310"/>
      <c r="W2310"/>
      <c r="X2310"/>
      <c r="Y2310"/>
      <c r="Z2310"/>
      <c r="AA2310"/>
      <c r="AB2310"/>
      <c r="AL2310"/>
      <c r="AM2310"/>
      <c r="AN2310"/>
      <c r="AO2310"/>
    </row>
    <row r="2311" spans="1:41" s="2" customFormat="1" x14ac:dyDescent="0.2">
      <c r="A2311"/>
      <c r="B2311"/>
      <c r="C2311"/>
      <c r="D2311"/>
      <c r="E2311"/>
      <c r="F2311"/>
      <c r="G2311"/>
      <c r="U2311"/>
      <c r="V2311"/>
      <c r="W2311"/>
      <c r="X2311"/>
      <c r="Y2311"/>
      <c r="Z2311"/>
      <c r="AA2311"/>
      <c r="AB2311"/>
      <c r="AL2311"/>
      <c r="AM2311"/>
      <c r="AN2311"/>
      <c r="AO2311"/>
    </row>
    <row r="2312" spans="1:41" s="2" customFormat="1" x14ac:dyDescent="0.2">
      <c r="A2312"/>
      <c r="B2312"/>
      <c r="C2312"/>
      <c r="D2312"/>
      <c r="E2312"/>
      <c r="F2312"/>
      <c r="G2312"/>
      <c r="U2312"/>
      <c r="V2312"/>
      <c r="W2312"/>
      <c r="X2312"/>
      <c r="Y2312"/>
      <c r="Z2312"/>
      <c r="AA2312"/>
      <c r="AB2312"/>
      <c r="AL2312"/>
      <c r="AM2312"/>
      <c r="AN2312"/>
      <c r="AO2312"/>
    </row>
    <row r="2313" spans="1:41" s="2" customFormat="1" x14ac:dyDescent="0.2">
      <c r="A2313"/>
      <c r="B2313"/>
      <c r="C2313"/>
      <c r="D2313"/>
      <c r="E2313"/>
      <c r="F2313"/>
      <c r="G2313"/>
      <c r="U2313"/>
      <c r="V2313"/>
      <c r="W2313"/>
      <c r="X2313"/>
      <c r="Y2313"/>
      <c r="Z2313"/>
      <c r="AA2313"/>
      <c r="AB2313"/>
      <c r="AL2313"/>
      <c r="AM2313"/>
      <c r="AN2313"/>
      <c r="AO2313"/>
    </row>
    <row r="2314" spans="1:41" s="2" customFormat="1" x14ac:dyDescent="0.2">
      <c r="A2314"/>
      <c r="B2314"/>
      <c r="C2314"/>
      <c r="D2314"/>
      <c r="E2314"/>
      <c r="F2314"/>
      <c r="G2314"/>
      <c r="U2314"/>
      <c r="V2314"/>
      <c r="W2314"/>
      <c r="X2314"/>
      <c r="Y2314"/>
      <c r="Z2314"/>
      <c r="AA2314"/>
      <c r="AB2314"/>
      <c r="AL2314"/>
      <c r="AM2314"/>
      <c r="AN2314"/>
      <c r="AO2314"/>
    </row>
    <row r="2315" spans="1:41" s="2" customFormat="1" x14ac:dyDescent="0.2">
      <c r="A2315"/>
      <c r="B2315"/>
      <c r="C2315"/>
      <c r="D2315"/>
      <c r="E2315"/>
      <c r="F2315"/>
      <c r="G2315"/>
      <c r="U2315"/>
      <c r="V2315"/>
      <c r="W2315"/>
      <c r="X2315"/>
      <c r="Y2315"/>
      <c r="Z2315"/>
      <c r="AA2315"/>
      <c r="AB2315"/>
      <c r="AL2315"/>
      <c r="AM2315"/>
      <c r="AN2315"/>
      <c r="AO2315"/>
    </row>
    <row r="2316" spans="1:41" s="2" customFormat="1" x14ac:dyDescent="0.2">
      <c r="A2316"/>
      <c r="B2316"/>
      <c r="C2316"/>
      <c r="D2316"/>
      <c r="E2316"/>
      <c r="F2316"/>
      <c r="G2316"/>
      <c r="U2316"/>
      <c r="V2316"/>
      <c r="W2316"/>
      <c r="X2316"/>
      <c r="Y2316"/>
      <c r="Z2316"/>
      <c r="AA2316"/>
      <c r="AB2316"/>
      <c r="AL2316"/>
      <c r="AM2316"/>
      <c r="AN2316"/>
      <c r="AO2316"/>
    </row>
    <row r="2317" spans="1:41" s="2" customFormat="1" x14ac:dyDescent="0.2">
      <c r="A2317"/>
      <c r="B2317"/>
      <c r="C2317"/>
      <c r="D2317"/>
      <c r="E2317"/>
      <c r="F2317"/>
      <c r="G2317"/>
      <c r="U2317"/>
      <c r="V2317"/>
      <c r="W2317"/>
      <c r="X2317"/>
      <c r="Y2317"/>
      <c r="Z2317"/>
      <c r="AA2317"/>
      <c r="AB2317"/>
      <c r="AL2317"/>
      <c r="AM2317"/>
      <c r="AN2317"/>
      <c r="AO2317"/>
    </row>
    <row r="2318" spans="1:41" s="2" customFormat="1" x14ac:dyDescent="0.2">
      <c r="A2318"/>
      <c r="B2318"/>
      <c r="C2318"/>
      <c r="D2318"/>
      <c r="E2318"/>
      <c r="F2318"/>
      <c r="G2318"/>
      <c r="U2318"/>
      <c r="V2318"/>
      <c r="W2318"/>
      <c r="X2318"/>
      <c r="Y2318"/>
      <c r="Z2318"/>
      <c r="AA2318"/>
      <c r="AB2318"/>
      <c r="AL2318"/>
      <c r="AM2318"/>
      <c r="AN2318"/>
      <c r="AO2318"/>
    </row>
    <row r="2319" spans="1:41" s="2" customFormat="1" x14ac:dyDescent="0.2">
      <c r="A2319"/>
      <c r="B2319"/>
      <c r="C2319"/>
      <c r="D2319"/>
      <c r="E2319"/>
      <c r="F2319"/>
      <c r="G2319"/>
      <c r="U2319"/>
      <c r="V2319"/>
      <c r="W2319"/>
      <c r="X2319"/>
      <c r="Y2319"/>
      <c r="Z2319"/>
      <c r="AA2319"/>
      <c r="AB2319"/>
      <c r="AL2319"/>
      <c r="AM2319"/>
      <c r="AN2319"/>
      <c r="AO2319"/>
    </row>
    <row r="2320" spans="1:41" s="2" customFormat="1" x14ac:dyDescent="0.2">
      <c r="A2320"/>
      <c r="B2320"/>
      <c r="C2320"/>
      <c r="D2320"/>
      <c r="E2320"/>
      <c r="F2320"/>
      <c r="G2320"/>
      <c r="U2320"/>
      <c r="V2320"/>
      <c r="W2320"/>
      <c r="X2320"/>
      <c r="Y2320"/>
      <c r="Z2320"/>
      <c r="AA2320"/>
      <c r="AB2320"/>
      <c r="AL2320"/>
      <c r="AM2320"/>
      <c r="AN2320"/>
      <c r="AO2320"/>
    </row>
    <row r="2321" spans="1:41" s="2" customFormat="1" x14ac:dyDescent="0.2">
      <c r="A2321"/>
      <c r="B2321"/>
      <c r="C2321"/>
      <c r="D2321"/>
      <c r="E2321"/>
      <c r="F2321"/>
      <c r="G2321"/>
      <c r="U2321"/>
      <c r="V2321"/>
      <c r="W2321"/>
      <c r="X2321"/>
      <c r="Y2321"/>
      <c r="Z2321"/>
      <c r="AA2321"/>
      <c r="AB2321"/>
      <c r="AL2321"/>
      <c r="AM2321"/>
      <c r="AN2321"/>
      <c r="AO2321"/>
    </row>
    <row r="2322" spans="1:41" s="2" customFormat="1" x14ac:dyDescent="0.2">
      <c r="A2322"/>
      <c r="B2322"/>
      <c r="C2322"/>
      <c r="D2322"/>
      <c r="E2322"/>
      <c r="F2322"/>
      <c r="G2322"/>
      <c r="U2322"/>
      <c r="V2322"/>
      <c r="W2322"/>
      <c r="X2322"/>
      <c r="Y2322"/>
      <c r="Z2322"/>
      <c r="AA2322"/>
      <c r="AB2322"/>
      <c r="AL2322"/>
      <c r="AM2322"/>
      <c r="AN2322"/>
      <c r="AO2322"/>
    </row>
    <row r="2323" spans="1:41" s="2" customFormat="1" x14ac:dyDescent="0.2">
      <c r="A2323"/>
      <c r="B2323"/>
      <c r="C2323"/>
      <c r="D2323"/>
      <c r="E2323"/>
      <c r="F2323"/>
      <c r="G2323"/>
      <c r="U2323"/>
      <c r="V2323"/>
      <c r="W2323"/>
      <c r="X2323"/>
      <c r="Y2323"/>
      <c r="Z2323"/>
      <c r="AA2323"/>
      <c r="AB2323"/>
      <c r="AL2323"/>
      <c r="AM2323"/>
      <c r="AN2323"/>
      <c r="AO2323"/>
    </row>
    <row r="2324" spans="1:41" s="2" customFormat="1" x14ac:dyDescent="0.2">
      <c r="A2324"/>
      <c r="B2324"/>
      <c r="C2324"/>
      <c r="D2324"/>
      <c r="E2324"/>
      <c r="F2324"/>
      <c r="G2324"/>
      <c r="U2324"/>
      <c r="V2324"/>
      <c r="W2324"/>
      <c r="X2324"/>
      <c r="Y2324"/>
      <c r="Z2324"/>
      <c r="AA2324"/>
      <c r="AB2324"/>
      <c r="AL2324"/>
      <c r="AM2324"/>
      <c r="AN2324"/>
      <c r="AO2324"/>
    </row>
    <row r="2325" spans="1:41" s="2" customFormat="1" x14ac:dyDescent="0.2">
      <c r="A2325"/>
      <c r="B2325"/>
      <c r="C2325"/>
      <c r="D2325"/>
      <c r="E2325"/>
      <c r="F2325"/>
      <c r="G2325"/>
      <c r="U2325"/>
      <c r="V2325"/>
      <c r="W2325"/>
      <c r="X2325"/>
      <c r="Y2325"/>
      <c r="Z2325"/>
      <c r="AA2325"/>
      <c r="AB2325"/>
      <c r="AL2325"/>
      <c r="AM2325"/>
      <c r="AN2325"/>
      <c r="AO2325"/>
    </row>
    <row r="2326" spans="1:41" s="2" customFormat="1" x14ac:dyDescent="0.2">
      <c r="A2326"/>
      <c r="B2326"/>
      <c r="C2326"/>
      <c r="D2326"/>
      <c r="E2326"/>
      <c r="F2326"/>
      <c r="G2326"/>
      <c r="U2326"/>
      <c r="V2326"/>
      <c r="W2326"/>
      <c r="X2326"/>
      <c r="Y2326"/>
      <c r="Z2326"/>
      <c r="AA2326"/>
      <c r="AB2326"/>
      <c r="AL2326"/>
      <c r="AM2326"/>
      <c r="AN2326"/>
      <c r="AO2326"/>
    </row>
    <row r="2327" spans="1:41" s="2" customFormat="1" x14ac:dyDescent="0.2">
      <c r="A2327"/>
      <c r="B2327"/>
      <c r="C2327"/>
      <c r="D2327"/>
      <c r="E2327"/>
      <c r="F2327"/>
      <c r="G2327"/>
      <c r="U2327"/>
      <c r="V2327"/>
      <c r="W2327"/>
      <c r="X2327"/>
      <c r="Y2327"/>
      <c r="Z2327"/>
      <c r="AA2327"/>
      <c r="AB2327"/>
      <c r="AL2327"/>
      <c r="AM2327"/>
      <c r="AN2327"/>
      <c r="AO2327"/>
    </row>
    <row r="2328" spans="1:41" s="2" customFormat="1" x14ac:dyDescent="0.2">
      <c r="A2328"/>
      <c r="B2328"/>
      <c r="C2328"/>
      <c r="D2328"/>
      <c r="E2328"/>
      <c r="F2328"/>
      <c r="G2328"/>
      <c r="U2328"/>
      <c r="V2328"/>
      <c r="W2328"/>
      <c r="X2328"/>
      <c r="Y2328"/>
      <c r="Z2328"/>
      <c r="AA2328"/>
      <c r="AB2328"/>
      <c r="AL2328"/>
      <c r="AM2328"/>
      <c r="AN2328"/>
      <c r="AO2328"/>
    </row>
    <row r="2329" spans="1:41" s="2" customFormat="1" x14ac:dyDescent="0.2">
      <c r="A2329"/>
      <c r="B2329"/>
      <c r="C2329"/>
      <c r="D2329"/>
      <c r="E2329"/>
      <c r="F2329"/>
      <c r="G2329"/>
      <c r="U2329"/>
      <c r="V2329"/>
      <c r="W2329"/>
      <c r="X2329"/>
      <c r="Y2329"/>
      <c r="Z2329"/>
      <c r="AA2329"/>
      <c r="AB2329"/>
      <c r="AL2329"/>
      <c r="AM2329"/>
      <c r="AN2329"/>
      <c r="AO2329"/>
    </row>
    <row r="2330" spans="1:41" s="2" customFormat="1" x14ac:dyDescent="0.2">
      <c r="A2330"/>
      <c r="B2330"/>
      <c r="C2330"/>
      <c r="D2330"/>
      <c r="E2330"/>
      <c r="F2330"/>
      <c r="G2330"/>
      <c r="U2330"/>
      <c r="V2330"/>
      <c r="W2330"/>
      <c r="X2330"/>
      <c r="Y2330"/>
      <c r="Z2330"/>
      <c r="AA2330"/>
      <c r="AB2330"/>
      <c r="AL2330"/>
      <c r="AM2330"/>
      <c r="AN2330"/>
      <c r="AO2330"/>
    </row>
    <row r="2331" spans="1:41" s="2" customFormat="1" x14ac:dyDescent="0.2">
      <c r="A2331"/>
      <c r="B2331"/>
      <c r="C2331"/>
      <c r="D2331"/>
      <c r="E2331"/>
      <c r="F2331"/>
      <c r="G2331"/>
      <c r="U2331"/>
      <c r="V2331"/>
      <c r="W2331"/>
      <c r="X2331"/>
      <c r="Y2331"/>
      <c r="Z2331"/>
      <c r="AA2331"/>
      <c r="AB2331"/>
      <c r="AL2331"/>
      <c r="AM2331"/>
      <c r="AN2331"/>
      <c r="AO2331"/>
    </row>
    <row r="2332" spans="1:41" s="2" customFormat="1" x14ac:dyDescent="0.2">
      <c r="A2332"/>
      <c r="B2332"/>
      <c r="C2332"/>
      <c r="D2332"/>
      <c r="E2332"/>
      <c r="F2332"/>
      <c r="G2332"/>
      <c r="U2332"/>
      <c r="V2332"/>
      <c r="W2332"/>
      <c r="X2332"/>
      <c r="Y2332"/>
      <c r="Z2332"/>
      <c r="AA2332"/>
      <c r="AB2332"/>
      <c r="AL2332"/>
      <c r="AM2332"/>
      <c r="AN2332"/>
      <c r="AO2332"/>
    </row>
    <row r="2333" spans="1:41" s="2" customFormat="1" x14ac:dyDescent="0.2">
      <c r="A2333"/>
      <c r="B2333"/>
      <c r="C2333"/>
      <c r="D2333"/>
      <c r="E2333"/>
      <c r="F2333"/>
      <c r="G2333"/>
      <c r="U2333"/>
      <c r="V2333"/>
      <c r="W2333"/>
      <c r="X2333"/>
      <c r="Y2333"/>
      <c r="Z2333"/>
      <c r="AA2333"/>
      <c r="AB2333"/>
      <c r="AL2333"/>
      <c r="AM2333"/>
      <c r="AN2333"/>
      <c r="AO2333"/>
    </row>
    <row r="2334" spans="1:41" s="2" customFormat="1" x14ac:dyDescent="0.2">
      <c r="A2334"/>
      <c r="B2334"/>
      <c r="C2334"/>
      <c r="D2334"/>
      <c r="E2334"/>
      <c r="F2334"/>
      <c r="G2334"/>
      <c r="U2334"/>
      <c r="V2334"/>
      <c r="W2334"/>
      <c r="X2334"/>
      <c r="Y2334"/>
      <c r="Z2334"/>
      <c r="AA2334"/>
      <c r="AB2334"/>
      <c r="AL2334"/>
      <c r="AM2334"/>
      <c r="AN2334"/>
      <c r="AO2334"/>
    </row>
    <row r="2335" spans="1:41" s="2" customFormat="1" x14ac:dyDescent="0.2">
      <c r="A2335"/>
      <c r="B2335"/>
      <c r="C2335"/>
      <c r="D2335"/>
      <c r="E2335"/>
      <c r="F2335"/>
      <c r="G2335"/>
      <c r="U2335"/>
      <c r="V2335"/>
      <c r="W2335"/>
      <c r="X2335"/>
      <c r="Y2335"/>
      <c r="Z2335"/>
      <c r="AA2335"/>
      <c r="AB2335"/>
      <c r="AL2335"/>
      <c r="AM2335"/>
      <c r="AN2335"/>
      <c r="AO2335"/>
    </row>
    <row r="2336" spans="1:41" s="2" customFormat="1" x14ac:dyDescent="0.2">
      <c r="A2336"/>
      <c r="B2336"/>
      <c r="C2336"/>
      <c r="D2336"/>
      <c r="E2336"/>
      <c r="F2336"/>
      <c r="G2336"/>
      <c r="U2336"/>
      <c r="V2336"/>
      <c r="W2336"/>
      <c r="X2336"/>
      <c r="Y2336"/>
      <c r="Z2336"/>
      <c r="AA2336"/>
      <c r="AB2336"/>
      <c r="AL2336"/>
      <c r="AM2336"/>
      <c r="AN2336"/>
      <c r="AO2336"/>
    </row>
    <row r="2337" spans="1:41" s="2" customFormat="1" x14ac:dyDescent="0.2">
      <c r="A2337"/>
      <c r="B2337"/>
      <c r="C2337"/>
      <c r="D2337"/>
      <c r="E2337"/>
      <c r="F2337"/>
      <c r="G2337"/>
      <c r="U2337"/>
      <c r="V2337"/>
      <c r="W2337"/>
      <c r="X2337"/>
      <c r="Y2337"/>
      <c r="Z2337"/>
      <c r="AA2337"/>
      <c r="AB2337"/>
      <c r="AL2337"/>
      <c r="AM2337"/>
      <c r="AN2337"/>
      <c r="AO2337"/>
    </row>
    <row r="2338" spans="1:41" s="2" customFormat="1" x14ac:dyDescent="0.2">
      <c r="A2338"/>
      <c r="B2338"/>
      <c r="C2338"/>
      <c r="D2338"/>
      <c r="E2338"/>
      <c r="F2338"/>
      <c r="G2338"/>
      <c r="U2338"/>
      <c r="V2338"/>
      <c r="W2338"/>
      <c r="X2338"/>
      <c r="Y2338"/>
      <c r="Z2338"/>
      <c r="AA2338"/>
      <c r="AB2338"/>
      <c r="AL2338"/>
      <c r="AM2338"/>
      <c r="AN2338"/>
      <c r="AO2338"/>
    </row>
    <row r="2339" spans="1:41" s="2" customFormat="1" x14ac:dyDescent="0.2">
      <c r="A2339"/>
      <c r="B2339"/>
      <c r="C2339"/>
      <c r="D2339"/>
      <c r="E2339"/>
      <c r="F2339"/>
      <c r="G2339"/>
      <c r="U2339"/>
      <c r="V2339"/>
      <c r="W2339"/>
      <c r="X2339"/>
      <c r="Y2339"/>
      <c r="Z2339"/>
      <c r="AA2339"/>
      <c r="AB2339"/>
      <c r="AL2339"/>
      <c r="AM2339"/>
      <c r="AN2339"/>
      <c r="AO2339"/>
    </row>
    <row r="2340" spans="1:41" s="2" customFormat="1" x14ac:dyDescent="0.2">
      <c r="A2340"/>
      <c r="B2340"/>
      <c r="C2340"/>
      <c r="D2340"/>
      <c r="E2340"/>
      <c r="F2340"/>
      <c r="G2340"/>
      <c r="U2340"/>
      <c r="V2340"/>
      <c r="W2340"/>
      <c r="X2340"/>
      <c r="Y2340"/>
      <c r="Z2340"/>
      <c r="AA2340"/>
      <c r="AB2340"/>
      <c r="AL2340"/>
      <c r="AM2340"/>
      <c r="AN2340"/>
      <c r="AO2340"/>
    </row>
    <row r="2341" spans="1:41" s="2" customFormat="1" x14ac:dyDescent="0.2">
      <c r="A2341"/>
      <c r="B2341"/>
      <c r="C2341"/>
      <c r="D2341"/>
      <c r="E2341"/>
      <c r="F2341"/>
      <c r="G2341"/>
      <c r="U2341"/>
      <c r="V2341"/>
      <c r="W2341"/>
      <c r="X2341"/>
      <c r="Y2341"/>
      <c r="Z2341"/>
      <c r="AA2341"/>
      <c r="AB2341"/>
      <c r="AL2341"/>
      <c r="AM2341"/>
      <c r="AN2341"/>
      <c r="AO2341"/>
    </row>
    <row r="2342" spans="1:41" s="2" customFormat="1" x14ac:dyDescent="0.2">
      <c r="A2342"/>
      <c r="B2342"/>
      <c r="C2342"/>
      <c r="D2342"/>
      <c r="E2342"/>
      <c r="F2342"/>
      <c r="G2342"/>
      <c r="U2342"/>
      <c r="V2342"/>
      <c r="W2342"/>
      <c r="X2342"/>
      <c r="Y2342"/>
      <c r="Z2342"/>
      <c r="AA2342"/>
      <c r="AB2342"/>
      <c r="AL2342"/>
      <c r="AM2342"/>
      <c r="AN2342"/>
      <c r="AO2342"/>
    </row>
    <row r="2343" spans="1:41" s="2" customFormat="1" x14ac:dyDescent="0.2">
      <c r="A2343"/>
      <c r="B2343"/>
      <c r="C2343"/>
      <c r="D2343"/>
      <c r="E2343"/>
      <c r="F2343"/>
      <c r="G2343"/>
      <c r="U2343"/>
      <c r="V2343"/>
      <c r="W2343"/>
      <c r="X2343"/>
      <c r="Y2343"/>
      <c r="Z2343"/>
      <c r="AA2343"/>
      <c r="AB2343"/>
      <c r="AL2343"/>
      <c r="AM2343"/>
      <c r="AN2343"/>
      <c r="AO2343"/>
    </row>
    <row r="2344" spans="1:41" s="2" customFormat="1" x14ac:dyDescent="0.2">
      <c r="A2344"/>
      <c r="B2344"/>
      <c r="C2344"/>
      <c r="D2344"/>
      <c r="E2344"/>
      <c r="F2344"/>
      <c r="G2344"/>
      <c r="U2344"/>
      <c r="V2344"/>
      <c r="W2344"/>
      <c r="X2344"/>
      <c r="Y2344"/>
      <c r="Z2344"/>
      <c r="AA2344"/>
      <c r="AB2344"/>
      <c r="AL2344"/>
      <c r="AM2344"/>
      <c r="AN2344"/>
      <c r="AO2344"/>
    </row>
    <row r="2345" spans="1:41" s="2" customFormat="1" x14ac:dyDescent="0.2">
      <c r="A2345"/>
      <c r="B2345"/>
      <c r="C2345"/>
      <c r="D2345"/>
      <c r="E2345"/>
      <c r="F2345"/>
      <c r="G2345"/>
      <c r="U2345"/>
      <c r="V2345"/>
      <c r="W2345"/>
      <c r="X2345"/>
      <c r="Y2345"/>
      <c r="Z2345"/>
      <c r="AA2345"/>
      <c r="AB2345"/>
      <c r="AL2345"/>
      <c r="AM2345"/>
      <c r="AN2345"/>
      <c r="AO2345"/>
    </row>
    <row r="2346" spans="1:41" s="2" customFormat="1" x14ac:dyDescent="0.2">
      <c r="A2346"/>
      <c r="B2346"/>
      <c r="C2346"/>
      <c r="D2346"/>
      <c r="E2346"/>
      <c r="F2346"/>
      <c r="G2346"/>
      <c r="U2346"/>
      <c r="V2346"/>
      <c r="W2346"/>
      <c r="X2346"/>
      <c r="Y2346"/>
      <c r="Z2346"/>
      <c r="AA2346"/>
      <c r="AB2346"/>
      <c r="AL2346"/>
      <c r="AM2346"/>
      <c r="AN2346"/>
      <c r="AO2346"/>
    </row>
    <row r="2347" spans="1:41" s="2" customFormat="1" x14ac:dyDescent="0.2">
      <c r="A2347"/>
      <c r="B2347"/>
      <c r="C2347"/>
      <c r="D2347"/>
      <c r="E2347"/>
      <c r="F2347"/>
      <c r="G2347"/>
      <c r="U2347"/>
      <c r="V2347"/>
      <c r="W2347"/>
      <c r="X2347"/>
      <c r="Y2347"/>
      <c r="Z2347"/>
      <c r="AA2347"/>
      <c r="AB2347"/>
      <c r="AL2347"/>
      <c r="AM2347"/>
      <c r="AN2347"/>
      <c r="AO2347"/>
    </row>
    <row r="2348" spans="1:41" s="2" customFormat="1" x14ac:dyDescent="0.2">
      <c r="A2348"/>
      <c r="B2348"/>
      <c r="C2348"/>
      <c r="D2348"/>
      <c r="E2348"/>
      <c r="F2348"/>
      <c r="G2348"/>
      <c r="U2348"/>
      <c r="V2348"/>
      <c r="W2348"/>
      <c r="X2348"/>
      <c r="Y2348"/>
      <c r="Z2348"/>
      <c r="AA2348"/>
      <c r="AB2348"/>
      <c r="AL2348"/>
      <c r="AM2348"/>
      <c r="AN2348"/>
      <c r="AO2348"/>
    </row>
    <row r="2349" spans="1:41" s="2" customFormat="1" x14ac:dyDescent="0.2">
      <c r="A2349"/>
      <c r="B2349"/>
      <c r="C2349"/>
      <c r="D2349"/>
      <c r="E2349"/>
      <c r="F2349"/>
      <c r="G2349"/>
      <c r="U2349"/>
      <c r="V2349"/>
      <c r="W2349"/>
      <c r="X2349"/>
      <c r="Y2349"/>
      <c r="Z2349"/>
      <c r="AA2349"/>
      <c r="AB2349"/>
      <c r="AL2349"/>
      <c r="AM2349"/>
      <c r="AN2349"/>
      <c r="AO2349"/>
    </row>
    <row r="2350" spans="1:41" s="2" customFormat="1" x14ac:dyDescent="0.2">
      <c r="A2350"/>
      <c r="B2350"/>
      <c r="C2350"/>
      <c r="D2350"/>
      <c r="E2350"/>
      <c r="F2350"/>
      <c r="G2350"/>
      <c r="U2350"/>
      <c r="V2350"/>
      <c r="W2350"/>
      <c r="X2350"/>
      <c r="Y2350"/>
      <c r="Z2350"/>
      <c r="AA2350"/>
      <c r="AB2350"/>
      <c r="AL2350"/>
      <c r="AM2350"/>
      <c r="AN2350"/>
      <c r="AO2350"/>
    </row>
    <row r="2351" spans="1:41" s="2" customFormat="1" x14ac:dyDescent="0.2">
      <c r="A2351"/>
      <c r="B2351"/>
      <c r="C2351"/>
      <c r="D2351"/>
      <c r="E2351"/>
      <c r="F2351"/>
      <c r="G2351"/>
      <c r="U2351"/>
      <c r="V2351"/>
      <c r="W2351"/>
      <c r="X2351"/>
      <c r="Y2351"/>
      <c r="Z2351"/>
      <c r="AA2351"/>
      <c r="AB2351"/>
      <c r="AL2351"/>
      <c r="AM2351"/>
      <c r="AN2351"/>
      <c r="AO2351"/>
    </row>
    <row r="2352" spans="1:41" s="2" customFormat="1" x14ac:dyDescent="0.2">
      <c r="A2352"/>
      <c r="B2352"/>
      <c r="C2352"/>
      <c r="D2352"/>
      <c r="E2352"/>
      <c r="F2352"/>
      <c r="G2352"/>
      <c r="U2352"/>
      <c r="V2352"/>
      <c r="W2352"/>
      <c r="X2352"/>
      <c r="Y2352"/>
      <c r="Z2352"/>
      <c r="AA2352"/>
      <c r="AB2352"/>
      <c r="AL2352"/>
      <c r="AM2352"/>
      <c r="AN2352"/>
      <c r="AO2352"/>
    </row>
    <row r="2353" spans="1:41" s="2" customFormat="1" x14ac:dyDescent="0.2">
      <c r="A2353"/>
      <c r="B2353"/>
      <c r="C2353"/>
      <c r="D2353"/>
      <c r="E2353"/>
      <c r="F2353"/>
      <c r="G2353"/>
      <c r="U2353"/>
      <c r="V2353"/>
      <c r="W2353"/>
      <c r="X2353"/>
      <c r="Y2353"/>
      <c r="Z2353"/>
      <c r="AA2353"/>
      <c r="AB2353"/>
      <c r="AL2353"/>
      <c r="AM2353"/>
      <c r="AN2353"/>
      <c r="AO2353"/>
    </row>
    <row r="2354" spans="1:41" s="2" customFormat="1" x14ac:dyDescent="0.2">
      <c r="A2354"/>
      <c r="B2354"/>
      <c r="C2354"/>
      <c r="D2354"/>
      <c r="E2354"/>
      <c r="F2354"/>
      <c r="G2354"/>
      <c r="U2354"/>
      <c r="V2354"/>
      <c r="W2354"/>
      <c r="X2354"/>
      <c r="Y2354"/>
      <c r="Z2354"/>
      <c r="AA2354"/>
      <c r="AB2354"/>
      <c r="AL2354"/>
      <c r="AM2354"/>
      <c r="AN2354"/>
      <c r="AO2354"/>
    </row>
    <row r="2355" spans="1:41" s="2" customFormat="1" x14ac:dyDescent="0.2">
      <c r="A2355"/>
      <c r="B2355"/>
      <c r="C2355"/>
      <c r="D2355"/>
      <c r="E2355"/>
      <c r="F2355"/>
      <c r="G2355"/>
      <c r="U2355"/>
      <c r="V2355"/>
      <c r="W2355"/>
      <c r="X2355"/>
      <c r="Y2355"/>
      <c r="Z2355"/>
      <c r="AA2355"/>
      <c r="AB2355"/>
      <c r="AL2355"/>
      <c r="AM2355"/>
      <c r="AN2355"/>
      <c r="AO2355"/>
    </row>
    <row r="2356" spans="1:41" s="2" customFormat="1" x14ac:dyDescent="0.2">
      <c r="A2356"/>
      <c r="B2356"/>
      <c r="C2356"/>
      <c r="D2356"/>
      <c r="E2356"/>
      <c r="F2356"/>
      <c r="G2356"/>
      <c r="U2356"/>
      <c r="V2356"/>
      <c r="W2356"/>
      <c r="X2356"/>
      <c r="Y2356"/>
      <c r="Z2356"/>
      <c r="AA2356"/>
      <c r="AB2356"/>
      <c r="AL2356"/>
      <c r="AM2356"/>
      <c r="AN2356"/>
      <c r="AO2356"/>
    </row>
    <row r="2357" spans="1:41" s="2" customFormat="1" x14ac:dyDescent="0.2">
      <c r="A2357"/>
      <c r="B2357"/>
      <c r="C2357"/>
      <c r="D2357"/>
      <c r="E2357"/>
      <c r="F2357"/>
      <c r="G2357"/>
      <c r="U2357"/>
      <c r="V2357"/>
      <c r="W2357"/>
      <c r="X2357"/>
      <c r="Y2357"/>
      <c r="Z2357"/>
      <c r="AA2357"/>
      <c r="AB2357"/>
      <c r="AL2357"/>
      <c r="AM2357"/>
      <c r="AN2357"/>
      <c r="AO2357"/>
    </row>
    <row r="2358" spans="1:41" s="2" customFormat="1" x14ac:dyDescent="0.2">
      <c r="A2358"/>
      <c r="B2358"/>
      <c r="C2358"/>
      <c r="D2358"/>
      <c r="E2358"/>
      <c r="F2358"/>
      <c r="G2358"/>
      <c r="U2358"/>
      <c r="V2358"/>
      <c r="W2358"/>
      <c r="X2358"/>
      <c r="Y2358"/>
      <c r="Z2358"/>
      <c r="AA2358"/>
      <c r="AB2358"/>
      <c r="AL2358"/>
      <c r="AM2358"/>
      <c r="AN2358"/>
      <c r="AO2358"/>
    </row>
    <row r="2359" spans="1:41" s="2" customFormat="1" x14ac:dyDescent="0.2">
      <c r="A2359"/>
      <c r="B2359"/>
      <c r="C2359"/>
      <c r="D2359"/>
      <c r="E2359"/>
      <c r="F2359"/>
      <c r="G2359"/>
      <c r="U2359"/>
      <c r="V2359"/>
      <c r="W2359"/>
      <c r="X2359"/>
      <c r="Y2359"/>
      <c r="Z2359"/>
      <c r="AA2359"/>
      <c r="AB2359"/>
      <c r="AL2359"/>
      <c r="AM2359"/>
      <c r="AN2359"/>
      <c r="AO2359"/>
    </row>
    <row r="2360" spans="1:41" s="2" customFormat="1" x14ac:dyDescent="0.2">
      <c r="A2360"/>
      <c r="B2360"/>
      <c r="C2360"/>
      <c r="D2360"/>
      <c r="E2360"/>
      <c r="F2360"/>
      <c r="G2360"/>
      <c r="U2360"/>
      <c r="V2360"/>
      <c r="W2360"/>
      <c r="X2360"/>
      <c r="Y2360"/>
      <c r="Z2360"/>
      <c r="AA2360"/>
      <c r="AB2360"/>
      <c r="AL2360"/>
      <c r="AM2360"/>
      <c r="AN2360"/>
      <c r="AO2360"/>
    </row>
    <row r="2361" spans="1:41" s="2" customFormat="1" x14ac:dyDescent="0.2">
      <c r="A2361"/>
      <c r="B2361"/>
      <c r="C2361"/>
      <c r="D2361"/>
      <c r="E2361"/>
      <c r="F2361"/>
      <c r="G2361"/>
      <c r="U2361"/>
      <c r="V2361"/>
      <c r="W2361"/>
      <c r="X2361"/>
      <c r="Y2361"/>
      <c r="Z2361"/>
      <c r="AA2361"/>
      <c r="AB2361"/>
      <c r="AL2361"/>
      <c r="AM2361"/>
      <c r="AN2361"/>
      <c r="AO2361"/>
    </row>
    <row r="2362" spans="1:41" s="2" customFormat="1" x14ac:dyDescent="0.2">
      <c r="A2362"/>
      <c r="B2362"/>
      <c r="C2362"/>
      <c r="D2362"/>
      <c r="E2362"/>
      <c r="F2362"/>
      <c r="G2362"/>
      <c r="U2362"/>
      <c r="V2362"/>
      <c r="W2362"/>
      <c r="X2362"/>
      <c r="Y2362"/>
      <c r="Z2362"/>
      <c r="AA2362"/>
      <c r="AB2362"/>
      <c r="AL2362"/>
      <c r="AM2362"/>
      <c r="AN2362"/>
      <c r="AO2362"/>
    </row>
    <row r="2363" spans="1:41" s="2" customFormat="1" x14ac:dyDescent="0.2">
      <c r="A2363"/>
      <c r="B2363"/>
      <c r="C2363"/>
      <c r="D2363"/>
      <c r="E2363"/>
      <c r="F2363"/>
      <c r="G2363"/>
      <c r="U2363"/>
      <c r="V2363"/>
      <c r="W2363"/>
      <c r="X2363"/>
      <c r="Y2363"/>
      <c r="Z2363"/>
      <c r="AA2363"/>
      <c r="AB2363"/>
      <c r="AL2363"/>
      <c r="AM2363"/>
      <c r="AN2363"/>
      <c r="AO2363"/>
    </row>
    <row r="2364" spans="1:41" s="2" customFormat="1" x14ac:dyDescent="0.2">
      <c r="A2364"/>
      <c r="B2364"/>
      <c r="C2364"/>
      <c r="D2364"/>
      <c r="E2364"/>
      <c r="F2364"/>
      <c r="G2364"/>
      <c r="U2364"/>
      <c r="V2364"/>
      <c r="W2364"/>
      <c r="X2364"/>
      <c r="Y2364"/>
      <c r="Z2364"/>
      <c r="AA2364"/>
      <c r="AB2364"/>
      <c r="AL2364"/>
      <c r="AM2364"/>
      <c r="AN2364"/>
      <c r="AO2364"/>
    </row>
    <row r="2365" spans="1:41" s="2" customFormat="1" x14ac:dyDescent="0.2">
      <c r="A2365"/>
      <c r="B2365"/>
      <c r="C2365"/>
      <c r="D2365"/>
      <c r="E2365"/>
      <c r="F2365"/>
      <c r="G2365"/>
      <c r="U2365"/>
      <c r="V2365"/>
      <c r="W2365"/>
      <c r="X2365"/>
      <c r="Y2365"/>
      <c r="Z2365"/>
      <c r="AA2365"/>
      <c r="AB2365"/>
      <c r="AL2365"/>
      <c r="AM2365"/>
      <c r="AN2365"/>
      <c r="AO2365"/>
    </row>
    <row r="2366" spans="1:41" s="2" customFormat="1" x14ac:dyDescent="0.2">
      <c r="A2366"/>
      <c r="B2366"/>
      <c r="C2366"/>
      <c r="D2366"/>
      <c r="E2366"/>
      <c r="F2366"/>
      <c r="G2366"/>
      <c r="U2366"/>
      <c r="V2366"/>
      <c r="W2366"/>
      <c r="X2366"/>
      <c r="Y2366"/>
      <c r="Z2366"/>
      <c r="AA2366"/>
      <c r="AB2366"/>
      <c r="AL2366"/>
      <c r="AM2366"/>
      <c r="AN2366"/>
      <c r="AO2366"/>
    </row>
    <row r="2367" spans="1:41" s="2" customFormat="1" x14ac:dyDescent="0.2">
      <c r="A2367"/>
      <c r="B2367"/>
      <c r="C2367"/>
      <c r="D2367"/>
      <c r="E2367"/>
      <c r="F2367"/>
      <c r="G2367"/>
      <c r="U2367"/>
      <c r="V2367"/>
      <c r="W2367"/>
      <c r="X2367"/>
      <c r="Y2367"/>
      <c r="Z2367"/>
      <c r="AA2367"/>
      <c r="AB2367"/>
      <c r="AL2367"/>
      <c r="AM2367"/>
      <c r="AN2367"/>
      <c r="AO2367"/>
    </row>
    <row r="2368" spans="1:41" s="2" customFormat="1" x14ac:dyDescent="0.2">
      <c r="A2368"/>
      <c r="B2368"/>
      <c r="C2368"/>
      <c r="D2368"/>
      <c r="E2368"/>
      <c r="F2368"/>
      <c r="G2368"/>
      <c r="U2368"/>
      <c r="V2368"/>
      <c r="W2368"/>
      <c r="X2368"/>
      <c r="Y2368"/>
      <c r="Z2368"/>
      <c r="AA2368"/>
      <c r="AB2368"/>
      <c r="AL2368"/>
      <c r="AM2368"/>
      <c r="AN2368"/>
      <c r="AO2368"/>
    </row>
    <row r="2369" spans="1:41" s="2" customFormat="1" x14ac:dyDescent="0.2">
      <c r="A2369"/>
      <c r="B2369"/>
      <c r="C2369"/>
      <c r="D2369"/>
      <c r="E2369"/>
      <c r="F2369"/>
      <c r="G2369"/>
      <c r="U2369"/>
      <c r="V2369"/>
      <c r="W2369"/>
      <c r="X2369"/>
      <c r="Y2369"/>
      <c r="Z2369"/>
      <c r="AA2369"/>
      <c r="AB2369"/>
      <c r="AL2369"/>
      <c r="AM2369"/>
      <c r="AN2369"/>
      <c r="AO2369"/>
    </row>
    <row r="2370" spans="1:41" s="2" customFormat="1" x14ac:dyDescent="0.2">
      <c r="A2370"/>
      <c r="B2370"/>
      <c r="C2370"/>
      <c r="D2370"/>
      <c r="E2370"/>
      <c r="F2370"/>
      <c r="G2370"/>
      <c r="U2370"/>
      <c r="V2370"/>
      <c r="W2370"/>
      <c r="X2370"/>
      <c r="Y2370"/>
      <c r="Z2370"/>
      <c r="AA2370"/>
      <c r="AB2370"/>
      <c r="AL2370"/>
      <c r="AM2370"/>
      <c r="AN2370"/>
      <c r="AO2370"/>
    </row>
    <row r="2371" spans="1:41" s="2" customFormat="1" x14ac:dyDescent="0.2">
      <c r="A2371"/>
      <c r="B2371"/>
      <c r="C2371"/>
      <c r="D2371"/>
      <c r="E2371"/>
      <c r="F2371"/>
      <c r="G2371"/>
      <c r="U2371"/>
      <c r="V2371"/>
      <c r="W2371"/>
      <c r="X2371"/>
      <c r="Y2371"/>
      <c r="Z2371"/>
      <c r="AA2371"/>
      <c r="AB2371"/>
      <c r="AL2371"/>
      <c r="AM2371"/>
      <c r="AN2371"/>
      <c r="AO2371"/>
    </row>
    <row r="2372" spans="1:41" s="2" customFormat="1" x14ac:dyDescent="0.2">
      <c r="A2372"/>
      <c r="B2372"/>
      <c r="C2372"/>
      <c r="D2372"/>
      <c r="E2372"/>
      <c r="F2372"/>
      <c r="G2372"/>
      <c r="U2372"/>
      <c r="V2372"/>
      <c r="W2372"/>
      <c r="X2372"/>
      <c r="Y2372"/>
      <c r="Z2372"/>
      <c r="AA2372"/>
      <c r="AB2372"/>
      <c r="AL2372"/>
      <c r="AM2372"/>
      <c r="AN2372"/>
      <c r="AO2372"/>
    </row>
    <row r="2373" spans="1:41" s="2" customFormat="1" x14ac:dyDescent="0.2">
      <c r="A2373"/>
      <c r="B2373"/>
      <c r="C2373"/>
      <c r="D2373"/>
      <c r="E2373"/>
      <c r="F2373"/>
      <c r="G2373"/>
      <c r="U2373"/>
      <c r="V2373"/>
      <c r="W2373"/>
      <c r="X2373"/>
      <c r="Y2373"/>
      <c r="Z2373"/>
      <c r="AA2373"/>
      <c r="AB2373"/>
      <c r="AL2373"/>
      <c r="AM2373"/>
      <c r="AN2373"/>
      <c r="AO2373"/>
    </row>
    <row r="2374" spans="1:41" s="2" customFormat="1" x14ac:dyDescent="0.2">
      <c r="A2374"/>
      <c r="B2374"/>
      <c r="C2374"/>
      <c r="D2374"/>
      <c r="E2374"/>
      <c r="F2374"/>
      <c r="G2374"/>
      <c r="U2374"/>
      <c r="V2374"/>
      <c r="W2374"/>
      <c r="X2374"/>
      <c r="Y2374"/>
      <c r="Z2374"/>
      <c r="AA2374"/>
      <c r="AB2374"/>
      <c r="AL2374"/>
      <c r="AM2374"/>
      <c r="AN2374"/>
      <c r="AO2374"/>
    </row>
    <row r="2375" spans="1:41" s="2" customFormat="1" x14ac:dyDescent="0.2">
      <c r="A2375"/>
      <c r="B2375"/>
      <c r="C2375"/>
      <c r="D2375"/>
      <c r="E2375"/>
      <c r="F2375"/>
      <c r="G2375"/>
      <c r="U2375"/>
      <c r="V2375"/>
      <c r="W2375"/>
      <c r="X2375"/>
      <c r="Y2375"/>
      <c r="Z2375"/>
      <c r="AA2375"/>
      <c r="AB2375"/>
      <c r="AL2375"/>
      <c r="AM2375"/>
      <c r="AN2375"/>
      <c r="AO2375"/>
    </row>
    <row r="2376" spans="1:41" s="2" customFormat="1" x14ac:dyDescent="0.2">
      <c r="A2376"/>
      <c r="B2376"/>
      <c r="C2376"/>
      <c r="D2376"/>
      <c r="E2376"/>
      <c r="F2376"/>
      <c r="G2376"/>
      <c r="U2376"/>
      <c r="V2376"/>
      <c r="W2376"/>
      <c r="X2376"/>
      <c r="Y2376"/>
      <c r="Z2376"/>
      <c r="AA2376"/>
      <c r="AB2376"/>
      <c r="AL2376"/>
      <c r="AM2376"/>
      <c r="AN2376"/>
      <c r="AO2376"/>
    </row>
    <row r="2377" spans="1:41" s="2" customFormat="1" x14ac:dyDescent="0.2">
      <c r="A2377"/>
      <c r="B2377"/>
      <c r="C2377"/>
      <c r="D2377"/>
      <c r="E2377"/>
      <c r="F2377"/>
      <c r="G2377"/>
      <c r="U2377"/>
      <c r="V2377"/>
      <c r="W2377"/>
      <c r="X2377"/>
      <c r="Y2377"/>
      <c r="Z2377"/>
      <c r="AA2377"/>
      <c r="AB2377"/>
      <c r="AL2377"/>
      <c r="AM2377"/>
      <c r="AN2377"/>
      <c r="AO2377"/>
    </row>
    <row r="2378" spans="1:41" s="2" customFormat="1" x14ac:dyDescent="0.2">
      <c r="A2378"/>
      <c r="B2378"/>
      <c r="C2378"/>
      <c r="D2378"/>
      <c r="E2378"/>
      <c r="F2378"/>
      <c r="G2378"/>
      <c r="U2378"/>
      <c r="V2378"/>
      <c r="W2378"/>
      <c r="X2378"/>
      <c r="Y2378"/>
      <c r="Z2378"/>
      <c r="AA2378"/>
      <c r="AB2378"/>
      <c r="AL2378"/>
      <c r="AM2378"/>
      <c r="AN2378"/>
      <c r="AO2378"/>
    </row>
    <row r="2379" spans="1:41" s="2" customFormat="1" x14ac:dyDescent="0.2">
      <c r="A2379"/>
      <c r="B2379"/>
      <c r="C2379"/>
      <c r="D2379"/>
      <c r="E2379"/>
      <c r="F2379"/>
      <c r="G2379"/>
      <c r="U2379"/>
      <c r="V2379"/>
      <c r="W2379"/>
      <c r="X2379"/>
      <c r="Y2379"/>
      <c r="Z2379"/>
      <c r="AA2379"/>
      <c r="AB2379"/>
      <c r="AL2379"/>
      <c r="AM2379"/>
      <c r="AN2379"/>
      <c r="AO2379"/>
    </row>
    <row r="2380" spans="1:41" s="2" customFormat="1" x14ac:dyDescent="0.2">
      <c r="A2380"/>
      <c r="B2380"/>
      <c r="C2380"/>
      <c r="D2380"/>
      <c r="E2380"/>
      <c r="F2380"/>
      <c r="G2380"/>
      <c r="U2380"/>
      <c r="V2380"/>
      <c r="W2380"/>
      <c r="X2380"/>
      <c r="Y2380"/>
      <c r="Z2380"/>
      <c r="AA2380"/>
      <c r="AB2380"/>
      <c r="AL2380"/>
      <c r="AM2380"/>
      <c r="AN2380"/>
      <c r="AO2380"/>
    </row>
    <row r="2381" spans="1:41" s="2" customFormat="1" x14ac:dyDescent="0.2">
      <c r="A2381"/>
      <c r="B2381"/>
      <c r="C2381"/>
      <c r="D2381"/>
      <c r="E2381"/>
      <c r="F2381"/>
      <c r="G2381"/>
      <c r="U2381"/>
      <c r="V2381"/>
      <c r="W2381"/>
      <c r="X2381"/>
      <c r="Y2381"/>
      <c r="Z2381"/>
      <c r="AA2381"/>
      <c r="AB2381"/>
      <c r="AL2381"/>
      <c r="AM2381"/>
      <c r="AN2381"/>
      <c r="AO2381"/>
    </row>
    <row r="2382" spans="1:41" s="2" customFormat="1" x14ac:dyDescent="0.2">
      <c r="A2382"/>
      <c r="B2382"/>
      <c r="C2382"/>
      <c r="D2382"/>
      <c r="E2382"/>
      <c r="F2382"/>
      <c r="G2382"/>
      <c r="U2382"/>
      <c r="V2382"/>
      <c r="W2382"/>
      <c r="X2382"/>
      <c r="Y2382"/>
      <c r="Z2382"/>
      <c r="AA2382"/>
      <c r="AB2382"/>
      <c r="AL2382"/>
      <c r="AM2382"/>
      <c r="AN2382"/>
      <c r="AO2382"/>
    </row>
    <row r="2383" spans="1:41" s="2" customFormat="1" x14ac:dyDescent="0.2">
      <c r="A2383"/>
      <c r="B2383"/>
      <c r="C2383"/>
      <c r="D2383"/>
      <c r="E2383"/>
      <c r="F2383"/>
      <c r="G2383"/>
      <c r="U2383"/>
      <c r="V2383"/>
      <c r="W2383"/>
      <c r="X2383"/>
      <c r="Y2383"/>
      <c r="Z2383"/>
      <c r="AA2383"/>
      <c r="AB2383"/>
      <c r="AL2383"/>
      <c r="AM2383"/>
      <c r="AN2383"/>
      <c r="AO2383"/>
    </row>
    <row r="2384" spans="1:41" s="2" customFormat="1" x14ac:dyDescent="0.2">
      <c r="A2384"/>
      <c r="B2384"/>
      <c r="C2384"/>
      <c r="D2384"/>
      <c r="E2384"/>
      <c r="F2384"/>
      <c r="G2384"/>
      <c r="U2384"/>
      <c r="V2384"/>
      <c r="W2384"/>
      <c r="X2384"/>
      <c r="Y2384"/>
      <c r="Z2384"/>
      <c r="AA2384"/>
      <c r="AB2384"/>
      <c r="AL2384"/>
      <c r="AM2384"/>
      <c r="AN2384"/>
      <c r="AO2384"/>
    </row>
    <row r="2385" spans="1:41" s="2" customFormat="1" x14ac:dyDescent="0.2">
      <c r="A2385"/>
      <c r="B2385"/>
      <c r="C2385"/>
      <c r="D2385"/>
      <c r="E2385"/>
      <c r="F2385"/>
      <c r="G2385"/>
      <c r="U2385"/>
      <c r="V2385"/>
      <c r="W2385"/>
      <c r="X2385"/>
      <c r="Y2385"/>
      <c r="Z2385"/>
      <c r="AA2385"/>
      <c r="AB2385"/>
      <c r="AL2385"/>
      <c r="AM2385"/>
      <c r="AN2385"/>
      <c r="AO2385"/>
    </row>
    <row r="2386" spans="1:41" s="2" customFormat="1" x14ac:dyDescent="0.2">
      <c r="A2386"/>
      <c r="B2386"/>
      <c r="C2386"/>
      <c r="D2386"/>
      <c r="E2386"/>
      <c r="F2386"/>
      <c r="G2386"/>
      <c r="U2386"/>
      <c r="V2386"/>
      <c r="W2386"/>
      <c r="X2386"/>
      <c r="Y2386"/>
      <c r="Z2386"/>
      <c r="AA2386"/>
      <c r="AB2386"/>
      <c r="AL2386"/>
      <c r="AM2386"/>
      <c r="AN2386"/>
      <c r="AO2386"/>
    </row>
    <row r="2387" spans="1:41" s="2" customFormat="1" x14ac:dyDescent="0.2">
      <c r="A2387"/>
      <c r="B2387"/>
      <c r="C2387"/>
      <c r="D2387"/>
      <c r="E2387"/>
      <c r="F2387"/>
      <c r="G2387"/>
      <c r="U2387"/>
      <c r="V2387"/>
      <c r="W2387"/>
      <c r="X2387"/>
      <c r="Y2387"/>
      <c r="Z2387"/>
      <c r="AA2387"/>
      <c r="AB2387"/>
      <c r="AL2387"/>
      <c r="AM2387"/>
      <c r="AN2387"/>
      <c r="AO2387"/>
    </row>
    <row r="2388" spans="1:41" s="2" customFormat="1" x14ac:dyDescent="0.2">
      <c r="A2388"/>
      <c r="B2388"/>
      <c r="C2388"/>
      <c r="D2388"/>
      <c r="E2388"/>
      <c r="F2388"/>
      <c r="G2388"/>
      <c r="U2388"/>
      <c r="V2388"/>
      <c r="W2388"/>
      <c r="X2388"/>
      <c r="Y2388"/>
      <c r="Z2388"/>
      <c r="AA2388"/>
      <c r="AB2388"/>
      <c r="AL2388"/>
      <c r="AM2388"/>
      <c r="AN2388"/>
      <c r="AO2388"/>
    </row>
    <row r="2389" spans="1:41" s="2" customFormat="1" x14ac:dyDescent="0.2">
      <c r="A2389"/>
      <c r="B2389"/>
      <c r="C2389"/>
      <c r="D2389"/>
      <c r="E2389"/>
      <c r="F2389"/>
      <c r="G2389"/>
      <c r="U2389"/>
      <c r="V2389"/>
      <c r="W2389"/>
      <c r="X2389"/>
      <c r="Y2389"/>
      <c r="Z2389"/>
      <c r="AA2389"/>
      <c r="AB2389"/>
      <c r="AL2389"/>
      <c r="AM2389"/>
      <c r="AN2389"/>
      <c r="AO2389"/>
    </row>
    <row r="2390" spans="1:41" s="2" customFormat="1" x14ac:dyDescent="0.2">
      <c r="A2390"/>
      <c r="B2390"/>
      <c r="C2390"/>
      <c r="D2390"/>
      <c r="E2390"/>
      <c r="F2390"/>
      <c r="G2390"/>
      <c r="U2390"/>
      <c r="V2390"/>
      <c r="W2390"/>
      <c r="X2390"/>
      <c r="Y2390"/>
      <c r="Z2390"/>
      <c r="AA2390"/>
      <c r="AB2390"/>
      <c r="AL2390"/>
      <c r="AM2390"/>
      <c r="AN2390"/>
      <c r="AO2390"/>
    </row>
    <row r="2391" spans="1:41" s="2" customFormat="1" x14ac:dyDescent="0.2">
      <c r="A2391"/>
      <c r="B2391"/>
      <c r="C2391"/>
      <c r="D2391"/>
      <c r="E2391"/>
      <c r="F2391"/>
      <c r="G2391"/>
      <c r="U2391"/>
      <c r="V2391"/>
      <c r="W2391"/>
      <c r="X2391"/>
      <c r="Y2391"/>
      <c r="Z2391"/>
      <c r="AA2391"/>
      <c r="AB2391"/>
      <c r="AL2391"/>
      <c r="AM2391"/>
      <c r="AN2391"/>
      <c r="AO2391"/>
    </row>
    <row r="2392" spans="1:41" s="2" customFormat="1" x14ac:dyDescent="0.2">
      <c r="A2392"/>
      <c r="B2392"/>
      <c r="C2392"/>
      <c r="D2392"/>
      <c r="E2392"/>
      <c r="F2392"/>
      <c r="G2392"/>
      <c r="U2392"/>
      <c r="V2392"/>
      <c r="W2392"/>
      <c r="X2392"/>
      <c r="Y2392"/>
      <c r="Z2392"/>
      <c r="AA2392"/>
      <c r="AB2392"/>
      <c r="AL2392"/>
      <c r="AM2392"/>
      <c r="AN2392"/>
      <c r="AO2392"/>
    </row>
    <row r="2393" spans="1:41" s="2" customFormat="1" x14ac:dyDescent="0.2">
      <c r="A2393"/>
      <c r="B2393"/>
      <c r="C2393"/>
      <c r="D2393"/>
      <c r="E2393"/>
      <c r="F2393"/>
      <c r="G2393"/>
      <c r="U2393"/>
      <c r="V2393"/>
      <c r="W2393"/>
      <c r="X2393"/>
      <c r="Y2393"/>
      <c r="Z2393"/>
      <c r="AA2393"/>
      <c r="AB2393"/>
      <c r="AL2393"/>
      <c r="AM2393"/>
      <c r="AN2393"/>
      <c r="AO2393"/>
    </row>
    <row r="2394" spans="1:41" s="2" customFormat="1" x14ac:dyDescent="0.2">
      <c r="A2394"/>
      <c r="B2394"/>
      <c r="C2394"/>
      <c r="D2394"/>
      <c r="E2394"/>
      <c r="F2394"/>
      <c r="G2394"/>
      <c r="U2394"/>
      <c r="V2394"/>
      <c r="W2394"/>
      <c r="X2394"/>
      <c r="Y2394"/>
      <c r="Z2394"/>
      <c r="AA2394"/>
      <c r="AB2394"/>
      <c r="AL2394"/>
      <c r="AM2394"/>
      <c r="AN2394"/>
      <c r="AO2394"/>
    </row>
    <row r="2395" spans="1:41" s="2" customFormat="1" x14ac:dyDescent="0.2">
      <c r="A2395"/>
      <c r="B2395"/>
      <c r="C2395"/>
      <c r="D2395"/>
      <c r="E2395"/>
      <c r="F2395"/>
      <c r="G2395"/>
      <c r="U2395"/>
      <c r="V2395"/>
      <c r="W2395"/>
      <c r="X2395"/>
      <c r="Y2395"/>
      <c r="Z2395"/>
      <c r="AA2395"/>
      <c r="AB2395"/>
      <c r="AL2395"/>
      <c r="AM2395"/>
      <c r="AN2395"/>
      <c r="AO2395"/>
    </row>
    <row r="2396" spans="1:41" s="2" customFormat="1" x14ac:dyDescent="0.2">
      <c r="A2396"/>
      <c r="B2396"/>
      <c r="C2396"/>
      <c r="D2396"/>
      <c r="E2396"/>
      <c r="F2396"/>
      <c r="G2396"/>
      <c r="U2396"/>
      <c r="V2396"/>
      <c r="W2396"/>
      <c r="X2396"/>
      <c r="Y2396"/>
      <c r="Z2396"/>
      <c r="AA2396"/>
      <c r="AB2396"/>
      <c r="AL2396"/>
      <c r="AM2396"/>
      <c r="AN2396"/>
      <c r="AO2396"/>
    </row>
    <row r="2397" spans="1:41" s="2" customFormat="1" x14ac:dyDescent="0.2">
      <c r="A2397"/>
      <c r="B2397"/>
      <c r="C2397"/>
      <c r="D2397"/>
      <c r="E2397"/>
      <c r="F2397"/>
      <c r="G2397"/>
      <c r="U2397"/>
      <c r="V2397"/>
      <c r="W2397"/>
      <c r="X2397"/>
      <c r="Y2397"/>
      <c r="Z2397"/>
      <c r="AA2397"/>
      <c r="AB2397"/>
      <c r="AL2397"/>
      <c r="AM2397"/>
      <c r="AN2397"/>
      <c r="AO2397"/>
    </row>
    <row r="2398" spans="1:41" s="2" customFormat="1" x14ac:dyDescent="0.2">
      <c r="A2398"/>
      <c r="B2398"/>
      <c r="C2398"/>
      <c r="D2398"/>
      <c r="E2398"/>
      <c r="F2398"/>
      <c r="G2398"/>
      <c r="U2398"/>
      <c r="V2398"/>
      <c r="W2398"/>
      <c r="X2398"/>
      <c r="Y2398"/>
      <c r="Z2398"/>
      <c r="AA2398"/>
      <c r="AB2398"/>
      <c r="AL2398"/>
      <c r="AM2398"/>
      <c r="AN2398"/>
      <c r="AO2398"/>
    </row>
    <row r="2399" spans="1:41" s="2" customFormat="1" x14ac:dyDescent="0.2">
      <c r="A2399"/>
      <c r="B2399"/>
      <c r="C2399"/>
      <c r="D2399"/>
      <c r="E2399"/>
      <c r="F2399"/>
      <c r="G2399"/>
      <c r="U2399"/>
      <c r="V2399"/>
      <c r="W2399"/>
      <c r="X2399"/>
      <c r="Y2399"/>
      <c r="Z2399"/>
      <c r="AA2399"/>
      <c r="AB2399"/>
      <c r="AL2399"/>
      <c r="AM2399"/>
      <c r="AN2399"/>
      <c r="AO2399"/>
    </row>
    <row r="2400" spans="1:41" s="2" customFormat="1" x14ac:dyDescent="0.2">
      <c r="A2400"/>
      <c r="B2400"/>
      <c r="C2400"/>
      <c r="D2400"/>
      <c r="E2400"/>
      <c r="F2400"/>
      <c r="G2400"/>
      <c r="U2400"/>
      <c r="V2400"/>
      <c r="W2400"/>
      <c r="X2400"/>
      <c r="Y2400"/>
      <c r="Z2400"/>
      <c r="AA2400"/>
      <c r="AB2400"/>
      <c r="AL2400"/>
      <c r="AM2400"/>
      <c r="AN2400"/>
      <c r="AO2400"/>
    </row>
    <row r="2401" spans="1:41" s="2" customFormat="1" x14ac:dyDescent="0.2">
      <c r="A2401"/>
      <c r="B2401"/>
      <c r="C2401"/>
      <c r="D2401"/>
      <c r="E2401"/>
      <c r="F2401"/>
      <c r="G2401"/>
      <c r="U2401"/>
      <c r="V2401"/>
      <c r="W2401"/>
      <c r="X2401"/>
      <c r="Y2401"/>
      <c r="Z2401"/>
      <c r="AA2401"/>
      <c r="AB2401"/>
      <c r="AL2401"/>
      <c r="AM2401"/>
      <c r="AN2401"/>
      <c r="AO2401"/>
    </row>
    <row r="2402" spans="1:41" s="2" customFormat="1" x14ac:dyDescent="0.2">
      <c r="A2402"/>
      <c r="B2402"/>
      <c r="C2402"/>
      <c r="D2402"/>
      <c r="E2402"/>
      <c r="F2402"/>
      <c r="G2402"/>
      <c r="U2402"/>
      <c r="V2402"/>
      <c r="W2402"/>
      <c r="X2402"/>
      <c r="Y2402"/>
      <c r="Z2402"/>
      <c r="AA2402"/>
      <c r="AB2402"/>
      <c r="AL2402"/>
      <c r="AM2402"/>
      <c r="AN2402"/>
      <c r="AO2402"/>
    </row>
    <row r="2403" spans="1:41" s="2" customFormat="1" x14ac:dyDescent="0.2">
      <c r="A2403"/>
      <c r="B2403"/>
      <c r="C2403"/>
      <c r="D2403"/>
      <c r="E2403"/>
      <c r="F2403"/>
      <c r="G2403"/>
      <c r="U2403"/>
      <c r="V2403"/>
      <c r="W2403"/>
      <c r="X2403"/>
      <c r="Y2403"/>
      <c r="Z2403"/>
      <c r="AA2403"/>
      <c r="AB2403"/>
      <c r="AL2403"/>
      <c r="AM2403"/>
      <c r="AN2403"/>
      <c r="AO2403"/>
    </row>
    <row r="2404" spans="1:41" s="2" customFormat="1" x14ac:dyDescent="0.2">
      <c r="A2404"/>
      <c r="B2404"/>
      <c r="C2404"/>
      <c r="D2404"/>
      <c r="E2404"/>
      <c r="F2404"/>
      <c r="G2404"/>
      <c r="U2404"/>
      <c r="V2404"/>
      <c r="W2404"/>
      <c r="X2404"/>
      <c r="Y2404"/>
      <c r="Z2404"/>
      <c r="AA2404"/>
      <c r="AB2404"/>
      <c r="AL2404"/>
      <c r="AM2404"/>
      <c r="AN2404"/>
      <c r="AO2404"/>
    </row>
    <row r="2405" spans="1:41" s="2" customFormat="1" x14ac:dyDescent="0.2">
      <c r="A2405"/>
      <c r="B2405"/>
      <c r="C2405"/>
      <c r="D2405"/>
      <c r="E2405"/>
      <c r="F2405"/>
      <c r="G2405"/>
      <c r="U2405"/>
      <c r="V2405"/>
      <c r="W2405"/>
      <c r="X2405"/>
      <c r="Y2405"/>
      <c r="Z2405"/>
      <c r="AA2405"/>
      <c r="AB2405"/>
      <c r="AL2405"/>
      <c r="AM2405"/>
      <c r="AN2405"/>
      <c r="AO2405"/>
    </row>
    <row r="2406" spans="1:41" s="2" customFormat="1" x14ac:dyDescent="0.2">
      <c r="A2406"/>
      <c r="B2406"/>
      <c r="C2406"/>
      <c r="D2406"/>
      <c r="E2406"/>
      <c r="F2406"/>
      <c r="G2406"/>
      <c r="U2406"/>
      <c r="V2406"/>
      <c r="W2406"/>
      <c r="X2406"/>
      <c r="Y2406"/>
      <c r="Z2406"/>
      <c r="AA2406"/>
      <c r="AB2406"/>
      <c r="AL2406"/>
      <c r="AM2406"/>
      <c r="AN2406"/>
      <c r="AO2406"/>
    </row>
    <row r="2407" spans="1:41" s="2" customFormat="1" x14ac:dyDescent="0.2">
      <c r="A2407"/>
      <c r="B2407"/>
      <c r="C2407"/>
      <c r="D2407"/>
      <c r="E2407"/>
      <c r="F2407"/>
      <c r="G2407"/>
      <c r="U2407"/>
      <c r="V2407"/>
      <c r="W2407"/>
      <c r="X2407"/>
      <c r="Y2407"/>
      <c r="Z2407"/>
      <c r="AA2407"/>
      <c r="AB2407"/>
      <c r="AL2407"/>
      <c r="AM2407"/>
      <c r="AN2407"/>
      <c r="AO2407"/>
    </row>
    <row r="2408" spans="1:41" s="2" customFormat="1" x14ac:dyDescent="0.2">
      <c r="A2408"/>
      <c r="B2408"/>
      <c r="C2408"/>
      <c r="D2408"/>
      <c r="E2408"/>
      <c r="F2408"/>
      <c r="G2408"/>
      <c r="U2408"/>
      <c r="V2408"/>
      <c r="W2408"/>
      <c r="X2408"/>
      <c r="Y2408"/>
      <c r="Z2408"/>
      <c r="AA2408"/>
      <c r="AB2408"/>
      <c r="AL2408"/>
      <c r="AM2408"/>
      <c r="AN2408"/>
      <c r="AO2408"/>
    </row>
    <row r="2409" spans="1:41" s="2" customFormat="1" x14ac:dyDescent="0.2">
      <c r="A2409"/>
      <c r="B2409"/>
      <c r="C2409"/>
      <c r="D2409"/>
      <c r="E2409"/>
      <c r="F2409"/>
      <c r="G2409"/>
      <c r="U2409"/>
      <c r="V2409"/>
      <c r="W2409"/>
      <c r="X2409"/>
      <c r="Y2409"/>
      <c r="Z2409"/>
      <c r="AA2409"/>
      <c r="AB2409"/>
      <c r="AL2409"/>
      <c r="AM2409"/>
      <c r="AN2409"/>
      <c r="AO2409"/>
    </row>
    <row r="2410" spans="1:41" s="2" customFormat="1" x14ac:dyDescent="0.2">
      <c r="A2410"/>
      <c r="B2410"/>
      <c r="C2410"/>
      <c r="D2410"/>
      <c r="E2410"/>
      <c r="F2410"/>
      <c r="G2410"/>
      <c r="U2410"/>
      <c r="V2410"/>
      <c r="W2410"/>
      <c r="X2410"/>
      <c r="Y2410"/>
      <c r="Z2410"/>
      <c r="AA2410"/>
      <c r="AB2410"/>
      <c r="AL2410"/>
      <c r="AM2410"/>
      <c r="AN2410"/>
      <c r="AO2410"/>
    </row>
    <row r="2411" spans="1:41" s="2" customFormat="1" x14ac:dyDescent="0.2">
      <c r="A2411"/>
      <c r="B2411"/>
      <c r="C2411"/>
      <c r="D2411"/>
      <c r="E2411"/>
      <c r="F2411"/>
      <c r="G2411"/>
      <c r="U2411"/>
      <c r="V2411"/>
      <c r="W2411"/>
      <c r="X2411"/>
      <c r="Y2411"/>
      <c r="Z2411"/>
      <c r="AA2411"/>
      <c r="AB2411"/>
      <c r="AL2411"/>
      <c r="AM2411"/>
      <c r="AN2411"/>
      <c r="AO2411"/>
    </row>
    <row r="2412" spans="1:41" s="2" customFormat="1" x14ac:dyDescent="0.2">
      <c r="A2412"/>
      <c r="B2412"/>
      <c r="C2412"/>
      <c r="D2412"/>
      <c r="E2412"/>
      <c r="F2412"/>
      <c r="G2412"/>
      <c r="U2412"/>
      <c r="V2412"/>
      <c r="W2412"/>
      <c r="X2412"/>
      <c r="Y2412"/>
      <c r="Z2412"/>
      <c r="AA2412"/>
      <c r="AB2412"/>
      <c r="AL2412"/>
      <c r="AM2412"/>
      <c r="AN2412"/>
      <c r="AO2412"/>
    </row>
    <row r="2413" spans="1:41" s="2" customFormat="1" x14ac:dyDescent="0.2">
      <c r="A2413"/>
      <c r="B2413"/>
      <c r="C2413"/>
      <c r="D2413"/>
      <c r="E2413"/>
      <c r="F2413"/>
      <c r="G2413"/>
      <c r="U2413"/>
      <c r="V2413"/>
      <c r="W2413"/>
      <c r="X2413"/>
      <c r="Y2413"/>
      <c r="Z2413"/>
      <c r="AA2413"/>
      <c r="AB2413"/>
      <c r="AL2413"/>
      <c r="AM2413"/>
      <c r="AN2413"/>
      <c r="AO2413"/>
    </row>
    <row r="2414" spans="1:41" s="2" customFormat="1" x14ac:dyDescent="0.2">
      <c r="A2414"/>
      <c r="B2414"/>
      <c r="C2414"/>
      <c r="D2414"/>
      <c r="E2414"/>
      <c r="F2414"/>
      <c r="G2414"/>
      <c r="U2414"/>
      <c r="V2414"/>
      <c r="W2414"/>
      <c r="X2414"/>
      <c r="Y2414"/>
      <c r="Z2414"/>
      <c r="AA2414"/>
      <c r="AB2414"/>
      <c r="AL2414"/>
      <c r="AM2414"/>
      <c r="AN2414"/>
      <c r="AO2414"/>
    </row>
    <row r="2415" spans="1:41" s="2" customFormat="1" x14ac:dyDescent="0.2">
      <c r="A2415"/>
      <c r="B2415"/>
      <c r="C2415"/>
      <c r="D2415"/>
      <c r="E2415"/>
      <c r="F2415"/>
      <c r="G2415"/>
      <c r="U2415"/>
      <c r="V2415"/>
      <c r="W2415"/>
      <c r="X2415"/>
      <c r="Y2415"/>
      <c r="Z2415"/>
      <c r="AA2415"/>
      <c r="AB2415"/>
      <c r="AL2415"/>
      <c r="AM2415"/>
      <c r="AN2415"/>
      <c r="AO2415"/>
    </row>
    <row r="2416" spans="1:41" s="2" customFormat="1" x14ac:dyDescent="0.2">
      <c r="A2416"/>
      <c r="B2416"/>
      <c r="C2416"/>
      <c r="D2416"/>
      <c r="E2416"/>
      <c r="F2416"/>
      <c r="G2416"/>
      <c r="U2416"/>
      <c r="V2416"/>
      <c r="W2416"/>
      <c r="X2416"/>
      <c r="Y2416"/>
      <c r="Z2416"/>
      <c r="AA2416"/>
      <c r="AB2416"/>
      <c r="AL2416"/>
      <c r="AM2416"/>
      <c r="AN2416"/>
      <c r="AO2416"/>
    </row>
    <row r="2417" spans="1:41" s="2" customFormat="1" x14ac:dyDescent="0.2">
      <c r="A2417"/>
      <c r="B2417"/>
      <c r="C2417"/>
      <c r="D2417"/>
      <c r="E2417"/>
      <c r="F2417"/>
      <c r="G2417"/>
      <c r="U2417"/>
      <c r="V2417"/>
      <c r="W2417"/>
      <c r="X2417"/>
      <c r="Y2417"/>
      <c r="Z2417"/>
      <c r="AA2417"/>
      <c r="AB2417"/>
      <c r="AL2417"/>
      <c r="AM2417"/>
      <c r="AN2417"/>
      <c r="AO2417"/>
    </row>
    <row r="2418" spans="1:41" s="2" customFormat="1" x14ac:dyDescent="0.2">
      <c r="A2418"/>
      <c r="B2418"/>
      <c r="C2418"/>
      <c r="D2418"/>
      <c r="E2418"/>
      <c r="F2418"/>
      <c r="G2418"/>
      <c r="U2418"/>
      <c r="V2418"/>
      <c r="W2418"/>
      <c r="X2418"/>
      <c r="Y2418"/>
      <c r="Z2418"/>
      <c r="AA2418"/>
      <c r="AB2418"/>
      <c r="AL2418"/>
      <c r="AM2418"/>
      <c r="AN2418"/>
      <c r="AO2418"/>
    </row>
    <row r="2419" spans="1:41" s="2" customFormat="1" x14ac:dyDescent="0.2">
      <c r="A2419"/>
      <c r="B2419"/>
      <c r="C2419"/>
      <c r="D2419"/>
      <c r="E2419"/>
      <c r="F2419"/>
      <c r="G2419"/>
      <c r="U2419"/>
      <c r="V2419"/>
      <c r="W2419"/>
      <c r="X2419"/>
      <c r="Y2419"/>
      <c r="Z2419"/>
      <c r="AA2419"/>
      <c r="AB2419"/>
      <c r="AL2419"/>
      <c r="AM2419"/>
      <c r="AN2419"/>
      <c r="AO2419"/>
    </row>
    <row r="2420" spans="1:41" s="2" customFormat="1" x14ac:dyDescent="0.2">
      <c r="A2420"/>
      <c r="B2420"/>
      <c r="C2420"/>
      <c r="D2420"/>
      <c r="E2420"/>
      <c r="F2420"/>
      <c r="G2420"/>
      <c r="U2420"/>
      <c r="V2420"/>
      <c r="W2420"/>
      <c r="X2420"/>
      <c r="Y2420"/>
      <c r="Z2420"/>
      <c r="AA2420"/>
      <c r="AB2420"/>
      <c r="AL2420"/>
      <c r="AM2420"/>
      <c r="AN2420"/>
      <c r="AO2420"/>
    </row>
    <row r="2421" spans="1:41" s="2" customFormat="1" x14ac:dyDescent="0.2">
      <c r="A2421"/>
      <c r="B2421"/>
      <c r="C2421"/>
      <c r="D2421"/>
      <c r="E2421"/>
      <c r="F2421"/>
      <c r="G2421"/>
      <c r="U2421"/>
      <c r="V2421"/>
      <c r="W2421"/>
      <c r="X2421"/>
      <c r="Y2421"/>
      <c r="Z2421"/>
      <c r="AA2421"/>
      <c r="AB2421"/>
      <c r="AL2421"/>
      <c r="AM2421"/>
      <c r="AN2421"/>
      <c r="AO2421"/>
    </row>
    <row r="2422" spans="1:41" s="2" customFormat="1" x14ac:dyDescent="0.2">
      <c r="A2422"/>
      <c r="B2422"/>
      <c r="C2422"/>
      <c r="D2422"/>
      <c r="E2422"/>
      <c r="F2422"/>
      <c r="G2422"/>
      <c r="U2422"/>
      <c r="V2422"/>
      <c r="W2422"/>
      <c r="X2422"/>
      <c r="Y2422"/>
      <c r="Z2422"/>
      <c r="AA2422"/>
      <c r="AB2422"/>
      <c r="AL2422"/>
      <c r="AM2422"/>
      <c r="AN2422"/>
      <c r="AO2422"/>
    </row>
    <row r="2423" spans="1:41" s="2" customFormat="1" x14ac:dyDescent="0.2">
      <c r="A2423"/>
      <c r="B2423"/>
      <c r="C2423"/>
      <c r="D2423"/>
      <c r="E2423"/>
      <c r="F2423"/>
      <c r="G2423"/>
      <c r="U2423"/>
      <c r="V2423"/>
      <c r="W2423"/>
      <c r="X2423"/>
      <c r="Y2423"/>
      <c r="Z2423"/>
      <c r="AA2423"/>
      <c r="AB2423"/>
      <c r="AL2423"/>
      <c r="AM2423"/>
      <c r="AN2423"/>
      <c r="AO2423"/>
    </row>
    <row r="2424" spans="1:41" s="2" customFormat="1" x14ac:dyDescent="0.2">
      <c r="A2424"/>
      <c r="B2424"/>
      <c r="C2424"/>
      <c r="D2424"/>
      <c r="E2424"/>
      <c r="F2424"/>
      <c r="G2424"/>
      <c r="U2424"/>
      <c r="V2424"/>
      <c r="W2424"/>
      <c r="X2424"/>
      <c r="Y2424"/>
      <c r="Z2424"/>
      <c r="AA2424"/>
      <c r="AB2424"/>
      <c r="AL2424"/>
      <c r="AM2424"/>
      <c r="AN2424"/>
      <c r="AO2424"/>
    </row>
    <row r="2425" spans="1:41" s="2" customFormat="1" x14ac:dyDescent="0.2">
      <c r="A2425"/>
      <c r="B2425"/>
      <c r="C2425"/>
      <c r="D2425"/>
      <c r="E2425"/>
      <c r="F2425"/>
      <c r="G2425"/>
      <c r="U2425"/>
      <c r="V2425"/>
      <c r="W2425"/>
      <c r="X2425"/>
      <c r="Y2425"/>
      <c r="Z2425"/>
      <c r="AA2425"/>
      <c r="AB2425"/>
      <c r="AL2425"/>
      <c r="AM2425"/>
      <c r="AN2425"/>
      <c r="AO2425"/>
    </row>
    <row r="2426" spans="1:41" s="2" customFormat="1" x14ac:dyDescent="0.2">
      <c r="A2426"/>
      <c r="B2426"/>
      <c r="C2426"/>
      <c r="D2426"/>
      <c r="E2426"/>
      <c r="F2426"/>
      <c r="G2426"/>
      <c r="U2426"/>
      <c r="V2426"/>
      <c r="W2426"/>
      <c r="X2426"/>
      <c r="Y2426"/>
      <c r="Z2426"/>
      <c r="AA2426"/>
      <c r="AB2426"/>
      <c r="AL2426"/>
      <c r="AM2426"/>
      <c r="AN2426"/>
      <c r="AO2426"/>
    </row>
    <row r="2427" spans="1:41" s="2" customFormat="1" x14ac:dyDescent="0.2">
      <c r="A2427"/>
      <c r="B2427"/>
      <c r="C2427"/>
      <c r="D2427"/>
      <c r="E2427"/>
      <c r="F2427"/>
      <c r="G2427"/>
      <c r="U2427"/>
      <c r="V2427"/>
      <c r="W2427"/>
      <c r="X2427"/>
      <c r="Y2427"/>
      <c r="Z2427"/>
      <c r="AA2427"/>
      <c r="AB2427"/>
      <c r="AL2427"/>
      <c r="AM2427"/>
      <c r="AN2427"/>
      <c r="AO2427"/>
    </row>
    <row r="2428" spans="1:41" s="2" customFormat="1" x14ac:dyDescent="0.2">
      <c r="A2428"/>
      <c r="B2428"/>
      <c r="C2428"/>
      <c r="D2428"/>
      <c r="E2428"/>
      <c r="F2428"/>
      <c r="G2428"/>
      <c r="U2428"/>
      <c r="V2428"/>
      <c r="W2428"/>
      <c r="X2428"/>
      <c r="Y2428"/>
      <c r="Z2428"/>
      <c r="AA2428"/>
      <c r="AB2428"/>
      <c r="AL2428"/>
      <c r="AM2428"/>
      <c r="AN2428"/>
      <c r="AO2428"/>
    </row>
    <row r="2429" spans="1:41" s="2" customFormat="1" x14ac:dyDescent="0.2">
      <c r="A2429"/>
      <c r="B2429"/>
      <c r="C2429"/>
      <c r="D2429"/>
      <c r="E2429"/>
      <c r="F2429"/>
      <c r="G2429"/>
      <c r="U2429"/>
      <c r="V2429"/>
      <c r="W2429"/>
      <c r="X2429"/>
      <c r="Y2429"/>
      <c r="Z2429"/>
      <c r="AA2429"/>
      <c r="AB2429"/>
      <c r="AL2429"/>
      <c r="AM2429"/>
      <c r="AN2429"/>
      <c r="AO2429"/>
    </row>
    <row r="2430" spans="1:41" s="2" customFormat="1" x14ac:dyDescent="0.2">
      <c r="A2430"/>
      <c r="B2430"/>
      <c r="C2430"/>
      <c r="D2430"/>
      <c r="E2430"/>
      <c r="F2430"/>
      <c r="G2430"/>
      <c r="U2430"/>
      <c r="V2430"/>
      <c r="W2430"/>
      <c r="X2430"/>
      <c r="Y2430"/>
      <c r="Z2430"/>
      <c r="AA2430"/>
      <c r="AB2430"/>
      <c r="AL2430"/>
      <c r="AM2430"/>
      <c r="AN2430"/>
      <c r="AO2430"/>
    </row>
    <row r="2431" spans="1:41" s="2" customFormat="1" x14ac:dyDescent="0.2">
      <c r="A2431"/>
      <c r="B2431"/>
      <c r="C2431"/>
      <c r="D2431"/>
      <c r="E2431"/>
      <c r="F2431"/>
      <c r="G2431"/>
      <c r="U2431"/>
      <c r="V2431"/>
      <c r="W2431"/>
      <c r="X2431"/>
      <c r="Y2431"/>
      <c r="Z2431"/>
      <c r="AA2431"/>
      <c r="AB2431"/>
      <c r="AL2431"/>
      <c r="AM2431"/>
      <c r="AN2431"/>
      <c r="AO2431"/>
    </row>
    <row r="2432" spans="1:41" s="2" customFormat="1" x14ac:dyDescent="0.2">
      <c r="A2432"/>
      <c r="B2432"/>
      <c r="C2432"/>
      <c r="D2432"/>
      <c r="E2432"/>
      <c r="F2432"/>
      <c r="G2432"/>
      <c r="U2432"/>
      <c r="V2432"/>
      <c r="W2432"/>
      <c r="X2432"/>
      <c r="Y2432"/>
      <c r="Z2432"/>
      <c r="AA2432"/>
      <c r="AB2432"/>
      <c r="AL2432"/>
      <c r="AM2432"/>
      <c r="AN2432"/>
      <c r="AO2432"/>
    </row>
    <row r="2433" spans="1:41" s="2" customFormat="1" x14ac:dyDescent="0.2">
      <c r="A2433"/>
      <c r="B2433"/>
      <c r="C2433"/>
      <c r="D2433"/>
      <c r="E2433"/>
      <c r="F2433"/>
      <c r="G2433"/>
      <c r="U2433"/>
      <c r="V2433"/>
      <c r="W2433"/>
      <c r="X2433"/>
      <c r="Y2433"/>
      <c r="Z2433"/>
      <c r="AA2433"/>
      <c r="AB2433"/>
      <c r="AL2433"/>
      <c r="AM2433"/>
      <c r="AN2433"/>
      <c r="AO2433"/>
    </row>
    <row r="2434" spans="1:41" s="2" customFormat="1" x14ac:dyDescent="0.2">
      <c r="A2434"/>
      <c r="B2434"/>
      <c r="C2434"/>
      <c r="D2434"/>
      <c r="E2434"/>
      <c r="F2434"/>
      <c r="G2434"/>
      <c r="U2434"/>
      <c r="V2434"/>
      <c r="W2434"/>
      <c r="X2434"/>
      <c r="Y2434"/>
      <c r="Z2434"/>
      <c r="AA2434"/>
      <c r="AB2434"/>
      <c r="AL2434"/>
      <c r="AM2434"/>
      <c r="AN2434"/>
      <c r="AO2434"/>
    </row>
    <row r="2435" spans="1:41" s="2" customFormat="1" x14ac:dyDescent="0.2">
      <c r="A2435"/>
      <c r="B2435"/>
      <c r="C2435"/>
      <c r="D2435"/>
      <c r="E2435"/>
      <c r="F2435"/>
      <c r="G2435"/>
      <c r="U2435"/>
      <c r="V2435"/>
      <c r="W2435"/>
      <c r="X2435"/>
      <c r="Y2435"/>
      <c r="Z2435"/>
      <c r="AA2435"/>
      <c r="AB2435"/>
      <c r="AL2435"/>
      <c r="AM2435"/>
      <c r="AN2435"/>
      <c r="AO2435"/>
    </row>
    <row r="2436" spans="1:41" s="2" customFormat="1" x14ac:dyDescent="0.2">
      <c r="A2436"/>
      <c r="B2436"/>
      <c r="C2436"/>
      <c r="D2436"/>
      <c r="E2436"/>
      <c r="F2436"/>
      <c r="G2436"/>
      <c r="U2436"/>
      <c r="V2436"/>
      <c r="W2436"/>
      <c r="X2436"/>
      <c r="Y2436"/>
      <c r="Z2436"/>
      <c r="AA2436"/>
      <c r="AB2436"/>
      <c r="AL2436"/>
      <c r="AM2436"/>
      <c r="AN2436"/>
      <c r="AO2436"/>
    </row>
    <row r="2437" spans="1:41" s="2" customFormat="1" x14ac:dyDescent="0.2">
      <c r="A2437"/>
      <c r="B2437"/>
      <c r="C2437"/>
      <c r="D2437"/>
      <c r="E2437"/>
      <c r="F2437"/>
      <c r="G2437"/>
      <c r="U2437"/>
      <c r="V2437"/>
      <c r="W2437"/>
      <c r="X2437"/>
      <c r="Y2437"/>
      <c r="Z2437"/>
      <c r="AA2437"/>
      <c r="AB2437"/>
      <c r="AL2437"/>
      <c r="AM2437"/>
      <c r="AN2437"/>
      <c r="AO2437"/>
    </row>
    <row r="2438" spans="1:41" s="2" customFormat="1" x14ac:dyDescent="0.2">
      <c r="A2438"/>
      <c r="B2438"/>
      <c r="C2438"/>
      <c r="D2438"/>
      <c r="E2438"/>
      <c r="F2438"/>
      <c r="G2438"/>
      <c r="U2438"/>
      <c r="V2438"/>
      <c r="W2438"/>
      <c r="X2438"/>
      <c r="Y2438"/>
      <c r="Z2438"/>
      <c r="AA2438"/>
      <c r="AB2438"/>
      <c r="AL2438"/>
      <c r="AM2438"/>
      <c r="AN2438"/>
      <c r="AO2438"/>
    </row>
    <row r="2439" spans="1:41" s="2" customFormat="1" x14ac:dyDescent="0.2">
      <c r="A2439"/>
      <c r="B2439"/>
      <c r="C2439"/>
      <c r="D2439"/>
      <c r="E2439"/>
      <c r="F2439"/>
      <c r="G2439"/>
      <c r="U2439"/>
      <c r="V2439"/>
      <c r="W2439"/>
      <c r="X2439"/>
      <c r="Y2439"/>
      <c r="Z2439"/>
      <c r="AA2439"/>
      <c r="AB2439"/>
      <c r="AL2439"/>
      <c r="AM2439"/>
      <c r="AN2439"/>
      <c r="AO2439"/>
    </row>
    <row r="2440" spans="1:41" s="2" customFormat="1" x14ac:dyDescent="0.2">
      <c r="A2440"/>
      <c r="B2440"/>
      <c r="C2440"/>
      <c r="D2440"/>
      <c r="E2440"/>
      <c r="F2440"/>
      <c r="G2440"/>
      <c r="U2440"/>
      <c r="V2440"/>
      <c r="W2440"/>
      <c r="X2440"/>
      <c r="Y2440"/>
      <c r="Z2440"/>
      <c r="AA2440"/>
      <c r="AB2440"/>
      <c r="AL2440"/>
      <c r="AM2440"/>
      <c r="AN2440"/>
      <c r="AO2440"/>
    </row>
    <row r="2441" spans="1:41" s="2" customFormat="1" x14ac:dyDescent="0.2">
      <c r="A2441"/>
      <c r="B2441"/>
      <c r="C2441"/>
      <c r="D2441"/>
      <c r="E2441"/>
      <c r="F2441"/>
      <c r="G2441"/>
      <c r="U2441"/>
      <c r="V2441"/>
      <c r="W2441"/>
      <c r="X2441"/>
      <c r="Y2441"/>
      <c r="Z2441"/>
      <c r="AA2441"/>
      <c r="AB2441"/>
      <c r="AL2441"/>
      <c r="AM2441"/>
      <c r="AN2441"/>
      <c r="AO2441"/>
    </row>
    <row r="2442" spans="1:41" s="2" customFormat="1" x14ac:dyDescent="0.2">
      <c r="A2442"/>
      <c r="B2442"/>
      <c r="C2442"/>
      <c r="D2442"/>
      <c r="E2442"/>
      <c r="F2442"/>
      <c r="G2442"/>
      <c r="U2442"/>
      <c r="V2442"/>
      <c r="W2442"/>
      <c r="X2442"/>
      <c r="Y2442"/>
      <c r="Z2442"/>
      <c r="AA2442"/>
      <c r="AB2442"/>
      <c r="AL2442"/>
      <c r="AM2442"/>
      <c r="AN2442"/>
      <c r="AO2442"/>
    </row>
    <row r="2443" spans="1:41" s="2" customFormat="1" x14ac:dyDescent="0.2">
      <c r="A2443"/>
      <c r="B2443"/>
      <c r="C2443"/>
      <c r="D2443"/>
      <c r="E2443"/>
      <c r="F2443"/>
      <c r="G2443"/>
      <c r="U2443"/>
      <c r="V2443"/>
      <c r="W2443"/>
      <c r="X2443"/>
      <c r="Y2443"/>
      <c r="Z2443"/>
      <c r="AA2443"/>
      <c r="AB2443"/>
      <c r="AL2443"/>
      <c r="AM2443"/>
      <c r="AN2443"/>
      <c r="AO2443"/>
    </row>
    <row r="2444" spans="1:41" s="2" customFormat="1" x14ac:dyDescent="0.2">
      <c r="A2444"/>
      <c r="B2444"/>
      <c r="C2444"/>
      <c r="D2444"/>
      <c r="E2444"/>
      <c r="F2444"/>
      <c r="G2444"/>
      <c r="U2444"/>
      <c r="V2444"/>
      <c r="W2444"/>
      <c r="X2444"/>
      <c r="Y2444"/>
      <c r="Z2444"/>
      <c r="AA2444"/>
      <c r="AB2444"/>
      <c r="AL2444"/>
      <c r="AM2444"/>
      <c r="AN2444"/>
      <c r="AO2444"/>
    </row>
    <row r="2445" spans="1:41" s="2" customFormat="1" x14ac:dyDescent="0.2">
      <c r="A2445"/>
      <c r="B2445"/>
      <c r="C2445"/>
      <c r="D2445"/>
      <c r="E2445"/>
      <c r="F2445"/>
      <c r="G2445"/>
      <c r="U2445"/>
      <c r="V2445"/>
      <c r="W2445"/>
      <c r="X2445"/>
      <c r="Y2445"/>
      <c r="Z2445"/>
      <c r="AA2445"/>
      <c r="AB2445"/>
      <c r="AL2445"/>
      <c r="AM2445"/>
      <c r="AN2445"/>
      <c r="AO2445"/>
    </row>
    <row r="2446" spans="1:41" s="2" customFormat="1" x14ac:dyDescent="0.2">
      <c r="A2446"/>
      <c r="B2446"/>
      <c r="C2446"/>
      <c r="D2446"/>
      <c r="E2446"/>
      <c r="F2446"/>
      <c r="G2446"/>
      <c r="U2446"/>
      <c r="V2446"/>
      <c r="W2446"/>
      <c r="X2446"/>
      <c r="Y2446"/>
      <c r="Z2446"/>
      <c r="AA2446"/>
      <c r="AB2446"/>
      <c r="AL2446"/>
      <c r="AM2446"/>
      <c r="AN2446"/>
      <c r="AO2446"/>
    </row>
    <row r="2447" spans="1:41" s="2" customFormat="1" x14ac:dyDescent="0.2">
      <c r="A2447"/>
      <c r="B2447"/>
      <c r="C2447"/>
      <c r="D2447"/>
      <c r="E2447"/>
      <c r="F2447"/>
      <c r="G2447"/>
      <c r="U2447"/>
      <c r="V2447"/>
      <c r="W2447"/>
      <c r="X2447"/>
      <c r="Y2447"/>
      <c r="Z2447"/>
      <c r="AA2447"/>
      <c r="AB2447"/>
      <c r="AL2447"/>
      <c r="AM2447"/>
      <c r="AN2447"/>
      <c r="AO2447"/>
    </row>
    <row r="2448" spans="1:41" s="2" customFormat="1" x14ac:dyDescent="0.2">
      <c r="A2448"/>
      <c r="B2448"/>
      <c r="C2448"/>
      <c r="D2448"/>
      <c r="E2448"/>
      <c r="F2448"/>
      <c r="G2448"/>
      <c r="U2448"/>
      <c r="V2448"/>
      <c r="W2448"/>
      <c r="X2448"/>
      <c r="Y2448"/>
      <c r="Z2448"/>
      <c r="AA2448"/>
      <c r="AB2448"/>
      <c r="AL2448"/>
      <c r="AM2448"/>
      <c r="AN2448"/>
      <c r="AO2448"/>
    </row>
    <row r="2449" spans="1:41" s="2" customFormat="1" x14ac:dyDescent="0.2">
      <c r="A2449"/>
      <c r="B2449"/>
      <c r="C2449"/>
      <c r="D2449"/>
      <c r="E2449"/>
      <c r="F2449"/>
      <c r="G2449"/>
      <c r="U2449"/>
      <c r="V2449"/>
      <c r="W2449"/>
      <c r="X2449"/>
      <c r="Y2449"/>
      <c r="Z2449"/>
      <c r="AA2449"/>
      <c r="AB2449"/>
      <c r="AL2449"/>
      <c r="AM2449"/>
      <c r="AN2449"/>
      <c r="AO2449"/>
    </row>
    <row r="2450" spans="1:41" s="2" customFormat="1" x14ac:dyDescent="0.2">
      <c r="A2450"/>
      <c r="B2450"/>
      <c r="C2450"/>
      <c r="D2450"/>
      <c r="E2450"/>
      <c r="F2450"/>
      <c r="G2450"/>
      <c r="U2450"/>
      <c r="V2450"/>
      <c r="W2450"/>
      <c r="X2450"/>
      <c r="Y2450"/>
      <c r="Z2450"/>
      <c r="AA2450"/>
      <c r="AB2450"/>
      <c r="AL2450"/>
      <c r="AM2450"/>
      <c r="AN2450"/>
      <c r="AO2450"/>
    </row>
    <row r="2451" spans="1:41" s="2" customFormat="1" x14ac:dyDescent="0.2">
      <c r="A2451"/>
      <c r="B2451"/>
      <c r="C2451"/>
      <c r="D2451"/>
      <c r="E2451"/>
      <c r="F2451"/>
      <c r="G2451"/>
      <c r="U2451"/>
      <c r="V2451"/>
      <c r="W2451"/>
      <c r="X2451"/>
      <c r="Y2451"/>
      <c r="Z2451"/>
      <c r="AA2451"/>
      <c r="AB2451"/>
      <c r="AL2451"/>
      <c r="AM2451"/>
      <c r="AN2451"/>
      <c r="AO2451"/>
    </row>
    <row r="2452" spans="1:41" s="2" customFormat="1" x14ac:dyDescent="0.2">
      <c r="A2452"/>
      <c r="B2452"/>
      <c r="C2452"/>
      <c r="D2452"/>
      <c r="E2452"/>
      <c r="F2452"/>
      <c r="G2452"/>
      <c r="U2452"/>
      <c r="V2452"/>
      <c r="W2452"/>
      <c r="X2452"/>
      <c r="Y2452"/>
      <c r="Z2452"/>
      <c r="AA2452"/>
      <c r="AB2452"/>
      <c r="AL2452"/>
      <c r="AM2452"/>
      <c r="AN2452"/>
      <c r="AO2452"/>
    </row>
    <row r="2453" spans="1:41" s="2" customFormat="1" x14ac:dyDescent="0.2">
      <c r="A2453"/>
      <c r="B2453"/>
      <c r="C2453"/>
      <c r="D2453"/>
      <c r="E2453"/>
      <c r="F2453"/>
      <c r="G2453"/>
      <c r="U2453"/>
      <c r="V2453"/>
      <c r="W2453"/>
      <c r="X2453"/>
      <c r="Y2453"/>
      <c r="Z2453"/>
      <c r="AA2453"/>
      <c r="AB2453"/>
      <c r="AL2453"/>
      <c r="AM2453"/>
      <c r="AN2453"/>
      <c r="AO2453"/>
    </row>
    <row r="2454" spans="1:41" s="2" customFormat="1" x14ac:dyDescent="0.2">
      <c r="A2454"/>
      <c r="B2454"/>
      <c r="C2454"/>
      <c r="D2454"/>
      <c r="E2454"/>
      <c r="F2454"/>
      <c r="G2454"/>
      <c r="U2454"/>
      <c r="V2454"/>
      <c r="W2454"/>
      <c r="X2454"/>
      <c r="Y2454"/>
      <c r="Z2454"/>
      <c r="AA2454"/>
      <c r="AB2454"/>
      <c r="AL2454"/>
      <c r="AM2454"/>
      <c r="AN2454"/>
      <c r="AO2454"/>
    </row>
    <row r="2455" spans="1:41" s="2" customFormat="1" x14ac:dyDescent="0.2">
      <c r="A2455"/>
      <c r="B2455"/>
      <c r="C2455"/>
      <c r="D2455"/>
      <c r="E2455"/>
      <c r="F2455"/>
      <c r="G2455"/>
      <c r="U2455"/>
      <c r="V2455"/>
      <c r="W2455"/>
      <c r="X2455"/>
      <c r="Y2455"/>
      <c r="Z2455"/>
      <c r="AA2455"/>
      <c r="AB2455"/>
      <c r="AL2455"/>
      <c r="AM2455"/>
      <c r="AN2455"/>
      <c r="AO2455"/>
    </row>
    <row r="2456" spans="1:41" s="2" customFormat="1" x14ac:dyDescent="0.2">
      <c r="A2456"/>
      <c r="B2456"/>
      <c r="C2456"/>
      <c r="D2456"/>
      <c r="E2456"/>
      <c r="F2456"/>
      <c r="G2456"/>
      <c r="U2456"/>
      <c r="V2456"/>
      <c r="W2456"/>
      <c r="X2456"/>
      <c r="Y2456"/>
      <c r="Z2456"/>
      <c r="AA2456"/>
      <c r="AB2456"/>
      <c r="AL2456"/>
      <c r="AM2456"/>
      <c r="AN2456"/>
      <c r="AO2456"/>
    </row>
    <row r="2457" spans="1:41" s="2" customFormat="1" x14ac:dyDescent="0.2">
      <c r="A2457"/>
      <c r="B2457"/>
      <c r="C2457"/>
      <c r="D2457"/>
      <c r="E2457"/>
      <c r="F2457"/>
      <c r="G2457"/>
      <c r="U2457"/>
      <c r="V2457"/>
      <c r="W2457"/>
      <c r="X2457"/>
      <c r="Y2457"/>
      <c r="Z2457"/>
      <c r="AA2457"/>
      <c r="AB2457"/>
      <c r="AL2457"/>
      <c r="AM2457"/>
      <c r="AN2457"/>
      <c r="AO2457"/>
    </row>
    <row r="2458" spans="1:41" s="2" customFormat="1" x14ac:dyDescent="0.2">
      <c r="A2458"/>
      <c r="B2458"/>
      <c r="C2458"/>
      <c r="D2458"/>
      <c r="E2458"/>
      <c r="F2458"/>
      <c r="G2458"/>
      <c r="U2458"/>
      <c r="V2458"/>
      <c r="W2458"/>
      <c r="X2458"/>
      <c r="Y2458"/>
      <c r="Z2458"/>
      <c r="AA2458"/>
      <c r="AB2458"/>
      <c r="AL2458"/>
      <c r="AM2458"/>
      <c r="AN2458"/>
      <c r="AO2458"/>
    </row>
    <row r="2459" spans="1:41" s="2" customFormat="1" x14ac:dyDescent="0.2">
      <c r="A2459"/>
      <c r="B2459"/>
      <c r="C2459"/>
      <c r="D2459"/>
      <c r="E2459"/>
      <c r="F2459"/>
      <c r="G2459"/>
      <c r="U2459"/>
      <c r="V2459"/>
      <c r="W2459"/>
      <c r="X2459"/>
      <c r="Y2459"/>
      <c r="Z2459"/>
      <c r="AA2459"/>
      <c r="AB2459"/>
      <c r="AL2459"/>
      <c r="AM2459"/>
      <c r="AN2459"/>
      <c r="AO2459"/>
    </row>
    <row r="2460" spans="1:41" s="2" customFormat="1" x14ac:dyDescent="0.2">
      <c r="A2460"/>
      <c r="B2460"/>
      <c r="C2460"/>
      <c r="D2460"/>
      <c r="E2460"/>
      <c r="F2460"/>
      <c r="G2460"/>
      <c r="U2460"/>
      <c r="V2460"/>
      <c r="W2460"/>
      <c r="X2460"/>
      <c r="Y2460"/>
      <c r="Z2460"/>
      <c r="AA2460"/>
      <c r="AB2460"/>
      <c r="AL2460"/>
      <c r="AM2460"/>
      <c r="AN2460"/>
      <c r="AO2460"/>
    </row>
    <row r="2461" spans="1:41" s="2" customFormat="1" x14ac:dyDescent="0.2">
      <c r="A2461"/>
      <c r="B2461"/>
      <c r="C2461"/>
      <c r="D2461"/>
      <c r="E2461"/>
      <c r="F2461"/>
      <c r="G2461"/>
      <c r="U2461"/>
      <c r="V2461"/>
      <c r="W2461"/>
      <c r="X2461"/>
      <c r="Y2461"/>
      <c r="Z2461"/>
      <c r="AA2461"/>
      <c r="AB2461"/>
      <c r="AL2461"/>
      <c r="AM2461"/>
      <c r="AN2461"/>
      <c r="AO2461"/>
    </row>
    <row r="2462" spans="1:41" s="2" customFormat="1" x14ac:dyDescent="0.2">
      <c r="A2462"/>
      <c r="B2462"/>
      <c r="C2462"/>
      <c r="D2462"/>
      <c r="E2462"/>
      <c r="F2462"/>
      <c r="G2462"/>
      <c r="U2462"/>
      <c r="V2462"/>
      <c r="W2462"/>
      <c r="X2462"/>
      <c r="Y2462"/>
      <c r="Z2462"/>
      <c r="AA2462"/>
      <c r="AB2462"/>
      <c r="AL2462"/>
      <c r="AM2462"/>
      <c r="AN2462"/>
      <c r="AO2462"/>
    </row>
    <row r="2463" spans="1:41" s="2" customFormat="1" x14ac:dyDescent="0.2">
      <c r="A2463"/>
      <c r="B2463"/>
      <c r="C2463"/>
      <c r="D2463"/>
      <c r="E2463"/>
      <c r="F2463"/>
      <c r="G2463"/>
      <c r="U2463"/>
      <c r="V2463"/>
      <c r="W2463"/>
      <c r="X2463"/>
      <c r="Y2463"/>
      <c r="Z2463"/>
      <c r="AA2463"/>
      <c r="AB2463"/>
      <c r="AL2463"/>
      <c r="AM2463"/>
      <c r="AN2463"/>
      <c r="AO2463"/>
    </row>
    <row r="2464" spans="1:41" s="2" customFormat="1" x14ac:dyDescent="0.2">
      <c r="A2464"/>
      <c r="B2464"/>
      <c r="C2464"/>
      <c r="D2464"/>
      <c r="E2464"/>
      <c r="F2464"/>
      <c r="G2464"/>
      <c r="U2464"/>
      <c r="V2464"/>
      <c r="W2464"/>
      <c r="X2464"/>
      <c r="Y2464"/>
      <c r="Z2464"/>
      <c r="AA2464"/>
      <c r="AB2464"/>
      <c r="AL2464"/>
      <c r="AM2464"/>
      <c r="AN2464"/>
      <c r="AO2464"/>
    </row>
    <row r="2465" spans="1:41" s="2" customFormat="1" x14ac:dyDescent="0.2">
      <c r="A2465"/>
      <c r="B2465"/>
      <c r="C2465"/>
      <c r="D2465"/>
      <c r="E2465"/>
      <c r="F2465"/>
      <c r="G2465"/>
      <c r="U2465"/>
      <c r="V2465"/>
      <c r="W2465"/>
      <c r="X2465"/>
      <c r="Y2465"/>
      <c r="Z2465"/>
      <c r="AA2465"/>
      <c r="AB2465"/>
      <c r="AL2465"/>
      <c r="AM2465"/>
      <c r="AN2465"/>
      <c r="AO2465"/>
    </row>
    <row r="2466" spans="1:41" s="2" customFormat="1" x14ac:dyDescent="0.2">
      <c r="A2466"/>
      <c r="B2466"/>
      <c r="C2466"/>
      <c r="D2466"/>
      <c r="E2466"/>
      <c r="F2466"/>
      <c r="G2466"/>
      <c r="U2466"/>
      <c r="V2466"/>
      <c r="W2466"/>
      <c r="X2466"/>
      <c r="Y2466"/>
      <c r="Z2466"/>
      <c r="AA2466"/>
      <c r="AB2466"/>
      <c r="AL2466"/>
      <c r="AM2466"/>
      <c r="AN2466"/>
      <c r="AO2466"/>
    </row>
    <row r="2467" spans="1:41" s="2" customFormat="1" x14ac:dyDescent="0.2">
      <c r="A2467"/>
      <c r="B2467"/>
      <c r="C2467"/>
      <c r="D2467"/>
      <c r="E2467"/>
      <c r="F2467"/>
      <c r="G2467"/>
      <c r="U2467"/>
      <c r="V2467"/>
      <c r="W2467"/>
      <c r="X2467"/>
      <c r="Y2467"/>
      <c r="Z2467"/>
      <c r="AA2467"/>
      <c r="AB2467"/>
      <c r="AL2467"/>
      <c r="AM2467"/>
      <c r="AN2467"/>
      <c r="AO2467"/>
    </row>
    <row r="2468" spans="1:41" s="2" customFormat="1" x14ac:dyDescent="0.2">
      <c r="A2468"/>
      <c r="B2468"/>
      <c r="C2468"/>
      <c r="D2468"/>
      <c r="E2468"/>
      <c r="F2468"/>
      <c r="G2468"/>
      <c r="U2468"/>
      <c r="V2468"/>
      <c r="W2468"/>
      <c r="X2468"/>
      <c r="Y2468"/>
      <c r="Z2468"/>
      <c r="AA2468"/>
      <c r="AB2468"/>
      <c r="AL2468"/>
      <c r="AM2468"/>
      <c r="AN2468"/>
      <c r="AO2468"/>
    </row>
    <row r="2469" spans="1:41" s="2" customFormat="1" x14ac:dyDescent="0.2">
      <c r="A2469"/>
      <c r="B2469"/>
      <c r="C2469"/>
      <c r="D2469"/>
      <c r="E2469"/>
      <c r="F2469"/>
      <c r="G2469"/>
      <c r="U2469"/>
      <c r="V2469"/>
      <c r="W2469"/>
      <c r="X2469"/>
      <c r="Y2469"/>
      <c r="Z2469"/>
      <c r="AA2469"/>
      <c r="AB2469"/>
      <c r="AL2469"/>
      <c r="AM2469"/>
      <c r="AN2469"/>
      <c r="AO2469"/>
    </row>
    <row r="2470" spans="1:41" s="2" customFormat="1" x14ac:dyDescent="0.2">
      <c r="A2470"/>
      <c r="B2470"/>
      <c r="C2470"/>
      <c r="D2470"/>
      <c r="E2470"/>
      <c r="F2470"/>
      <c r="G2470"/>
      <c r="U2470"/>
      <c r="V2470"/>
      <c r="W2470"/>
      <c r="X2470"/>
      <c r="Y2470"/>
      <c r="Z2470"/>
      <c r="AA2470"/>
      <c r="AB2470"/>
      <c r="AL2470"/>
      <c r="AM2470"/>
      <c r="AN2470"/>
      <c r="AO2470"/>
    </row>
    <row r="2471" spans="1:41" s="2" customFormat="1" x14ac:dyDescent="0.2">
      <c r="A2471"/>
      <c r="B2471"/>
      <c r="C2471"/>
      <c r="D2471"/>
      <c r="E2471"/>
      <c r="F2471"/>
      <c r="G2471"/>
      <c r="U2471"/>
      <c r="V2471"/>
      <c r="W2471"/>
      <c r="X2471"/>
      <c r="Y2471"/>
      <c r="Z2471"/>
      <c r="AA2471"/>
      <c r="AB2471"/>
      <c r="AL2471"/>
      <c r="AM2471"/>
      <c r="AN2471"/>
      <c r="AO2471"/>
    </row>
    <row r="2472" spans="1:41" s="2" customFormat="1" x14ac:dyDescent="0.2">
      <c r="A2472"/>
      <c r="B2472"/>
      <c r="C2472"/>
      <c r="D2472"/>
      <c r="E2472"/>
      <c r="F2472"/>
      <c r="G2472"/>
      <c r="U2472"/>
      <c r="V2472"/>
      <c r="W2472"/>
      <c r="X2472"/>
      <c r="Y2472"/>
      <c r="Z2472"/>
      <c r="AA2472"/>
      <c r="AB2472"/>
      <c r="AL2472"/>
      <c r="AM2472"/>
      <c r="AN2472"/>
      <c r="AO2472"/>
    </row>
    <row r="2473" spans="1:41" s="2" customFormat="1" x14ac:dyDescent="0.2">
      <c r="A2473"/>
      <c r="B2473"/>
      <c r="C2473"/>
      <c r="D2473"/>
      <c r="E2473"/>
      <c r="F2473"/>
      <c r="G2473"/>
      <c r="U2473"/>
      <c r="V2473"/>
      <c r="W2473"/>
      <c r="X2473"/>
      <c r="Y2473"/>
      <c r="Z2473"/>
      <c r="AA2473"/>
      <c r="AB2473"/>
      <c r="AL2473"/>
      <c r="AM2473"/>
      <c r="AN2473"/>
      <c r="AO2473"/>
    </row>
    <row r="2474" spans="1:41" s="2" customFormat="1" x14ac:dyDescent="0.2">
      <c r="A2474"/>
      <c r="B2474"/>
      <c r="C2474"/>
      <c r="D2474"/>
      <c r="E2474"/>
      <c r="F2474"/>
      <c r="G2474"/>
      <c r="U2474"/>
      <c r="V2474"/>
      <c r="W2474"/>
      <c r="X2474"/>
      <c r="Y2474"/>
      <c r="Z2474"/>
      <c r="AA2474"/>
      <c r="AB2474"/>
      <c r="AL2474"/>
      <c r="AM2474"/>
      <c r="AN2474"/>
      <c r="AO2474"/>
    </row>
    <row r="2475" spans="1:41" s="2" customFormat="1" x14ac:dyDescent="0.2">
      <c r="A2475"/>
      <c r="B2475"/>
      <c r="C2475"/>
      <c r="D2475"/>
      <c r="E2475"/>
      <c r="F2475"/>
      <c r="G2475"/>
      <c r="U2475"/>
      <c r="V2475"/>
      <c r="W2475"/>
      <c r="X2475"/>
      <c r="Y2475"/>
      <c r="Z2475"/>
      <c r="AA2475"/>
      <c r="AB2475"/>
      <c r="AL2475"/>
      <c r="AM2475"/>
      <c r="AN2475"/>
      <c r="AO2475"/>
    </row>
    <row r="2476" spans="1:41" s="2" customFormat="1" x14ac:dyDescent="0.2">
      <c r="A2476"/>
      <c r="B2476"/>
      <c r="C2476"/>
      <c r="D2476"/>
      <c r="E2476"/>
      <c r="F2476"/>
      <c r="G2476"/>
      <c r="U2476"/>
      <c r="V2476"/>
      <c r="W2476"/>
      <c r="X2476"/>
      <c r="Y2476"/>
      <c r="Z2476"/>
      <c r="AA2476"/>
      <c r="AB2476"/>
      <c r="AL2476"/>
      <c r="AM2476"/>
      <c r="AN2476"/>
      <c r="AO2476"/>
    </row>
    <row r="2477" spans="1:41" s="2" customFormat="1" x14ac:dyDescent="0.2">
      <c r="A2477"/>
      <c r="B2477"/>
      <c r="C2477"/>
      <c r="D2477"/>
      <c r="E2477"/>
      <c r="F2477"/>
      <c r="G2477"/>
      <c r="U2477"/>
      <c r="V2477"/>
      <c r="W2477"/>
      <c r="X2477"/>
      <c r="Y2477"/>
      <c r="Z2477"/>
      <c r="AA2477"/>
      <c r="AB2477"/>
      <c r="AL2477"/>
      <c r="AM2477"/>
      <c r="AN2477"/>
      <c r="AO2477"/>
    </row>
    <row r="2478" spans="1:41" s="2" customFormat="1" x14ac:dyDescent="0.2">
      <c r="A2478"/>
      <c r="B2478"/>
      <c r="C2478"/>
      <c r="D2478"/>
      <c r="E2478"/>
      <c r="F2478"/>
      <c r="G2478"/>
      <c r="U2478"/>
      <c r="V2478"/>
      <c r="W2478"/>
      <c r="X2478"/>
      <c r="Y2478"/>
      <c r="Z2478"/>
      <c r="AA2478"/>
      <c r="AB2478"/>
      <c r="AL2478"/>
      <c r="AM2478"/>
      <c r="AN2478"/>
      <c r="AO2478"/>
    </row>
    <row r="2479" spans="1:41" s="2" customFormat="1" x14ac:dyDescent="0.2">
      <c r="A2479"/>
      <c r="B2479"/>
      <c r="C2479"/>
      <c r="D2479"/>
      <c r="E2479"/>
      <c r="F2479"/>
      <c r="G2479"/>
      <c r="U2479"/>
      <c r="V2479"/>
      <c r="W2479"/>
      <c r="X2479"/>
      <c r="Y2479"/>
      <c r="Z2479"/>
      <c r="AA2479"/>
      <c r="AB2479"/>
      <c r="AL2479"/>
      <c r="AM2479"/>
      <c r="AN2479"/>
      <c r="AO2479"/>
    </row>
    <row r="2480" spans="1:41" s="2" customFormat="1" x14ac:dyDescent="0.2">
      <c r="A2480"/>
      <c r="B2480"/>
      <c r="C2480"/>
      <c r="D2480"/>
      <c r="E2480"/>
      <c r="F2480"/>
      <c r="G2480"/>
      <c r="U2480"/>
      <c r="V2480"/>
      <c r="W2480"/>
      <c r="X2480"/>
      <c r="Y2480"/>
      <c r="Z2480"/>
      <c r="AA2480"/>
      <c r="AB2480"/>
      <c r="AL2480"/>
      <c r="AM2480"/>
      <c r="AN2480"/>
      <c r="AO2480"/>
    </row>
    <row r="2481" spans="1:41" s="2" customFormat="1" x14ac:dyDescent="0.2">
      <c r="A2481"/>
      <c r="B2481"/>
      <c r="C2481"/>
      <c r="D2481"/>
      <c r="E2481"/>
      <c r="F2481"/>
      <c r="G2481"/>
      <c r="U2481"/>
      <c r="V2481"/>
      <c r="W2481"/>
      <c r="X2481"/>
      <c r="Y2481"/>
      <c r="Z2481"/>
      <c r="AA2481"/>
      <c r="AB2481"/>
      <c r="AL2481"/>
      <c r="AM2481"/>
      <c r="AN2481"/>
      <c r="AO2481"/>
    </row>
    <row r="2482" spans="1:41" s="2" customFormat="1" x14ac:dyDescent="0.2">
      <c r="A2482"/>
      <c r="B2482"/>
      <c r="C2482"/>
      <c r="D2482"/>
      <c r="E2482"/>
      <c r="F2482"/>
      <c r="G2482"/>
      <c r="U2482"/>
      <c r="V2482"/>
      <c r="W2482"/>
      <c r="X2482"/>
      <c r="Y2482"/>
      <c r="Z2482"/>
      <c r="AA2482"/>
      <c r="AB2482"/>
      <c r="AL2482"/>
      <c r="AM2482"/>
      <c r="AN2482"/>
      <c r="AO2482"/>
    </row>
    <row r="2483" spans="1:41" s="2" customFormat="1" x14ac:dyDescent="0.2">
      <c r="A2483"/>
      <c r="B2483"/>
      <c r="C2483"/>
      <c r="D2483"/>
      <c r="E2483"/>
      <c r="F2483"/>
      <c r="G2483"/>
      <c r="U2483"/>
      <c r="V2483"/>
      <c r="W2483"/>
      <c r="X2483"/>
      <c r="Y2483"/>
      <c r="Z2483"/>
      <c r="AA2483"/>
      <c r="AB2483"/>
      <c r="AL2483"/>
      <c r="AM2483"/>
      <c r="AN2483"/>
      <c r="AO2483"/>
    </row>
    <row r="2484" spans="1:41" s="2" customFormat="1" x14ac:dyDescent="0.2">
      <c r="A2484"/>
      <c r="B2484"/>
      <c r="C2484"/>
      <c r="D2484"/>
      <c r="E2484"/>
      <c r="F2484"/>
      <c r="G2484"/>
      <c r="U2484"/>
      <c r="V2484"/>
      <c r="W2484"/>
      <c r="X2484"/>
      <c r="Y2484"/>
      <c r="Z2484"/>
      <c r="AA2484"/>
      <c r="AB2484"/>
      <c r="AL2484"/>
      <c r="AM2484"/>
      <c r="AN2484"/>
      <c r="AO2484"/>
    </row>
    <row r="2485" spans="1:41" s="2" customFormat="1" x14ac:dyDescent="0.2">
      <c r="A2485"/>
      <c r="B2485"/>
      <c r="C2485"/>
      <c r="D2485"/>
      <c r="E2485"/>
      <c r="F2485"/>
      <c r="G2485"/>
      <c r="U2485"/>
      <c r="V2485"/>
      <c r="W2485"/>
      <c r="X2485"/>
      <c r="Y2485"/>
      <c r="Z2485"/>
      <c r="AA2485"/>
      <c r="AB2485"/>
      <c r="AL2485"/>
      <c r="AM2485"/>
      <c r="AN2485"/>
      <c r="AO2485"/>
    </row>
    <row r="2486" spans="1:41" s="2" customFormat="1" x14ac:dyDescent="0.2">
      <c r="A2486"/>
      <c r="B2486"/>
      <c r="C2486"/>
      <c r="D2486"/>
      <c r="E2486"/>
      <c r="F2486"/>
      <c r="G2486"/>
      <c r="U2486"/>
      <c r="V2486"/>
      <c r="W2486"/>
      <c r="X2486"/>
      <c r="Y2486"/>
      <c r="Z2486"/>
      <c r="AA2486"/>
      <c r="AB2486"/>
      <c r="AL2486"/>
      <c r="AM2486"/>
      <c r="AN2486"/>
      <c r="AO2486"/>
    </row>
    <row r="2487" spans="1:41" s="2" customFormat="1" x14ac:dyDescent="0.2">
      <c r="A2487"/>
      <c r="B2487"/>
      <c r="C2487"/>
      <c r="D2487"/>
      <c r="E2487"/>
      <c r="F2487"/>
      <c r="G2487"/>
      <c r="U2487"/>
      <c r="V2487"/>
      <c r="W2487"/>
      <c r="X2487"/>
      <c r="Y2487"/>
      <c r="Z2487"/>
      <c r="AA2487"/>
      <c r="AB2487"/>
      <c r="AL2487"/>
      <c r="AM2487"/>
      <c r="AN2487"/>
      <c r="AO2487"/>
    </row>
    <row r="2488" spans="1:41" s="2" customFormat="1" x14ac:dyDescent="0.2">
      <c r="A2488"/>
      <c r="B2488"/>
      <c r="C2488"/>
      <c r="D2488"/>
      <c r="E2488"/>
      <c r="F2488"/>
      <c r="G2488"/>
      <c r="U2488"/>
      <c r="V2488"/>
      <c r="W2488"/>
      <c r="X2488"/>
      <c r="Y2488"/>
      <c r="Z2488"/>
      <c r="AA2488"/>
      <c r="AB2488"/>
      <c r="AL2488"/>
      <c r="AM2488"/>
      <c r="AN2488"/>
      <c r="AO2488"/>
    </row>
    <row r="2489" spans="1:41" s="2" customFormat="1" x14ac:dyDescent="0.2">
      <c r="A2489"/>
      <c r="B2489"/>
      <c r="C2489"/>
      <c r="D2489"/>
      <c r="E2489"/>
      <c r="F2489"/>
      <c r="G2489"/>
      <c r="U2489"/>
      <c r="V2489"/>
      <c r="W2489"/>
      <c r="X2489"/>
      <c r="Y2489"/>
      <c r="Z2489"/>
      <c r="AA2489"/>
      <c r="AB2489"/>
      <c r="AL2489"/>
      <c r="AM2489"/>
      <c r="AN2489"/>
      <c r="AO2489"/>
    </row>
    <row r="2490" spans="1:41" s="2" customFormat="1" x14ac:dyDescent="0.2">
      <c r="A2490"/>
      <c r="B2490"/>
      <c r="C2490"/>
      <c r="D2490"/>
      <c r="E2490"/>
      <c r="F2490"/>
      <c r="G2490"/>
      <c r="U2490"/>
      <c r="V2490"/>
      <c r="W2490"/>
      <c r="X2490"/>
      <c r="Y2490"/>
      <c r="Z2490"/>
      <c r="AA2490"/>
      <c r="AB2490"/>
      <c r="AL2490"/>
      <c r="AM2490"/>
      <c r="AN2490"/>
      <c r="AO2490"/>
    </row>
    <row r="2491" spans="1:41" s="2" customFormat="1" x14ac:dyDescent="0.2">
      <c r="A2491"/>
      <c r="B2491"/>
      <c r="C2491"/>
      <c r="D2491"/>
      <c r="E2491"/>
      <c r="F2491"/>
      <c r="G2491"/>
      <c r="U2491"/>
      <c r="V2491"/>
      <c r="W2491"/>
      <c r="X2491"/>
      <c r="Y2491"/>
      <c r="Z2491"/>
      <c r="AA2491"/>
      <c r="AB2491"/>
      <c r="AL2491"/>
      <c r="AM2491"/>
      <c r="AN2491"/>
      <c r="AO2491"/>
    </row>
    <row r="2492" spans="1:41" s="2" customFormat="1" x14ac:dyDescent="0.2">
      <c r="A2492"/>
      <c r="B2492"/>
      <c r="C2492"/>
      <c r="D2492"/>
      <c r="E2492"/>
      <c r="F2492"/>
      <c r="G2492"/>
      <c r="U2492"/>
      <c r="V2492"/>
      <c r="W2492"/>
      <c r="X2492"/>
      <c r="Y2492"/>
      <c r="Z2492"/>
      <c r="AA2492"/>
      <c r="AB2492"/>
      <c r="AL2492"/>
      <c r="AM2492"/>
      <c r="AN2492"/>
      <c r="AO2492"/>
    </row>
    <row r="2493" spans="1:41" s="2" customFormat="1" x14ac:dyDescent="0.2">
      <c r="A2493"/>
      <c r="B2493"/>
      <c r="C2493"/>
      <c r="D2493"/>
      <c r="E2493"/>
      <c r="F2493"/>
      <c r="G2493"/>
      <c r="U2493"/>
      <c r="V2493"/>
      <c r="W2493"/>
      <c r="X2493"/>
      <c r="Y2493"/>
      <c r="Z2493"/>
      <c r="AA2493"/>
      <c r="AB2493"/>
      <c r="AL2493"/>
      <c r="AM2493"/>
      <c r="AN2493"/>
      <c r="AO2493"/>
    </row>
    <row r="2494" spans="1:41" s="2" customFormat="1" x14ac:dyDescent="0.2">
      <c r="A2494"/>
      <c r="B2494"/>
      <c r="C2494"/>
      <c r="D2494"/>
      <c r="E2494"/>
      <c r="F2494"/>
      <c r="G2494"/>
      <c r="U2494"/>
      <c r="V2494"/>
      <c r="W2494"/>
      <c r="X2494"/>
      <c r="Y2494"/>
      <c r="Z2494"/>
      <c r="AA2494"/>
      <c r="AB2494"/>
      <c r="AL2494"/>
      <c r="AM2494"/>
      <c r="AN2494"/>
      <c r="AO2494"/>
    </row>
    <row r="2495" spans="1:41" s="2" customFormat="1" x14ac:dyDescent="0.2">
      <c r="A2495"/>
      <c r="B2495"/>
      <c r="C2495"/>
      <c r="D2495"/>
      <c r="E2495"/>
      <c r="F2495"/>
      <c r="G2495"/>
      <c r="U2495"/>
      <c r="V2495"/>
      <c r="W2495"/>
      <c r="X2495"/>
      <c r="Y2495"/>
      <c r="Z2495"/>
      <c r="AA2495"/>
      <c r="AB2495"/>
      <c r="AL2495"/>
      <c r="AM2495"/>
      <c r="AN2495"/>
      <c r="AO2495"/>
    </row>
    <row r="2496" spans="1:41" s="2" customFormat="1" x14ac:dyDescent="0.2">
      <c r="A2496"/>
      <c r="B2496"/>
      <c r="C2496"/>
      <c r="D2496"/>
      <c r="E2496"/>
      <c r="F2496"/>
      <c r="G2496"/>
      <c r="U2496"/>
      <c r="V2496"/>
      <c r="W2496"/>
      <c r="X2496"/>
      <c r="Y2496"/>
      <c r="Z2496"/>
      <c r="AA2496"/>
      <c r="AB2496"/>
      <c r="AL2496"/>
      <c r="AM2496"/>
      <c r="AN2496"/>
      <c r="AO2496"/>
    </row>
    <row r="2497" spans="1:41" s="2" customFormat="1" x14ac:dyDescent="0.2">
      <c r="A2497"/>
      <c r="B2497"/>
      <c r="C2497"/>
      <c r="D2497"/>
      <c r="E2497"/>
      <c r="F2497"/>
      <c r="G2497"/>
      <c r="U2497"/>
      <c r="V2497"/>
      <c r="W2497"/>
      <c r="X2497"/>
      <c r="Y2497"/>
      <c r="Z2497"/>
      <c r="AA2497"/>
      <c r="AB2497"/>
      <c r="AL2497"/>
      <c r="AM2497"/>
      <c r="AN2497"/>
      <c r="AO2497"/>
    </row>
    <row r="2498" spans="1:41" s="2" customFormat="1" x14ac:dyDescent="0.2">
      <c r="A2498"/>
      <c r="B2498"/>
      <c r="C2498"/>
      <c r="D2498"/>
      <c r="E2498"/>
      <c r="F2498"/>
      <c r="G2498"/>
      <c r="U2498"/>
      <c r="V2498"/>
      <c r="W2498"/>
      <c r="X2498"/>
      <c r="Y2498"/>
      <c r="Z2498"/>
      <c r="AA2498"/>
      <c r="AB2498"/>
      <c r="AL2498"/>
      <c r="AM2498"/>
      <c r="AN2498"/>
      <c r="AO2498"/>
    </row>
    <row r="2499" spans="1:41" s="2" customFormat="1" x14ac:dyDescent="0.2">
      <c r="A2499"/>
      <c r="B2499"/>
      <c r="C2499"/>
      <c r="D2499"/>
      <c r="E2499"/>
      <c r="F2499"/>
      <c r="G2499"/>
      <c r="U2499"/>
      <c r="V2499"/>
      <c r="W2499"/>
      <c r="X2499"/>
      <c r="Y2499"/>
      <c r="Z2499"/>
      <c r="AA2499"/>
      <c r="AB2499"/>
      <c r="AL2499"/>
      <c r="AM2499"/>
      <c r="AN2499"/>
      <c r="AO2499"/>
    </row>
    <row r="2500" spans="1:41" s="2" customFormat="1" x14ac:dyDescent="0.2">
      <c r="A2500"/>
      <c r="B2500"/>
      <c r="C2500"/>
      <c r="D2500"/>
      <c r="E2500"/>
      <c r="F2500"/>
      <c r="G2500"/>
      <c r="U2500"/>
      <c r="V2500"/>
      <c r="W2500"/>
      <c r="X2500"/>
      <c r="Y2500"/>
      <c r="Z2500"/>
      <c r="AA2500"/>
      <c r="AB2500"/>
      <c r="AL2500"/>
      <c r="AM2500"/>
      <c r="AN2500"/>
      <c r="AO2500"/>
    </row>
    <row r="2501" spans="1:41" s="2" customFormat="1" x14ac:dyDescent="0.2">
      <c r="A2501"/>
      <c r="B2501"/>
      <c r="C2501"/>
      <c r="D2501"/>
      <c r="E2501"/>
      <c r="F2501"/>
      <c r="G2501"/>
      <c r="U2501"/>
      <c r="V2501"/>
      <c r="W2501"/>
      <c r="X2501"/>
      <c r="Y2501"/>
      <c r="Z2501"/>
      <c r="AA2501"/>
      <c r="AB2501"/>
      <c r="AL2501"/>
      <c r="AM2501"/>
      <c r="AN2501"/>
      <c r="AO2501"/>
    </row>
    <row r="2502" spans="1:41" s="2" customFormat="1" x14ac:dyDescent="0.2">
      <c r="A2502"/>
      <c r="B2502"/>
      <c r="C2502"/>
      <c r="D2502"/>
      <c r="E2502"/>
      <c r="F2502"/>
      <c r="G2502"/>
      <c r="U2502"/>
      <c r="V2502"/>
      <c r="W2502"/>
      <c r="X2502"/>
      <c r="Y2502"/>
      <c r="Z2502"/>
      <c r="AA2502"/>
      <c r="AB2502"/>
      <c r="AL2502"/>
      <c r="AM2502"/>
      <c r="AN2502"/>
      <c r="AO2502"/>
    </row>
    <row r="2503" spans="1:41" s="2" customFormat="1" x14ac:dyDescent="0.2">
      <c r="A2503"/>
      <c r="B2503"/>
      <c r="C2503"/>
      <c r="D2503"/>
      <c r="E2503"/>
      <c r="F2503"/>
      <c r="G2503"/>
      <c r="U2503"/>
      <c r="V2503"/>
      <c r="W2503"/>
      <c r="X2503"/>
      <c r="Y2503"/>
      <c r="Z2503"/>
      <c r="AA2503"/>
      <c r="AB2503"/>
      <c r="AL2503"/>
      <c r="AM2503"/>
      <c r="AN2503"/>
      <c r="AO2503"/>
    </row>
    <row r="2504" spans="1:41" s="2" customFormat="1" x14ac:dyDescent="0.2">
      <c r="A2504"/>
      <c r="B2504"/>
      <c r="C2504"/>
      <c r="D2504"/>
      <c r="E2504"/>
      <c r="F2504"/>
      <c r="G2504"/>
      <c r="U2504"/>
      <c r="V2504"/>
      <c r="W2504"/>
      <c r="X2504"/>
      <c r="Y2504"/>
      <c r="Z2504"/>
      <c r="AA2504"/>
      <c r="AB2504"/>
      <c r="AL2504"/>
      <c r="AM2504"/>
      <c r="AN2504"/>
      <c r="AO2504"/>
    </row>
    <row r="2505" spans="1:41" s="2" customFormat="1" x14ac:dyDescent="0.2">
      <c r="A2505"/>
      <c r="B2505"/>
      <c r="C2505"/>
      <c r="D2505"/>
      <c r="E2505"/>
      <c r="F2505"/>
      <c r="G2505"/>
      <c r="U2505"/>
      <c r="V2505"/>
      <c r="W2505"/>
      <c r="X2505"/>
      <c r="Y2505"/>
      <c r="Z2505"/>
      <c r="AA2505"/>
      <c r="AB2505"/>
      <c r="AL2505"/>
      <c r="AM2505"/>
      <c r="AN2505"/>
      <c r="AO2505"/>
    </row>
    <row r="2506" spans="1:41" s="2" customFormat="1" x14ac:dyDescent="0.2">
      <c r="A2506"/>
      <c r="B2506"/>
      <c r="C2506"/>
      <c r="D2506"/>
      <c r="E2506"/>
      <c r="F2506"/>
      <c r="G2506"/>
      <c r="U2506"/>
      <c r="V2506"/>
      <c r="W2506"/>
      <c r="X2506"/>
      <c r="Y2506"/>
      <c r="Z2506"/>
      <c r="AA2506"/>
      <c r="AB2506"/>
      <c r="AL2506"/>
      <c r="AM2506"/>
      <c r="AN2506"/>
      <c r="AO2506"/>
    </row>
    <row r="2507" spans="1:41" s="2" customFormat="1" x14ac:dyDescent="0.2">
      <c r="A2507"/>
      <c r="B2507"/>
      <c r="C2507"/>
      <c r="D2507"/>
      <c r="E2507"/>
      <c r="F2507"/>
      <c r="G2507"/>
      <c r="U2507"/>
      <c r="V2507"/>
      <c r="W2507"/>
      <c r="X2507"/>
      <c r="Y2507"/>
      <c r="Z2507"/>
      <c r="AA2507"/>
      <c r="AB2507"/>
      <c r="AL2507"/>
      <c r="AM2507"/>
      <c r="AN2507"/>
      <c r="AO2507"/>
    </row>
    <row r="2508" spans="1:41" s="2" customFormat="1" x14ac:dyDescent="0.2">
      <c r="A2508"/>
      <c r="B2508"/>
      <c r="C2508"/>
      <c r="D2508"/>
      <c r="E2508"/>
      <c r="F2508"/>
      <c r="G2508"/>
      <c r="U2508"/>
      <c r="V2508"/>
      <c r="W2508"/>
      <c r="X2508"/>
      <c r="Y2508"/>
      <c r="Z2508"/>
      <c r="AA2508"/>
      <c r="AB2508"/>
      <c r="AL2508"/>
      <c r="AM2508"/>
      <c r="AN2508"/>
      <c r="AO2508"/>
    </row>
    <row r="2509" spans="1:41" s="2" customFormat="1" x14ac:dyDescent="0.2">
      <c r="A2509"/>
      <c r="B2509"/>
      <c r="C2509"/>
      <c r="D2509"/>
      <c r="E2509"/>
      <c r="F2509"/>
      <c r="G2509"/>
      <c r="U2509"/>
      <c r="V2509"/>
      <c r="W2509"/>
      <c r="X2509"/>
      <c r="Y2509"/>
      <c r="Z2509"/>
      <c r="AA2509"/>
      <c r="AB2509"/>
      <c r="AL2509"/>
      <c r="AM2509"/>
      <c r="AN2509"/>
      <c r="AO2509"/>
    </row>
    <row r="2510" spans="1:41" s="2" customFormat="1" x14ac:dyDescent="0.2">
      <c r="A2510"/>
      <c r="B2510"/>
      <c r="C2510"/>
      <c r="D2510"/>
      <c r="E2510"/>
      <c r="F2510"/>
      <c r="G2510"/>
      <c r="U2510"/>
      <c r="V2510"/>
      <c r="W2510"/>
      <c r="X2510"/>
      <c r="Y2510"/>
      <c r="Z2510"/>
      <c r="AA2510"/>
      <c r="AB2510"/>
      <c r="AL2510"/>
      <c r="AM2510"/>
      <c r="AN2510"/>
      <c r="AO2510"/>
    </row>
    <row r="2511" spans="1:41" s="2" customFormat="1" x14ac:dyDescent="0.2">
      <c r="A2511"/>
      <c r="B2511"/>
      <c r="C2511"/>
      <c r="D2511"/>
      <c r="E2511"/>
      <c r="F2511"/>
      <c r="G2511"/>
      <c r="U2511"/>
      <c r="V2511"/>
      <c r="W2511"/>
      <c r="X2511"/>
      <c r="Y2511"/>
      <c r="Z2511"/>
      <c r="AA2511"/>
      <c r="AB2511"/>
      <c r="AL2511"/>
      <c r="AM2511"/>
      <c r="AN2511"/>
      <c r="AO2511"/>
    </row>
    <row r="2512" spans="1:41" s="2" customFormat="1" x14ac:dyDescent="0.2">
      <c r="A2512"/>
      <c r="B2512"/>
      <c r="C2512"/>
      <c r="D2512"/>
      <c r="E2512"/>
      <c r="F2512"/>
      <c r="G2512"/>
      <c r="U2512"/>
      <c r="V2512"/>
      <c r="W2512"/>
      <c r="X2512"/>
      <c r="Y2512"/>
      <c r="Z2512"/>
      <c r="AA2512"/>
      <c r="AB2512"/>
      <c r="AL2512"/>
      <c r="AM2512"/>
      <c r="AN2512"/>
      <c r="AO2512"/>
    </row>
    <row r="2513" spans="1:41" s="2" customFormat="1" x14ac:dyDescent="0.2">
      <c r="A2513"/>
      <c r="B2513"/>
      <c r="C2513"/>
      <c r="D2513"/>
      <c r="E2513"/>
      <c r="F2513"/>
      <c r="G2513"/>
      <c r="U2513"/>
      <c r="V2513"/>
      <c r="W2513"/>
      <c r="X2513"/>
      <c r="Y2513"/>
      <c r="Z2513"/>
      <c r="AA2513"/>
      <c r="AB2513"/>
      <c r="AL2513"/>
      <c r="AM2513"/>
      <c r="AN2513"/>
      <c r="AO2513"/>
    </row>
    <row r="2514" spans="1:41" s="2" customFormat="1" x14ac:dyDescent="0.2">
      <c r="A2514"/>
      <c r="B2514"/>
      <c r="C2514"/>
      <c r="D2514"/>
      <c r="E2514"/>
      <c r="F2514"/>
      <c r="G2514"/>
      <c r="U2514"/>
      <c r="V2514"/>
      <c r="W2514"/>
      <c r="X2514"/>
      <c r="Y2514"/>
      <c r="Z2514"/>
      <c r="AA2514"/>
      <c r="AB2514"/>
      <c r="AL2514"/>
      <c r="AM2514"/>
      <c r="AN2514"/>
      <c r="AO2514"/>
    </row>
    <row r="2515" spans="1:41" s="2" customFormat="1" x14ac:dyDescent="0.2">
      <c r="A2515"/>
      <c r="B2515"/>
      <c r="C2515"/>
      <c r="D2515"/>
      <c r="E2515"/>
      <c r="F2515"/>
      <c r="G2515"/>
      <c r="U2515"/>
      <c r="V2515"/>
      <c r="W2515"/>
      <c r="X2515"/>
      <c r="Y2515"/>
      <c r="Z2515"/>
      <c r="AA2515"/>
      <c r="AB2515"/>
      <c r="AL2515"/>
      <c r="AM2515"/>
      <c r="AN2515"/>
      <c r="AO2515"/>
    </row>
    <row r="2516" spans="1:41" s="2" customFormat="1" x14ac:dyDescent="0.2">
      <c r="A2516"/>
      <c r="B2516"/>
      <c r="C2516"/>
      <c r="D2516"/>
      <c r="E2516"/>
      <c r="F2516"/>
      <c r="G2516"/>
      <c r="U2516"/>
      <c r="V2516"/>
      <c r="W2516"/>
      <c r="X2516"/>
      <c r="Y2516"/>
      <c r="Z2516"/>
      <c r="AA2516"/>
      <c r="AB2516"/>
      <c r="AL2516"/>
      <c r="AM2516"/>
      <c r="AN2516"/>
      <c r="AO2516"/>
    </row>
    <row r="2517" spans="1:41" s="2" customFormat="1" x14ac:dyDescent="0.2">
      <c r="A2517"/>
      <c r="B2517"/>
      <c r="C2517"/>
      <c r="D2517"/>
      <c r="E2517"/>
      <c r="F2517"/>
      <c r="G2517"/>
      <c r="U2517"/>
      <c r="V2517"/>
      <c r="W2517"/>
      <c r="X2517"/>
      <c r="Y2517"/>
      <c r="Z2517"/>
      <c r="AA2517"/>
      <c r="AB2517"/>
      <c r="AL2517"/>
      <c r="AM2517"/>
      <c r="AN2517"/>
      <c r="AO2517"/>
    </row>
    <row r="2518" spans="1:41" s="2" customFormat="1" x14ac:dyDescent="0.2">
      <c r="A2518"/>
      <c r="B2518"/>
      <c r="C2518"/>
      <c r="D2518"/>
      <c r="E2518"/>
      <c r="F2518"/>
      <c r="G2518"/>
      <c r="U2518"/>
      <c r="V2518"/>
      <c r="W2518"/>
      <c r="X2518"/>
      <c r="Y2518"/>
      <c r="Z2518"/>
      <c r="AA2518"/>
      <c r="AB2518"/>
      <c r="AL2518"/>
      <c r="AM2518"/>
      <c r="AN2518"/>
      <c r="AO2518"/>
    </row>
    <row r="2519" spans="1:41" s="2" customFormat="1" x14ac:dyDescent="0.2">
      <c r="A2519"/>
      <c r="B2519"/>
      <c r="C2519"/>
      <c r="D2519"/>
      <c r="E2519"/>
      <c r="F2519"/>
      <c r="G2519"/>
      <c r="U2519"/>
      <c r="V2519"/>
      <c r="W2519"/>
      <c r="X2519"/>
      <c r="Y2519"/>
      <c r="Z2519"/>
      <c r="AA2519"/>
      <c r="AB2519"/>
      <c r="AL2519"/>
      <c r="AM2519"/>
      <c r="AN2519"/>
      <c r="AO2519"/>
    </row>
    <row r="2520" spans="1:41" s="2" customFormat="1" x14ac:dyDescent="0.2">
      <c r="A2520"/>
      <c r="B2520"/>
      <c r="C2520"/>
      <c r="D2520"/>
      <c r="E2520"/>
      <c r="F2520"/>
      <c r="G2520"/>
      <c r="U2520"/>
      <c r="V2520"/>
      <c r="W2520"/>
      <c r="X2520"/>
      <c r="Y2520"/>
      <c r="Z2520"/>
      <c r="AA2520"/>
      <c r="AB2520"/>
      <c r="AL2520"/>
      <c r="AM2520"/>
      <c r="AN2520"/>
      <c r="AO2520"/>
    </row>
    <row r="2521" spans="1:41" s="2" customFormat="1" x14ac:dyDescent="0.2">
      <c r="A2521"/>
      <c r="B2521"/>
      <c r="C2521"/>
      <c r="D2521"/>
      <c r="E2521"/>
      <c r="F2521"/>
      <c r="G2521"/>
      <c r="U2521"/>
      <c r="V2521"/>
      <c r="W2521"/>
      <c r="X2521"/>
      <c r="Y2521"/>
      <c r="Z2521"/>
      <c r="AA2521"/>
      <c r="AB2521"/>
      <c r="AL2521"/>
      <c r="AM2521"/>
      <c r="AN2521"/>
      <c r="AO2521"/>
    </row>
    <row r="2522" spans="1:41" s="2" customFormat="1" x14ac:dyDescent="0.2">
      <c r="A2522"/>
      <c r="B2522"/>
      <c r="C2522"/>
      <c r="D2522"/>
      <c r="E2522"/>
      <c r="F2522"/>
      <c r="G2522"/>
      <c r="U2522"/>
      <c r="V2522"/>
      <c r="W2522"/>
      <c r="X2522"/>
      <c r="Y2522"/>
      <c r="Z2522"/>
      <c r="AA2522"/>
      <c r="AB2522"/>
      <c r="AL2522"/>
      <c r="AM2522"/>
      <c r="AN2522"/>
      <c r="AO2522"/>
    </row>
    <row r="2523" spans="1:41" s="2" customFormat="1" x14ac:dyDescent="0.2">
      <c r="A2523"/>
      <c r="B2523"/>
      <c r="C2523"/>
      <c r="D2523"/>
      <c r="E2523"/>
      <c r="F2523"/>
      <c r="G2523"/>
      <c r="U2523"/>
      <c r="V2523"/>
      <c r="W2523"/>
      <c r="X2523"/>
      <c r="Y2523"/>
      <c r="Z2523"/>
      <c r="AA2523"/>
      <c r="AB2523"/>
      <c r="AL2523"/>
      <c r="AM2523"/>
      <c r="AN2523"/>
      <c r="AO2523"/>
    </row>
    <row r="2524" spans="1:41" s="2" customFormat="1" x14ac:dyDescent="0.2">
      <c r="A2524"/>
      <c r="B2524"/>
      <c r="C2524"/>
      <c r="D2524"/>
      <c r="E2524"/>
      <c r="F2524"/>
      <c r="G2524"/>
      <c r="U2524"/>
      <c r="V2524"/>
      <c r="W2524"/>
      <c r="X2524"/>
      <c r="Y2524"/>
      <c r="Z2524"/>
      <c r="AA2524"/>
      <c r="AB2524"/>
      <c r="AL2524"/>
      <c r="AM2524"/>
      <c r="AN2524"/>
      <c r="AO2524"/>
    </row>
    <row r="2525" spans="1:41" s="2" customFormat="1" x14ac:dyDescent="0.2">
      <c r="A2525"/>
      <c r="B2525"/>
      <c r="C2525"/>
      <c r="D2525"/>
      <c r="E2525"/>
      <c r="F2525"/>
      <c r="G2525"/>
      <c r="U2525"/>
      <c r="V2525"/>
      <c r="W2525"/>
      <c r="X2525"/>
      <c r="Y2525"/>
      <c r="Z2525"/>
      <c r="AA2525"/>
      <c r="AB2525"/>
      <c r="AL2525"/>
      <c r="AM2525"/>
      <c r="AN2525"/>
      <c r="AO2525"/>
    </row>
    <row r="2526" spans="1:41" s="2" customFormat="1" x14ac:dyDescent="0.2">
      <c r="A2526"/>
      <c r="B2526"/>
      <c r="C2526"/>
      <c r="D2526"/>
      <c r="E2526"/>
      <c r="F2526"/>
      <c r="G2526"/>
      <c r="U2526"/>
      <c r="V2526"/>
      <c r="W2526"/>
      <c r="X2526"/>
      <c r="Y2526"/>
      <c r="Z2526"/>
      <c r="AA2526"/>
      <c r="AB2526"/>
      <c r="AL2526"/>
      <c r="AM2526"/>
      <c r="AN2526"/>
      <c r="AO2526"/>
    </row>
    <row r="2527" spans="1:41" s="2" customFormat="1" x14ac:dyDescent="0.2">
      <c r="A2527"/>
      <c r="B2527"/>
      <c r="C2527"/>
      <c r="D2527"/>
      <c r="E2527"/>
      <c r="F2527"/>
      <c r="G2527"/>
      <c r="U2527"/>
      <c r="V2527"/>
      <c r="W2527"/>
      <c r="X2527"/>
      <c r="Y2527"/>
      <c r="Z2527"/>
      <c r="AA2527"/>
      <c r="AB2527"/>
      <c r="AL2527"/>
      <c r="AM2527"/>
      <c r="AN2527"/>
      <c r="AO2527"/>
    </row>
    <row r="2528" spans="1:41" s="2" customFormat="1" x14ac:dyDescent="0.2">
      <c r="A2528"/>
      <c r="B2528"/>
      <c r="C2528"/>
      <c r="D2528"/>
      <c r="E2528"/>
      <c r="F2528"/>
      <c r="G2528"/>
      <c r="U2528"/>
      <c r="V2528"/>
      <c r="W2528"/>
      <c r="X2528"/>
      <c r="Y2528"/>
      <c r="Z2528"/>
      <c r="AA2528"/>
      <c r="AB2528"/>
      <c r="AL2528"/>
      <c r="AM2528"/>
      <c r="AN2528"/>
      <c r="AO2528"/>
    </row>
    <row r="2529" spans="1:41" s="2" customFormat="1" x14ac:dyDescent="0.2">
      <c r="A2529"/>
      <c r="B2529"/>
      <c r="C2529"/>
      <c r="D2529"/>
      <c r="E2529"/>
      <c r="F2529"/>
      <c r="G2529"/>
      <c r="U2529"/>
      <c r="V2529"/>
      <c r="W2529"/>
      <c r="X2529"/>
      <c r="Y2529"/>
      <c r="Z2529"/>
      <c r="AA2529"/>
      <c r="AB2529"/>
      <c r="AL2529"/>
      <c r="AM2529"/>
      <c r="AN2529"/>
      <c r="AO2529"/>
    </row>
    <row r="2530" spans="1:41" s="2" customFormat="1" x14ac:dyDescent="0.2">
      <c r="A2530"/>
      <c r="B2530"/>
      <c r="C2530"/>
      <c r="D2530"/>
      <c r="E2530"/>
      <c r="F2530"/>
      <c r="G2530"/>
      <c r="U2530"/>
      <c r="V2530"/>
      <c r="W2530"/>
      <c r="X2530"/>
      <c r="Y2530"/>
      <c r="Z2530"/>
      <c r="AA2530"/>
      <c r="AB2530"/>
      <c r="AL2530"/>
      <c r="AM2530"/>
      <c r="AN2530"/>
      <c r="AO2530"/>
    </row>
    <row r="2531" spans="1:41" s="2" customFormat="1" x14ac:dyDescent="0.2">
      <c r="A2531"/>
      <c r="B2531"/>
      <c r="C2531"/>
      <c r="D2531"/>
      <c r="E2531"/>
      <c r="F2531"/>
      <c r="G2531"/>
      <c r="U2531"/>
      <c r="V2531"/>
      <c r="W2531"/>
      <c r="X2531"/>
      <c r="Y2531"/>
      <c r="Z2531"/>
      <c r="AA2531"/>
      <c r="AB2531"/>
      <c r="AL2531"/>
      <c r="AM2531"/>
      <c r="AN2531"/>
      <c r="AO2531"/>
    </row>
    <row r="2532" spans="1:41" s="2" customFormat="1" x14ac:dyDescent="0.2">
      <c r="A2532"/>
      <c r="B2532"/>
      <c r="C2532"/>
      <c r="D2532"/>
      <c r="E2532"/>
      <c r="F2532"/>
      <c r="G2532"/>
      <c r="U2532"/>
      <c r="V2532"/>
      <c r="W2532"/>
      <c r="X2532"/>
      <c r="Y2532"/>
      <c r="Z2532"/>
      <c r="AA2532"/>
      <c r="AB2532"/>
      <c r="AL2532"/>
      <c r="AM2532"/>
      <c r="AN2532"/>
      <c r="AO2532"/>
    </row>
    <row r="2533" spans="1:41" s="2" customFormat="1" x14ac:dyDescent="0.2">
      <c r="A2533"/>
      <c r="B2533"/>
      <c r="C2533"/>
      <c r="D2533"/>
      <c r="E2533"/>
      <c r="F2533"/>
      <c r="G2533"/>
      <c r="U2533"/>
      <c r="V2533"/>
      <c r="W2533"/>
      <c r="X2533"/>
      <c r="Y2533"/>
      <c r="Z2533"/>
      <c r="AA2533"/>
      <c r="AB2533"/>
      <c r="AL2533"/>
      <c r="AM2533"/>
      <c r="AN2533"/>
      <c r="AO2533"/>
    </row>
    <row r="2534" spans="1:41" s="2" customFormat="1" x14ac:dyDescent="0.2">
      <c r="A2534"/>
      <c r="B2534"/>
      <c r="C2534"/>
      <c r="D2534"/>
      <c r="E2534"/>
      <c r="F2534"/>
      <c r="G2534"/>
      <c r="U2534"/>
      <c r="V2534"/>
      <c r="W2534"/>
      <c r="X2534"/>
      <c r="Y2534"/>
      <c r="Z2534"/>
      <c r="AA2534"/>
      <c r="AB2534"/>
      <c r="AL2534"/>
      <c r="AM2534"/>
      <c r="AN2534"/>
      <c r="AO2534"/>
    </row>
    <row r="2535" spans="1:41" s="2" customFormat="1" x14ac:dyDescent="0.2">
      <c r="A2535"/>
      <c r="B2535"/>
      <c r="C2535"/>
      <c r="D2535"/>
      <c r="E2535"/>
      <c r="F2535"/>
      <c r="G2535"/>
      <c r="U2535"/>
      <c r="V2535"/>
      <c r="W2535"/>
      <c r="X2535"/>
      <c r="Y2535"/>
      <c r="Z2535"/>
      <c r="AA2535"/>
      <c r="AB2535"/>
      <c r="AL2535"/>
      <c r="AM2535"/>
      <c r="AN2535"/>
      <c r="AO2535"/>
    </row>
    <row r="2536" spans="1:41" s="2" customFormat="1" x14ac:dyDescent="0.2">
      <c r="A2536"/>
      <c r="B2536"/>
      <c r="C2536"/>
      <c r="D2536"/>
      <c r="E2536"/>
      <c r="F2536"/>
      <c r="G2536"/>
      <c r="U2536"/>
      <c r="V2536"/>
      <c r="W2536"/>
      <c r="X2536"/>
      <c r="Y2536"/>
      <c r="Z2536"/>
      <c r="AA2536"/>
      <c r="AB2536"/>
      <c r="AL2536"/>
      <c r="AM2536"/>
      <c r="AN2536"/>
      <c r="AO2536"/>
    </row>
    <row r="2537" spans="1:41" s="2" customFormat="1" x14ac:dyDescent="0.2">
      <c r="A2537"/>
      <c r="B2537"/>
      <c r="C2537"/>
      <c r="D2537"/>
      <c r="E2537"/>
      <c r="F2537"/>
      <c r="G2537"/>
      <c r="U2537"/>
      <c r="V2537"/>
      <c r="W2537"/>
      <c r="X2537"/>
      <c r="Y2537"/>
      <c r="Z2537"/>
      <c r="AA2537"/>
      <c r="AB2537"/>
      <c r="AL2537"/>
      <c r="AM2537"/>
      <c r="AN2537"/>
      <c r="AO2537"/>
    </row>
    <row r="2538" spans="1:41" s="2" customFormat="1" x14ac:dyDescent="0.2">
      <c r="A2538"/>
      <c r="B2538"/>
      <c r="C2538"/>
      <c r="D2538"/>
      <c r="E2538"/>
      <c r="F2538"/>
      <c r="G2538"/>
      <c r="U2538"/>
      <c r="V2538"/>
      <c r="W2538"/>
      <c r="X2538"/>
      <c r="Y2538"/>
      <c r="Z2538"/>
      <c r="AA2538"/>
      <c r="AB2538"/>
      <c r="AL2538"/>
      <c r="AM2538"/>
      <c r="AN2538"/>
      <c r="AO2538"/>
    </row>
    <row r="2539" spans="1:41" s="2" customFormat="1" x14ac:dyDescent="0.2">
      <c r="A2539"/>
      <c r="B2539"/>
      <c r="C2539"/>
      <c r="D2539"/>
      <c r="E2539"/>
      <c r="F2539"/>
      <c r="G2539"/>
      <c r="U2539"/>
      <c r="V2539"/>
      <c r="W2539"/>
      <c r="X2539"/>
      <c r="Y2539"/>
      <c r="Z2539"/>
      <c r="AA2539"/>
      <c r="AB2539"/>
      <c r="AL2539"/>
      <c r="AM2539"/>
      <c r="AN2539"/>
      <c r="AO2539"/>
    </row>
    <row r="2540" spans="1:41" s="2" customFormat="1" x14ac:dyDescent="0.2">
      <c r="A2540"/>
      <c r="B2540"/>
      <c r="C2540"/>
      <c r="D2540"/>
      <c r="E2540"/>
      <c r="F2540"/>
      <c r="G2540"/>
      <c r="U2540"/>
      <c r="V2540"/>
      <c r="W2540"/>
      <c r="X2540"/>
      <c r="Y2540"/>
      <c r="Z2540"/>
      <c r="AA2540"/>
      <c r="AB2540"/>
      <c r="AL2540"/>
      <c r="AM2540"/>
      <c r="AN2540"/>
      <c r="AO2540"/>
    </row>
    <row r="2541" spans="1:41" s="2" customFormat="1" x14ac:dyDescent="0.2">
      <c r="A2541"/>
      <c r="B2541"/>
      <c r="C2541"/>
      <c r="D2541"/>
      <c r="E2541"/>
      <c r="F2541"/>
      <c r="G2541"/>
      <c r="U2541"/>
      <c r="V2541"/>
      <c r="W2541"/>
      <c r="X2541"/>
      <c r="Y2541"/>
      <c r="Z2541"/>
      <c r="AA2541"/>
      <c r="AB2541"/>
      <c r="AL2541"/>
      <c r="AM2541"/>
      <c r="AN2541"/>
      <c r="AO2541"/>
    </row>
    <row r="2542" spans="1:41" s="2" customFormat="1" x14ac:dyDescent="0.2">
      <c r="A2542"/>
      <c r="B2542"/>
      <c r="C2542"/>
      <c r="D2542"/>
      <c r="E2542"/>
      <c r="F2542"/>
      <c r="G2542"/>
      <c r="U2542"/>
      <c r="V2542"/>
      <c r="W2542"/>
      <c r="X2542"/>
      <c r="Y2542"/>
      <c r="Z2542"/>
      <c r="AA2542"/>
      <c r="AB2542"/>
      <c r="AL2542"/>
      <c r="AM2542"/>
      <c r="AN2542"/>
      <c r="AO2542"/>
    </row>
    <row r="2543" spans="1:41" s="2" customFormat="1" x14ac:dyDescent="0.2">
      <c r="A2543"/>
      <c r="B2543"/>
      <c r="C2543"/>
      <c r="D2543"/>
      <c r="E2543"/>
      <c r="F2543"/>
      <c r="G2543"/>
      <c r="U2543"/>
      <c r="V2543"/>
      <c r="W2543"/>
      <c r="X2543"/>
      <c r="Y2543"/>
      <c r="Z2543"/>
      <c r="AA2543"/>
      <c r="AB2543"/>
      <c r="AL2543"/>
      <c r="AM2543"/>
      <c r="AN2543"/>
      <c r="AO2543"/>
    </row>
    <row r="2544" spans="1:41" s="2" customFormat="1" x14ac:dyDescent="0.2">
      <c r="A2544"/>
      <c r="B2544"/>
      <c r="C2544"/>
      <c r="D2544"/>
      <c r="E2544"/>
      <c r="F2544"/>
      <c r="G2544"/>
      <c r="U2544"/>
      <c r="V2544"/>
      <c r="W2544"/>
      <c r="X2544"/>
      <c r="Y2544"/>
      <c r="Z2544"/>
      <c r="AA2544"/>
      <c r="AB2544"/>
      <c r="AL2544"/>
      <c r="AM2544"/>
      <c r="AN2544"/>
      <c r="AO2544"/>
    </row>
    <row r="2545" spans="1:41" s="2" customFormat="1" x14ac:dyDescent="0.2">
      <c r="A2545"/>
      <c r="B2545"/>
      <c r="C2545"/>
      <c r="D2545"/>
      <c r="E2545"/>
      <c r="F2545"/>
      <c r="G2545"/>
      <c r="U2545"/>
      <c r="V2545"/>
      <c r="W2545"/>
      <c r="X2545"/>
      <c r="Y2545"/>
      <c r="Z2545"/>
      <c r="AA2545"/>
      <c r="AB2545"/>
      <c r="AL2545"/>
      <c r="AM2545"/>
      <c r="AN2545"/>
      <c r="AO2545"/>
    </row>
    <row r="2546" spans="1:41" s="2" customFormat="1" x14ac:dyDescent="0.2">
      <c r="A2546"/>
      <c r="B2546"/>
      <c r="C2546"/>
      <c r="D2546"/>
      <c r="E2546"/>
      <c r="F2546"/>
      <c r="G2546"/>
      <c r="U2546"/>
      <c r="V2546"/>
      <c r="W2546"/>
      <c r="X2546"/>
      <c r="Y2546"/>
      <c r="Z2546"/>
      <c r="AA2546"/>
      <c r="AB2546"/>
      <c r="AL2546"/>
      <c r="AM2546"/>
      <c r="AN2546"/>
      <c r="AO2546"/>
    </row>
    <row r="2547" spans="1:41" s="2" customFormat="1" x14ac:dyDescent="0.2">
      <c r="A2547"/>
      <c r="B2547"/>
      <c r="C2547"/>
      <c r="D2547"/>
      <c r="E2547"/>
      <c r="F2547"/>
      <c r="G2547"/>
      <c r="U2547"/>
      <c r="V2547"/>
      <c r="W2547"/>
      <c r="X2547"/>
      <c r="Y2547"/>
      <c r="Z2547"/>
      <c r="AA2547"/>
      <c r="AB2547"/>
      <c r="AL2547"/>
      <c r="AM2547"/>
      <c r="AN2547"/>
      <c r="AO2547"/>
    </row>
    <row r="2548" spans="1:41" s="2" customFormat="1" x14ac:dyDescent="0.2">
      <c r="A2548"/>
      <c r="B2548"/>
      <c r="C2548"/>
      <c r="D2548"/>
      <c r="E2548"/>
      <c r="F2548"/>
      <c r="G2548"/>
      <c r="U2548"/>
      <c r="V2548"/>
      <c r="W2548"/>
      <c r="X2548"/>
      <c r="Y2548"/>
      <c r="Z2548"/>
      <c r="AA2548"/>
      <c r="AB2548"/>
      <c r="AL2548"/>
      <c r="AM2548"/>
      <c r="AN2548"/>
      <c r="AO2548"/>
    </row>
    <row r="2549" spans="1:41" s="2" customFormat="1" x14ac:dyDescent="0.2">
      <c r="A2549"/>
      <c r="B2549"/>
      <c r="C2549"/>
      <c r="D2549"/>
      <c r="E2549"/>
      <c r="F2549"/>
      <c r="G2549"/>
      <c r="U2549"/>
      <c r="V2549"/>
      <c r="W2549"/>
      <c r="X2549"/>
      <c r="Y2549"/>
      <c r="Z2549"/>
      <c r="AA2549"/>
      <c r="AB2549"/>
      <c r="AL2549"/>
      <c r="AM2549"/>
      <c r="AN2549"/>
      <c r="AO2549"/>
    </row>
    <row r="2550" spans="1:41" s="2" customFormat="1" x14ac:dyDescent="0.2">
      <c r="A2550"/>
      <c r="B2550"/>
      <c r="C2550"/>
      <c r="D2550"/>
      <c r="E2550"/>
      <c r="F2550"/>
      <c r="G2550"/>
      <c r="U2550"/>
      <c r="V2550"/>
      <c r="W2550"/>
      <c r="X2550"/>
      <c r="Y2550"/>
      <c r="Z2550"/>
      <c r="AA2550"/>
      <c r="AB2550"/>
      <c r="AL2550"/>
      <c r="AM2550"/>
      <c r="AN2550"/>
      <c r="AO2550"/>
    </row>
    <row r="2551" spans="1:41" s="2" customFormat="1" x14ac:dyDescent="0.2">
      <c r="A2551"/>
      <c r="B2551"/>
      <c r="C2551"/>
      <c r="D2551"/>
      <c r="E2551"/>
      <c r="F2551"/>
      <c r="G2551"/>
      <c r="U2551"/>
      <c r="V2551"/>
      <c r="W2551"/>
      <c r="X2551"/>
      <c r="Y2551"/>
      <c r="Z2551"/>
      <c r="AA2551"/>
      <c r="AB2551"/>
      <c r="AL2551"/>
      <c r="AM2551"/>
      <c r="AN2551"/>
      <c r="AO2551"/>
    </row>
    <row r="2552" spans="1:41" s="2" customFormat="1" x14ac:dyDescent="0.2">
      <c r="A2552"/>
      <c r="B2552"/>
      <c r="C2552"/>
      <c r="D2552"/>
      <c r="E2552"/>
      <c r="F2552"/>
      <c r="G2552"/>
      <c r="U2552"/>
      <c r="V2552"/>
      <c r="W2552"/>
      <c r="X2552"/>
      <c r="Y2552"/>
      <c r="Z2552"/>
      <c r="AA2552"/>
      <c r="AB2552"/>
      <c r="AL2552"/>
      <c r="AM2552"/>
      <c r="AN2552"/>
      <c r="AO2552"/>
    </row>
    <row r="2553" spans="1:41" s="2" customFormat="1" x14ac:dyDescent="0.2">
      <c r="A2553"/>
      <c r="B2553"/>
      <c r="C2553"/>
      <c r="D2553"/>
      <c r="E2553"/>
      <c r="F2553"/>
      <c r="G2553"/>
      <c r="U2553"/>
      <c r="V2553"/>
      <c r="W2553"/>
      <c r="X2553"/>
      <c r="Y2553"/>
      <c r="Z2553"/>
      <c r="AA2553"/>
      <c r="AB2553"/>
      <c r="AL2553"/>
      <c r="AM2553"/>
      <c r="AN2553"/>
      <c r="AO2553"/>
    </row>
    <row r="2554" spans="1:41" s="2" customFormat="1" x14ac:dyDescent="0.2">
      <c r="A2554"/>
      <c r="B2554"/>
      <c r="C2554"/>
      <c r="D2554"/>
      <c r="E2554"/>
      <c r="F2554"/>
      <c r="G2554"/>
      <c r="U2554"/>
      <c r="V2554"/>
      <c r="W2554"/>
      <c r="X2554"/>
      <c r="Y2554"/>
      <c r="Z2554"/>
      <c r="AA2554"/>
      <c r="AB2554"/>
      <c r="AL2554"/>
      <c r="AM2554"/>
      <c r="AN2554"/>
      <c r="AO2554"/>
    </row>
    <row r="2555" spans="1:41" s="2" customFormat="1" x14ac:dyDescent="0.2">
      <c r="A2555"/>
      <c r="B2555"/>
      <c r="C2555"/>
      <c r="D2555"/>
      <c r="E2555"/>
      <c r="F2555"/>
      <c r="G2555"/>
      <c r="U2555"/>
      <c r="V2555"/>
      <c r="W2555"/>
      <c r="X2555"/>
      <c r="Y2555"/>
      <c r="Z2555"/>
      <c r="AA2555"/>
      <c r="AB2555"/>
      <c r="AL2555"/>
      <c r="AM2555"/>
      <c r="AN2555"/>
      <c r="AO2555"/>
    </row>
    <row r="2556" spans="1:41" s="2" customFormat="1" x14ac:dyDescent="0.2">
      <c r="A2556"/>
      <c r="B2556"/>
      <c r="C2556"/>
      <c r="D2556"/>
      <c r="E2556"/>
      <c r="F2556"/>
      <c r="G2556"/>
      <c r="U2556"/>
      <c r="V2556"/>
      <c r="W2556"/>
      <c r="X2556"/>
      <c r="Y2556"/>
      <c r="Z2556"/>
      <c r="AA2556"/>
      <c r="AB2556"/>
      <c r="AL2556"/>
      <c r="AM2556"/>
      <c r="AN2556"/>
      <c r="AO2556"/>
    </row>
    <row r="2557" spans="1:41" s="2" customFormat="1" x14ac:dyDescent="0.2">
      <c r="A2557"/>
      <c r="B2557"/>
      <c r="C2557"/>
      <c r="D2557"/>
      <c r="E2557"/>
      <c r="F2557"/>
      <c r="G2557"/>
      <c r="U2557"/>
      <c r="V2557"/>
      <c r="W2557"/>
      <c r="X2557"/>
      <c r="Y2557"/>
      <c r="Z2557"/>
      <c r="AA2557"/>
      <c r="AB2557"/>
      <c r="AL2557"/>
      <c r="AM2557"/>
      <c r="AN2557"/>
      <c r="AO2557"/>
    </row>
    <row r="2558" spans="1:41" s="2" customFormat="1" x14ac:dyDescent="0.2">
      <c r="A2558"/>
      <c r="B2558"/>
      <c r="C2558"/>
      <c r="D2558"/>
      <c r="E2558"/>
      <c r="F2558"/>
      <c r="G2558"/>
      <c r="U2558"/>
      <c r="V2558"/>
      <c r="W2558"/>
      <c r="X2558"/>
      <c r="Y2558"/>
      <c r="Z2558"/>
      <c r="AA2558"/>
      <c r="AB2558"/>
      <c r="AL2558"/>
      <c r="AM2558"/>
      <c r="AN2558"/>
      <c r="AO2558"/>
    </row>
    <row r="2559" spans="1:41" s="2" customFormat="1" x14ac:dyDescent="0.2">
      <c r="A2559"/>
      <c r="B2559"/>
      <c r="C2559"/>
      <c r="D2559"/>
      <c r="E2559"/>
      <c r="F2559"/>
      <c r="G2559"/>
      <c r="U2559"/>
      <c r="V2559"/>
      <c r="W2559"/>
      <c r="X2559"/>
      <c r="Y2559"/>
      <c r="Z2559"/>
      <c r="AA2559"/>
      <c r="AB2559"/>
      <c r="AL2559"/>
      <c r="AM2559"/>
      <c r="AN2559"/>
      <c r="AO2559"/>
    </row>
    <row r="2560" spans="1:41" s="2" customFormat="1" x14ac:dyDescent="0.2">
      <c r="A2560"/>
      <c r="B2560"/>
      <c r="C2560"/>
      <c r="D2560"/>
      <c r="E2560"/>
      <c r="F2560"/>
      <c r="G2560"/>
      <c r="U2560"/>
      <c r="V2560"/>
      <c r="W2560"/>
      <c r="X2560"/>
      <c r="Y2560"/>
      <c r="Z2560"/>
      <c r="AA2560"/>
      <c r="AB2560"/>
      <c r="AL2560"/>
      <c r="AM2560"/>
      <c r="AN2560"/>
      <c r="AO2560"/>
    </row>
    <row r="2561" spans="1:41" s="2" customFormat="1" x14ac:dyDescent="0.2">
      <c r="A2561"/>
      <c r="B2561"/>
      <c r="C2561"/>
      <c r="D2561"/>
      <c r="E2561"/>
      <c r="F2561"/>
      <c r="G2561"/>
      <c r="U2561"/>
      <c r="V2561"/>
      <c r="W2561"/>
      <c r="X2561"/>
      <c r="Y2561"/>
      <c r="Z2561"/>
      <c r="AA2561"/>
      <c r="AB2561"/>
      <c r="AL2561"/>
      <c r="AM2561"/>
      <c r="AN2561"/>
      <c r="AO2561"/>
    </row>
    <row r="2562" spans="1:41" s="2" customFormat="1" x14ac:dyDescent="0.2">
      <c r="A2562"/>
      <c r="B2562"/>
      <c r="C2562"/>
      <c r="D2562"/>
      <c r="E2562"/>
      <c r="F2562"/>
      <c r="G2562"/>
      <c r="U2562"/>
      <c r="V2562"/>
      <c r="W2562"/>
      <c r="X2562"/>
      <c r="Y2562"/>
      <c r="Z2562"/>
      <c r="AA2562"/>
      <c r="AB2562"/>
      <c r="AL2562"/>
      <c r="AM2562"/>
      <c r="AN2562"/>
      <c r="AO2562"/>
    </row>
    <row r="2563" spans="1:41" s="2" customFormat="1" x14ac:dyDescent="0.2">
      <c r="A2563"/>
      <c r="B2563"/>
      <c r="C2563"/>
      <c r="D2563"/>
      <c r="E2563"/>
      <c r="F2563"/>
      <c r="G2563"/>
      <c r="U2563"/>
      <c r="V2563"/>
      <c r="W2563"/>
      <c r="X2563"/>
      <c r="Y2563"/>
      <c r="Z2563"/>
      <c r="AA2563"/>
      <c r="AB2563"/>
      <c r="AL2563"/>
      <c r="AM2563"/>
      <c r="AN2563"/>
      <c r="AO2563"/>
    </row>
    <row r="2564" spans="1:41" s="2" customFormat="1" x14ac:dyDescent="0.2">
      <c r="A2564"/>
      <c r="B2564"/>
      <c r="C2564"/>
      <c r="D2564"/>
      <c r="E2564"/>
      <c r="F2564"/>
      <c r="G2564"/>
      <c r="U2564"/>
      <c r="V2564"/>
      <c r="W2564"/>
      <c r="X2564"/>
      <c r="Y2564"/>
      <c r="Z2564"/>
      <c r="AA2564"/>
      <c r="AB2564"/>
      <c r="AL2564"/>
      <c r="AM2564"/>
      <c r="AN2564"/>
      <c r="AO2564"/>
    </row>
    <row r="2565" spans="1:41" s="2" customFormat="1" x14ac:dyDescent="0.2">
      <c r="A2565"/>
      <c r="B2565"/>
      <c r="C2565"/>
      <c r="D2565"/>
      <c r="E2565"/>
      <c r="F2565"/>
      <c r="G2565"/>
      <c r="U2565"/>
      <c r="V2565"/>
      <c r="W2565"/>
      <c r="X2565"/>
      <c r="Y2565"/>
      <c r="Z2565"/>
      <c r="AA2565"/>
      <c r="AB2565"/>
      <c r="AL2565"/>
      <c r="AM2565"/>
      <c r="AN2565"/>
      <c r="AO2565"/>
    </row>
    <row r="2566" spans="1:41" s="2" customFormat="1" x14ac:dyDescent="0.2">
      <c r="A2566"/>
      <c r="B2566"/>
      <c r="C2566"/>
      <c r="D2566"/>
      <c r="E2566"/>
      <c r="F2566"/>
      <c r="G2566"/>
      <c r="U2566"/>
      <c r="V2566"/>
      <c r="W2566"/>
      <c r="X2566"/>
      <c r="Y2566"/>
      <c r="Z2566"/>
      <c r="AA2566"/>
      <c r="AB2566"/>
      <c r="AL2566"/>
      <c r="AM2566"/>
      <c r="AN2566"/>
      <c r="AO2566"/>
    </row>
    <row r="2567" spans="1:41" s="2" customFormat="1" x14ac:dyDescent="0.2">
      <c r="A2567"/>
      <c r="B2567"/>
      <c r="C2567"/>
      <c r="D2567"/>
      <c r="E2567"/>
      <c r="F2567"/>
      <c r="G2567"/>
      <c r="U2567"/>
      <c r="V2567"/>
      <c r="W2567"/>
      <c r="X2567"/>
      <c r="Y2567"/>
      <c r="Z2567"/>
      <c r="AA2567"/>
      <c r="AB2567"/>
      <c r="AL2567"/>
      <c r="AM2567"/>
      <c r="AN2567"/>
      <c r="AO2567"/>
    </row>
    <row r="2568" spans="1:41" s="2" customFormat="1" x14ac:dyDescent="0.2">
      <c r="A2568"/>
      <c r="B2568"/>
      <c r="C2568"/>
      <c r="D2568"/>
      <c r="E2568"/>
      <c r="F2568"/>
      <c r="G2568"/>
      <c r="U2568"/>
      <c r="V2568"/>
      <c r="W2568"/>
      <c r="X2568"/>
      <c r="Y2568"/>
      <c r="Z2568"/>
      <c r="AA2568"/>
      <c r="AB2568"/>
      <c r="AL2568"/>
      <c r="AM2568"/>
      <c r="AN2568"/>
      <c r="AO2568"/>
    </row>
    <row r="2569" spans="1:41" s="2" customFormat="1" x14ac:dyDescent="0.2">
      <c r="A2569"/>
      <c r="B2569"/>
      <c r="C2569"/>
      <c r="D2569"/>
      <c r="E2569"/>
      <c r="F2569"/>
      <c r="G2569"/>
      <c r="U2569"/>
      <c r="V2569"/>
      <c r="W2569"/>
      <c r="X2569"/>
      <c r="Y2569"/>
      <c r="Z2569"/>
      <c r="AA2569"/>
      <c r="AB2569"/>
      <c r="AL2569"/>
      <c r="AM2569"/>
      <c r="AN2569"/>
      <c r="AO2569"/>
    </row>
    <row r="2570" spans="1:41" s="2" customFormat="1" x14ac:dyDescent="0.2">
      <c r="A2570"/>
      <c r="B2570"/>
      <c r="C2570"/>
      <c r="D2570"/>
      <c r="E2570"/>
      <c r="F2570"/>
      <c r="G2570"/>
      <c r="U2570"/>
      <c r="V2570"/>
      <c r="W2570"/>
      <c r="X2570"/>
      <c r="Y2570"/>
      <c r="Z2570"/>
      <c r="AA2570"/>
      <c r="AB2570"/>
      <c r="AL2570"/>
      <c r="AM2570"/>
      <c r="AN2570"/>
      <c r="AO2570"/>
    </row>
    <row r="2571" spans="1:41" s="2" customFormat="1" x14ac:dyDescent="0.2">
      <c r="A2571"/>
      <c r="B2571"/>
      <c r="C2571"/>
      <c r="D2571"/>
      <c r="E2571"/>
      <c r="F2571"/>
      <c r="G2571"/>
      <c r="U2571"/>
      <c r="V2571"/>
      <c r="W2571"/>
      <c r="X2571"/>
      <c r="Y2571"/>
      <c r="Z2571"/>
      <c r="AA2571"/>
      <c r="AB2571"/>
      <c r="AL2571"/>
      <c r="AM2571"/>
      <c r="AN2571"/>
      <c r="AO2571"/>
    </row>
    <row r="2572" spans="1:41" s="2" customFormat="1" x14ac:dyDescent="0.2">
      <c r="A2572"/>
      <c r="B2572"/>
      <c r="C2572"/>
      <c r="D2572"/>
      <c r="E2572"/>
      <c r="F2572"/>
      <c r="G2572"/>
      <c r="U2572"/>
      <c r="V2572"/>
      <c r="W2572"/>
      <c r="X2572"/>
      <c r="Y2572"/>
      <c r="Z2572"/>
      <c r="AA2572"/>
      <c r="AB2572"/>
      <c r="AL2572"/>
      <c r="AM2572"/>
      <c r="AN2572"/>
      <c r="AO2572"/>
    </row>
    <row r="2573" spans="1:41" s="2" customFormat="1" x14ac:dyDescent="0.2">
      <c r="A2573"/>
      <c r="B2573"/>
      <c r="C2573"/>
      <c r="D2573"/>
      <c r="E2573"/>
      <c r="F2573"/>
      <c r="G2573"/>
      <c r="U2573"/>
      <c r="V2573"/>
      <c r="W2573"/>
      <c r="X2573"/>
      <c r="Y2573"/>
      <c r="Z2573"/>
      <c r="AA2573"/>
      <c r="AB2573"/>
      <c r="AL2573"/>
      <c r="AM2573"/>
      <c r="AN2573"/>
      <c r="AO2573"/>
    </row>
    <row r="2574" spans="1:41" s="2" customFormat="1" x14ac:dyDescent="0.2">
      <c r="A2574"/>
      <c r="B2574"/>
      <c r="C2574"/>
      <c r="D2574"/>
      <c r="E2574"/>
      <c r="F2574"/>
      <c r="G2574"/>
      <c r="U2574"/>
      <c r="V2574"/>
      <c r="W2574"/>
      <c r="X2574"/>
      <c r="Y2574"/>
      <c r="Z2574"/>
      <c r="AA2574"/>
      <c r="AB2574"/>
      <c r="AL2574"/>
      <c r="AM2574"/>
      <c r="AN2574"/>
      <c r="AO2574"/>
    </row>
    <row r="2575" spans="1:41" s="2" customFormat="1" x14ac:dyDescent="0.2">
      <c r="A2575"/>
      <c r="B2575"/>
      <c r="C2575"/>
      <c r="D2575"/>
      <c r="E2575"/>
      <c r="F2575"/>
      <c r="G2575"/>
      <c r="U2575"/>
      <c r="V2575"/>
      <c r="W2575"/>
      <c r="X2575"/>
      <c r="Y2575"/>
      <c r="Z2575"/>
      <c r="AA2575"/>
      <c r="AB2575"/>
      <c r="AL2575"/>
      <c r="AM2575"/>
      <c r="AN2575"/>
      <c r="AO2575"/>
    </row>
    <row r="2576" spans="1:41" s="2" customFormat="1" x14ac:dyDescent="0.2">
      <c r="A2576"/>
      <c r="B2576"/>
      <c r="C2576"/>
      <c r="D2576"/>
      <c r="E2576"/>
      <c r="F2576"/>
      <c r="G2576"/>
      <c r="U2576"/>
      <c r="V2576"/>
      <c r="W2576"/>
      <c r="X2576"/>
      <c r="Y2576"/>
      <c r="Z2576"/>
      <c r="AA2576"/>
      <c r="AB2576"/>
      <c r="AL2576"/>
      <c r="AM2576"/>
      <c r="AN2576"/>
      <c r="AO2576"/>
    </row>
    <row r="2577" spans="1:41" s="2" customFormat="1" x14ac:dyDescent="0.2">
      <c r="A2577"/>
      <c r="B2577"/>
      <c r="C2577"/>
      <c r="D2577"/>
      <c r="E2577"/>
      <c r="F2577"/>
      <c r="G2577"/>
      <c r="U2577"/>
      <c r="V2577"/>
      <c r="W2577"/>
      <c r="X2577"/>
      <c r="Y2577"/>
      <c r="Z2577"/>
      <c r="AA2577"/>
      <c r="AB2577"/>
      <c r="AL2577"/>
      <c r="AM2577"/>
      <c r="AN2577"/>
      <c r="AO2577"/>
    </row>
    <row r="2578" spans="1:41" s="2" customFormat="1" x14ac:dyDescent="0.2">
      <c r="A2578"/>
      <c r="B2578"/>
      <c r="C2578"/>
      <c r="D2578"/>
      <c r="E2578"/>
      <c r="F2578"/>
      <c r="G2578"/>
      <c r="U2578"/>
      <c r="V2578"/>
      <c r="W2578"/>
      <c r="X2578"/>
      <c r="Y2578"/>
      <c r="Z2578"/>
      <c r="AA2578"/>
      <c r="AB2578"/>
      <c r="AL2578"/>
      <c r="AM2578"/>
      <c r="AN2578"/>
      <c r="AO2578"/>
    </row>
    <row r="2579" spans="1:41" s="2" customFormat="1" x14ac:dyDescent="0.2">
      <c r="A2579"/>
      <c r="B2579"/>
      <c r="C2579"/>
      <c r="D2579"/>
      <c r="E2579"/>
      <c r="F2579"/>
      <c r="G2579"/>
      <c r="U2579"/>
      <c r="V2579"/>
      <c r="W2579"/>
      <c r="X2579"/>
      <c r="Y2579"/>
      <c r="Z2579"/>
      <c r="AA2579"/>
      <c r="AB2579"/>
      <c r="AL2579"/>
      <c r="AM2579"/>
      <c r="AN2579"/>
      <c r="AO2579"/>
    </row>
    <row r="2580" spans="1:41" s="2" customFormat="1" x14ac:dyDescent="0.2">
      <c r="A2580"/>
      <c r="B2580"/>
      <c r="C2580"/>
      <c r="D2580"/>
      <c r="E2580"/>
      <c r="F2580"/>
      <c r="G2580"/>
      <c r="U2580"/>
      <c r="V2580"/>
      <c r="W2580"/>
      <c r="X2580"/>
      <c r="Y2580"/>
      <c r="Z2580"/>
      <c r="AA2580"/>
      <c r="AB2580"/>
      <c r="AL2580"/>
      <c r="AM2580"/>
      <c r="AN2580"/>
      <c r="AO2580"/>
    </row>
    <row r="2581" spans="1:41" s="2" customFormat="1" x14ac:dyDescent="0.2">
      <c r="A2581"/>
      <c r="B2581"/>
      <c r="C2581"/>
      <c r="D2581"/>
      <c r="E2581"/>
      <c r="F2581"/>
      <c r="G2581"/>
      <c r="U2581"/>
      <c r="V2581"/>
      <c r="W2581"/>
      <c r="X2581"/>
      <c r="Y2581"/>
      <c r="Z2581"/>
      <c r="AA2581"/>
      <c r="AB2581"/>
      <c r="AL2581"/>
      <c r="AM2581"/>
      <c r="AN2581"/>
      <c r="AO2581"/>
    </row>
    <row r="2582" spans="1:41" s="2" customFormat="1" x14ac:dyDescent="0.2">
      <c r="A2582"/>
      <c r="B2582"/>
      <c r="C2582"/>
      <c r="D2582"/>
      <c r="E2582"/>
      <c r="F2582"/>
      <c r="G2582"/>
      <c r="U2582"/>
      <c r="V2582"/>
      <c r="W2582"/>
      <c r="X2582"/>
      <c r="Y2582"/>
      <c r="Z2582"/>
      <c r="AA2582"/>
      <c r="AB2582"/>
      <c r="AL2582"/>
      <c r="AM2582"/>
      <c r="AN2582"/>
      <c r="AO2582"/>
    </row>
    <row r="2583" spans="1:41" s="2" customFormat="1" x14ac:dyDescent="0.2">
      <c r="A2583"/>
      <c r="B2583"/>
      <c r="C2583"/>
      <c r="D2583"/>
      <c r="E2583"/>
      <c r="F2583"/>
      <c r="G2583"/>
      <c r="U2583"/>
      <c r="V2583"/>
      <c r="W2583"/>
      <c r="X2583"/>
      <c r="Y2583"/>
      <c r="Z2583"/>
      <c r="AA2583"/>
      <c r="AB2583"/>
      <c r="AL2583"/>
      <c r="AM2583"/>
      <c r="AN2583"/>
      <c r="AO2583"/>
    </row>
    <row r="2584" spans="1:41" s="2" customFormat="1" x14ac:dyDescent="0.2">
      <c r="A2584"/>
      <c r="B2584"/>
      <c r="C2584"/>
      <c r="D2584"/>
      <c r="E2584"/>
      <c r="F2584"/>
      <c r="G2584"/>
      <c r="U2584"/>
      <c r="V2584"/>
      <c r="W2584"/>
      <c r="X2584"/>
      <c r="Y2584"/>
      <c r="Z2584"/>
      <c r="AA2584"/>
      <c r="AB2584"/>
      <c r="AL2584"/>
      <c r="AM2584"/>
      <c r="AN2584"/>
      <c r="AO2584"/>
    </row>
    <row r="2585" spans="1:41" s="2" customFormat="1" x14ac:dyDescent="0.2">
      <c r="A2585"/>
      <c r="B2585"/>
      <c r="C2585"/>
      <c r="D2585"/>
      <c r="E2585"/>
      <c r="F2585"/>
      <c r="G2585"/>
      <c r="U2585"/>
      <c r="V2585"/>
      <c r="W2585"/>
      <c r="X2585"/>
      <c r="Y2585"/>
      <c r="Z2585"/>
      <c r="AA2585"/>
      <c r="AB2585"/>
      <c r="AL2585"/>
      <c r="AM2585"/>
      <c r="AN2585"/>
      <c r="AO2585"/>
    </row>
    <row r="2586" spans="1:41" s="2" customFormat="1" x14ac:dyDescent="0.2">
      <c r="A2586"/>
      <c r="B2586"/>
      <c r="C2586"/>
      <c r="D2586"/>
      <c r="E2586"/>
      <c r="F2586"/>
      <c r="G2586"/>
      <c r="U2586"/>
      <c r="V2586"/>
      <c r="W2586"/>
      <c r="X2586"/>
      <c r="Y2586"/>
      <c r="Z2586"/>
      <c r="AA2586"/>
      <c r="AB2586"/>
      <c r="AL2586"/>
      <c r="AM2586"/>
      <c r="AN2586"/>
      <c r="AO2586"/>
    </row>
    <row r="2587" spans="1:41" s="2" customFormat="1" x14ac:dyDescent="0.2">
      <c r="A2587"/>
      <c r="B2587"/>
      <c r="C2587"/>
      <c r="D2587"/>
      <c r="E2587"/>
      <c r="F2587"/>
      <c r="G2587"/>
      <c r="U2587"/>
      <c r="V2587"/>
      <c r="W2587"/>
      <c r="X2587"/>
      <c r="Y2587"/>
      <c r="Z2587"/>
      <c r="AA2587"/>
      <c r="AB2587"/>
      <c r="AL2587"/>
      <c r="AM2587"/>
      <c r="AN2587"/>
      <c r="AO2587"/>
    </row>
    <row r="2588" spans="1:41" s="2" customFormat="1" x14ac:dyDescent="0.2">
      <c r="A2588"/>
      <c r="B2588"/>
      <c r="C2588"/>
      <c r="D2588"/>
      <c r="E2588"/>
      <c r="F2588"/>
      <c r="G2588"/>
      <c r="U2588"/>
      <c r="V2588"/>
      <c r="W2588"/>
      <c r="X2588"/>
      <c r="Y2588"/>
      <c r="Z2588"/>
      <c r="AA2588"/>
      <c r="AB2588"/>
      <c r="AL2588"/>
      <c r="AM2588"/>
      <c r="AN2588"/>
      <c r="AO2588"/>
    </row>
    <row r="2589" spans="1:41" s="2" customFormat="1" x14ac:dyDescent="0.2">
      <c r="A2589"/>
      <c r="B2589"/>
      <c r="C2589"/>
      <c r="D2589"/>
      <c r="E2589"/>
      <c r="F2589"/>
      <c r="G2589"/>
      <c r="U2589"/>
      <c r="V2589"/>
      <c r="W2589"/>
      <c r="X2589"/>
      <c r="Y2589"/>
      <c r="Z2589"/>
      <c r="AA2589"/>
      <c r="AB2589"/>
      <c r="AL2589"/>
      <c r="AM2589"/>
      <c r="AN2589"/>
      <c r="AO2589"/>
    </row>
    <row r="2590" spans="1:41" s="2" customFormat="1" x14ac:dyDescent="0.2">
      <c r="A2590"/>
      <c r="B2590"/>
      <c r="C2590"/>
      <c r="D2590"/>
      <c r="E2590"/>
      <c r="F2590"/>
      <c r="G2590"/>
      <c r="U2590"/>
      <c r="V2590"/>
      <c r="W2590"/>
      <c r="X2590"/>
      <c r="Y2590"/>
      <c r="Z2590"/>
      <c r="AA2590"/>
      <c r="AB2590"/>
      <c r="AL2590"/>
      <c r="AM2590"/>
      <c r="AN2590"/>
      <c r="AO2590"/>
    </row>
    <row r="2591" spans="1:41" s="2" customFormat="1" x14ac:dyDescent="0.2">
      <c r="A2591"/>
      <c r="B2591"/>
      <c r="C2591"/>
      <c r="D2591"/>
      <c r="E2591"/>
      <c r="F2591"/>
      <c r="G2591"/>
      <c r="U2591"/>
      <c r="V2591"/>
      <c r="W2591"/>
      <c r="X2591"/>
      <c r="Y2591"/>
      <c r="Z2591"/>
      <c r="AA2591"/>
      <c r="AB2591"/>
      <c r="AL2591"/>
      <c r="AM2591"/>
      <c r="AN2591"/>
      <c r="AO2591"/>
    </row>
    <row r="2592" spans="1:41" s="2" customFormat="1" x14ac:dyDescent="0.2">
      <c r="A2592"/>
      <c r="B2592"/>
      <c r="C2592"/>
      <c r="D2592"/>
      <c r="E2592"/>
      <c r="F2592"/>
      <c r="G2592"/>
      <c r="U2592"/>
      <c r="V2592"/>
      <c r="W2592"/>
      <c r="X2592"/>
      <c r="Y2592"/>
      <c r="Z2592"/>
      <c r="AA2592"/>
      <c r="AB2592"/>
      <c r="AL2592"/>
      <c r="AM2592"/>
      <c r="AN2592"/>
      <c r="AO2592"/>
    </row>
    <row r="2593" spans="1:41" s="2" customFormat="1" x14ac:dyDescent="0.2">
      <c r="A2593"/>
      <c r="B2593"/>
      <c r="C2593"/>
      <c r="D2593"/>
      <c r="E2593"/>
      <c r="F2593"/>
      <c r="G2593"/>
      <c r="U2593"/>
      <c r="V2593"/>
      <c r="W2593"/>
      <c r="X2593"/>
      <c r="Y2593"/>
      <c r="Z2593"/>
      <c r="AA2593"/>
      <c r="AB2593"/>
      <c r="AL2593"/>
      <c r="AM2593"/>
      <c r="AN2593"/>
      <c r="AO2593"/>
    </row>
    <row r="2594" spans="1:41" s="2" customFormat="1" x14ac:dyDescent="0.2">
      <c r="A2594"/>
      <c r="B2594"/>
      <c r="C2594"/>
      <c r="D2594"/>
      <c r="E2594"/>
      <c r="F2594"/>
      <c r="G2594"/>
      <c r="U2594"/>
      <c r="V2594"/>
      <c r="W2594"/>
      <c r="X2594"/>
      <c r="Y2594"/>
      <c r="Z2594"/>
      <c r="AA2594"/>
      <c r="AB2594"/>
      <c r="AL2594"/>
      <c r="AM2594"/>
      <c r="AN2594"/>
      <c r="AO2594"/>
    </row>
    <row r="2595" spans="1:41" s="2" customFormat="1" x14ac:dyDescent="0.2">
      <c r="A2595"/>
      <c r="B2595"/>
      <c r="C2595"/>
      <c r="D2595"/>
      <c r="E2595"/>
      <c r="F2595"/>
      <c r="G2595"/>
      <c r="U2595"/>
      <c r="V2595"/>
      <c r="W2595"/>
      <c r="X2595"/>
      <c r="Y2595"/>
      <c r="Z2595"/>
      <c r="AA2595"/>
      <c r="AB2595"/>
      <c r="AL2595"/>
      <c r="AM2595"/>
      <c r="AN2595"/>
      <c r="AO2595"/>
    </row>
    <row r="2596" spans="1:41" s="2" customFormat="1" x14ac:dyDescent="0.2">
      <c r="A2596"/>
      <c r="B2596"/>
      <c r="C2596"/>
      <c r="D2596"/>
      <c r="E2596"/>
      <c r="F2596"/>
      <c r="G2596"/>
      <c r="U2596"/>
      <c r="V2596"/>
      <c r="W2596"/>
      <c r="X2596"/>
      <c r="Y2596"/>
      <c r="Z2596"/>
      <c r="AA2596"/>
      <c r="AB2596"/>
      <c r="AL2596"/>
      <c r="AM2596"/>
      <c r="AN2596"/>
      <c r="AO2596"/>
    </row>
    <row r="2597" spans="1:41" s="2" customFormat="1" x14ac:dyDescent="0.2">
      <c r="A2597"/>
      <c r="B2597"/>
      <c r="C2597"/>
      <c r="D2597"/>
      <c r="E2597"/>
      <c r="F2597"/>
      <c r="G2597"/>
      <c r="U2597"/>
      <c r="V2597"/>
      <c r="W2597"/>
      <c r="X2597"/>
      <c r="Y2597"/>
      <c r="Z2597"/>
      <c r="AA2597"/>
      <c r="AB2597"/>
      <c r="AL2597"/>
      <c r="AM2597"/>
      <c r="AN2597"/>
      <c r="AO2597"/>
    </row>
    <row r="2598" spans="1:41" s="2" customFormat="1" x14ac:dyDescent="0.2">
      <c r="A2598"/>
      <c r="B2598"/>
      <c r="C2598"/>
      <c r="D2598"/>
      <c r="E2598"/>
      <c r="F2598"/>
      <c r="G2598"/>
      <c r="U2598"/>
      <c r="V2598"/>
      <c r="W2598"/>
      <c r="X2598"/>
      <c r="Y2598"/>
      <c r="Z2598"/>
      <c r="AA2598"/>
      <c r="AB2598"/>
      <c r="AL2598"/>
      <c r="AM2598"/>
      <c r="AN2598"/>
      <c r="AO2598"/>
    </row>
    <row r="2599" spans="1:41" s="2" customFormat="1" x14ac:dyDescent="0.2">
      <c r="A2599"/>
      <c r="B2599"/>
      <c r="C2599"/>
      <c r="D2599"/>
      <c r="E2599"/>
      <c r="F2599"/>
      <c r="G2599"/>
      <c r="U2599"/>
      <c r="V2599"/>
      <c r="W2599"/>
      <c r="X2599"/>
      <c r="Y2599"/>
      <c r="Z2599"/>
      <c r="AA2599"/>
      <c r="AB2599"/>
      <c r="AL2599"/>
      <c r="AM2599"/>
      <c r="AN2599"/>
      <c r="AO2599"/>
    </row>
    <row r="2600" spans="1:41" s="2" customFormat="1" x14ac:dyDescent="0.2">
      <c r="A2600"/>
      <c r="B2600"/>
      <c r="C2600"/>
      <c r="D2600"/>
      <c r="E2600"/>
      <c r="F2600"/>
      <c r="G2600"/>
      <c r="U2600"/>
      <c r="V2600"/>
      <c r="W2600"/>
      <c r="X2600"/>
      <c r="Y2600"/>
      <c r="Z2600"/>
      <c r="AA2600"/>
      <c r="AB2600"/>
      <c r="AL2600"/>
      <c r="AM2600"/>
      <c r="AN2600"/>
      <c r="AO2600"/>
    </row>
    <row r="2601" spans="1:41" s="2" customFormat="1" x14ac:dyDescent="0.2">
      <c r="A2601"/>
      <c r="B2601"/>
      <c r="C2601"/>
      <c r="D2601"/>
      <c r="E2601"/>
      <c r="F2601"/>
      <c r="G2601"/>
      <c r="U2601"/>
      <c r="V2601"/>
      <c r="W2601"/>
      <c r="X2601"/>
      <c r="Y2601"/>
      <c r="Z2601"/>
      <c r="AA2601"/>
      <c r="AB2601"/>
      <c r="AL2601"/>
      <c r="AM2601"/>
      <c r="AN2601"/>
      <c r="AO2601"/>
    </row>
    <row r="2602" spans="1:41" s="2" customFormat="1" x14ac:dyDescent="0.2">
      <c r="A2602"/>
      <c r="B2602"/>
      <c r="C2602"/>
      <c r="D2602"/>
      <c r="E2602"/>
      <c r="F2602"/>
      <c r="G2602"/>
      <c r="U2602"/>
      <c r="V2602"/>
      <c r="W2602"/>
      <c r="X2602"/>
      <c r="Y2602"/>
      <c r="Z2602"/>
      <c r="AA2602"/>
      <c r="AB2602"/>
      <c r="AL2602"/>
      <c r="AM2602"/>
      <c r="AN2602"/>
      <c r="AO2602"/>
    </row>
    <row r="2603" spans="1:41" s="2" customFormat="1" x14ac:dyDescent="0.2">
      <c r="A2603"/>
      <c r="B2603"/>
      <c r="C2603"/>
      <c r="D2603"/>
      <c r="E2603"/>
      <c r="F2603"/>
      <c r="G2603"/>
      <c r="U2603"/>
      <c r="V2603"/>
      <c r="W2603"/>
      <c r="X2603"/>
      <c r="Y2603"/>
      <c r="Z2603"/>
      <c r="AA2603"/>
      <c r="AB2603"/>
      <c r="AL2603"/>
      <c r="AM2603"/>
      <c r="AN2603"/>
      <c r="AO2603"/>
    </row>
    <row r="2604" spans="1:41" s="2" customFormat="1" x14ac:dyDescent="0.2">
      <c r="A2604"/>
      <c r="B2604"/>
      <c r="C2604"/>
      <c r="D2604"/>
      <c r="E2604"/>
      <c r="F2604"/>
      <c r="G2604"/>
      <c r="U2604"/>
      <c r="V2604"/>
      <c r="W2604"/>
      <c r="X2604"/>
      <c r="Y2604"/>
      <c r="Z2604"/>
      <c r="AA2604"/>
      <c r="AB2604"/>
      <c r="AL2604"/>
      <c r="AM2604"/>
      <c r="AN2604"/>
      <c r="AO2604"/>
    </row>
    <row r="2605" spans="1:41" s="2" customFormat="1" x14ac:dyDescent="0.2">
      <c r="A2605"/>
      <c r="B2605"/>
      <c r="C2605"/>
      <c r="D2605"/>
      <c r="E2605"/>
      <c r="F2605"/>
      <c r="G2605"/>
      <c r="U2605"/>
      <c r="V2605"/>
      <c r="W2605"/>
      <c r="X2605"/>
      <c r="Y2605"/>
      <c r="Z2605"/>
      <c r="AA2605"/>
      <c r="AB2605"/>
      <c r="AL2605"/>
      <c r="AM2605"/>
      <c r="AN2605"/>
      <c r="AO2605"/>
    </row>
    <row r="2606" spans="1:41" s="2" customFormat="1" x14ac:dyDescent="0.2">
      <c r="A2606"/>
      <c r="B2606"/>
      <c r="C2606"/>
      <c r="D2606"/>
      <c r="E2606"/>
      <c r="F2606"/>
      <c r="G2606"/>
      <c r="U2606"/>
      <c r="V2606"/>
      <c r="W2606"/>
      <c r="X2606"/>
      <c r="Y2606"/>
      <c r="Z2606"/>
      <c r="AA2606"/>
      <c r="AB2606"/>
      <c r="AL2606"/>
      <c r="AM2606"/>
      <c r="AN2606"/>
      <c r="AO2606"/>
    </row>
    <row r="2607" spans="1:41" s="2" customFormat="1" x14ac:dyDescent="0.2">
      <c r="A2607"/>
      <c r="B2607"/>
      <c r="C2607"/>
      <c r="D2607"/>
      <c r="E2607"/>
      <c r="F2607"/>
      <c r="G2607"/>
      <c r="U2607"/>
      <c r="V2607"/>
      <c r="W2607"/>
      <c r="X2607"/>
      <c r="Y2607"/>
      <c r="Z2607"/>
      <c r="AA2607"/>
      <c r="AB2607"/>
      <c r="AL2607"/>
      <c r="AM2607"/>
      <c r="AN2607"/>
      <c r="AO2607"/>
    </row>
    <row r="2608" spans="1:41" s="2" customFormat="1" x14ac:dyDescent="0.2">
      <c r="A2608"/>
      <c r="B2608"/>
      <c r="C2608"/>
      <c r="D2608"/>
      <c r="E2608"/>
      <c r="F2608"/>
      <c r="G2608"/>
      <c r="U2608"/>
      <c r="V2608"/>
      <c r="W2608"/>
      <c r="X2608"/>
      <c r="Y2608"/>
      <c r="Z2608"/>
      <c r="AA2608"/>
      <c r="AB2608"/>
      <c r="AL2608"/>
      <c r="AM2608"/>
      <c r="AN2608"/>
      <c r="AO2608"/>
    </row>
    <row r="2609" spans="1:41" s="2" customFormat="1" x14ac:dyDescent="0.2">
      <c r="A2609"/>
      <c r="B2609"/>
      <c r="C2609"/>
      <c r="D2609"/>
      <c r="E2609"/>
      <c r="F2609"/>
      <c r="G2609"/>
      <c r="U2609"/>
      <c r="V2609"/>
      <c r="W2609"/>
      <c r="X2609"/>
      <c r="Y2609"/>
      <c r="Z2609"/>
      <c r="AA2609"/>
      <c r="AB2609"/>
      <c r="AL2609"/>
      <c r="AM2609"/>
      <c r="AN2609"/>
      <c r="AO2609"/>
    </row>
    <row r="2610" spans="1:41" s="2" customFormat="1" x14ac:dyDescent="0.2">
      <c r="A2610"/>
      <c r="B2610"/>
      <c r="C2610"/>
      <c r="D2610"/>
      <c r="E2610"/>
      <c r="F2610"/>
      <c r="G2610"/>
      <c r="U2610"/>
      <c r="V2610"/>
      <c r="W2610"/>
      <c r="X2610"/>
      <c r="Y2610"/>
      <c r="Z2610"/>
      <c r="AA2610"/>
      <c r="AB2610"/>
      <c r="AL2610"/>
      <c r="AM2610"/>
      <c r="AN2610"/>
      <c r="AO2610"/>
    </row>
    <row r="2611" spans="1:41" s="2" customFormat="1" x14ac:dyDescent="0.2">
      <c r="A2611"/>
      <c r="B2611"/>
      <c r="C2611"/>
      <c r="D2611"/>
      <c r="E2611"/>
      <c r="F2611"/>
      <c r="G2611"/>
      <c r="U2611"/>
      <c r="V2611"/>
      <c r="W2611"/>
      <c r="X2611"/>
      <c r="Y2611"/>
      <c r="Z2611"/>
      <c r="AA2611"/>
      <c r="AB2611"/>
      <c r="AL2611"/>
      <c r="AM2611"/>
      <c r="AN2611"/>
      <c r="AO2611"/>
    </row>
    <row r="2612" spans="1:41" s="2" customFormat="1" x14ac:dyDescent="0.2">
      <c r="A2612"/>
      <c r="B2612"/>
      <c r="C2612"/>
      <c r="D2612"/>
      <c r="E2612"/>
      <c r="F2612"/>
      <c r="G2612"/>
      <c r="U2612"/>
      <c r="V2612"/>
      <c r="W2612"/>
      <c r="X2612"/>
      <c r="Y2612"/>
      <c r="Z2612"/>
      <c r="AA2612"/>
      <c r="AB2612"/>
      <c r="AL2612"/>
      <c r="AM2612"/>
      <c r="AN2612"/>
      <c r="AO2612"/>
    </row>
    <row r="2613" spans="1:41" s="2" customFormat="1" x14ac:dyDescent="0.2">
      <c r="A2613"/>
      <c r="B2613"/>
      <c r="C2613"/>
      <c r="D2613"/>
      <c r="E2613"/>
      <c r="F2613"/>
      <c r="G2613"/>
      <c r="U2613"/>
      <c r="V2613"/>
      <c r="W2613"/>
      <c r="X2613"/>
      <c r="Y2613"/>
      <c r="Z2613"/>
      <c r="AA2613"/>
      <c r="AB2613"/>
      <c r="AL2613"/>
      <c r="AM2613"/>
      <c r="AN2613"/>
      <c r="AO2613"/>
    </row>
    <row r="2614" spans="1:41" s="2" customFormat="1" x14ac:dyDescent="0.2">
      <c r="A2614"/>
      <c r="B2614"/>
      <c r="C2614"/>
      <c r="D2614"/>
      <c r="E2614"/>
      <c r="F2614"/>
      <c r="G2614"/>
      <c r="U2614"/>
      <c r="V2614"/>
      <c r="W2614"/>
      <c r="X2614"/>
      <c r="Y2614"/>
      <c r="Z2614"/>
      <c r="AA2614"/>
      <c r="AB2614"/>
      <c r="AL2614"/>
      <c r="AM2614"/>
      <c r="AN2614"/>
      <c r="AO2614"/>
    </row>
    <row r="2615" spans="1:41" s="2" customFormat="1" x14ac:dyDescent="0.2">
      <c r="A2615"/>
      <c r="B2615"/>
      <c r="C2615"/>
      <c r="D2615"/>
      <c r="E2615"/>
      <c r="F2615"/>
      <c r="G2615"/>
      <c r="U2615"/>
      <c r="V2615"/>
      <c r="W2615"/>
      <c r="X2615"/>
      <c r="Y2615"/>
      <c r="Z2615"/>
      <c r="AA2615"/>
      <c r="AB2615"/>
      <c r="AL2615"/>
      <c r="AM2615"/>
      <c r="AN2615"/>
      <c r="AO2615"/>
    </row>
    <row r="2616" spans="1:41" s="2" customFormat="1" x14ac:dyDescent="0.2">
      <c r="A2616"/>
      <c r="B2616"/>
      <c r="C2616"/>
      <c r="D2616"/>
      <c r="E2616"/>
      <c r="F2616"/>
      <c r="G2616"/>
      <c r="U2616"/>
      <c r="V2616"/>
      <c r="W2616"/>
      <c r="X2616"/>
      <c r="Y2616"/>
      <c r="Z2616"/>
      <c r="AA2616"/>
      <c r="AB2616"/>
      <c r="AL2616"/>
      <c r="AM2616"/>
      <c r="AN2616"/>
      <c r="AO2616"/>
    </row>
    <row r="2617" spans="1:41" s="2" customFormat="1" x14ac:dyDescent="0.2">
      <c r="A2617"/>
      <c r="B2617"/>
      <c r="C2617"/>
      <c r="D2617"/>
      <c r="E2617"/>
      <c r="F2617"/>
      <c r="G2617"/>
      <c r="U2617"/>
      <c r="V2617"/>
      <c r="W2617"/>
      <c r="X2617"/>
      <c r="Y2617"/>
      <c r="Z2617"/>
      <c r="AA2617"/>
      <c r="AB2617"/>
      <c r="AL2617"/>
      <c r="AM2617"/>
      <c r="AN2617"/>
      <c r="AO2617"/>
    </row>
    <row r="2618" spans="1:41" s="2" customFormat="1" x14ac:dyDescent="0.2">
      <c r="A2618"/>
      <c r="B2618"/>
      <c r="C2618"/>
      <c r="D2618"/>
      <c r="E2618"/>
      <c r="F2618"/>
      <c r="G2618"/>
      <c r="U2618"/>
      <c r="V2618"/>
      <c r="W2618"/>
      <c r="X2618"/>
      <c r="Y2618"/>
      <c r="Z2618"/>
      <c r="AA2618"/>
      <c r="AB2618"/>
      <c r="AL2618"/>
      <c r="AM2618"/>
      <c r="AN2618"/>
      <c r="AO2618"/>
    </row>
    <row r="2619" spans="1:41" s="2" customFormat="1" x14ac:dyDescent="0.2">
      <c r="A2619"/>
      <c r="B2619"/>
      <c r="C2619"/>
      <c r="D2619"/>
      <c r="E2619"/>
      <c r="F2619"/>
      <c r="G2619"/>
      <c r="U2619"/>
      <c r="V2619"/>
      <c r="W2619"/>
      <c r="X2619"/>
      <c r="Y2619"/>
      <c r="Z2619"/>
      <c r="AA2619"/>
      <c r="AB2619"/>
      <c r="AL2619"/>
      <c r="AM2619"/>
      <c r="AN2619"/>
      <c r="AO2619"/>
    </row>
    <row r="2620" spans="1:41" s="2" customFormat="1" x14ac:dyDescent="0.2">
      <c r="A2620"/>
      <c r="B2620"/>
      <c r="C2620"/>
      <c r="D2620"/>
      <c r="E2620"/>
      <c r="F2620"/>
      <c r="G2620"/>
      <c r="U2620"/>
      <c r="V2620"/>
      <c r="W2620"/>
      <c r="X2620"/>
      <c r="Y2620"/>
      <c r="Z2620"/>
      <c r="AA2620"/>
      <c r="AB2620"/>
      <c r="AL2620"/>
      <c r="AM2620"/>
      <c r="AN2620"/>
      <c r="AO2620"/>
    </row>
    <row r="2621" spans="1:41" s="2" customFormat="1" x14ac:dyDescent="0.2">
      <c r="A2621"/>
      <c r="B2621"/>
      <c r="C2621"/>
      <c r="D2621"/>
      <c r="E2621"/>
      <c r="F2621"/>
      <c r="G2621"/>
      <c r="U2621"/>
      <c r="V2621"/>
      <c r="W2621"/>
      <c r="X2621"/>
      <c r="Y2621"/>
      <c r="Z2621"/>
      <c r="AA2621"/>
      <c r="AB2621"/>
      <c r="AL2621"/>
      <c r="AM2621"/>
      <c r="AN2621"/>
      <c r="AO2621"/>
    </row>
    <row r="2622" spans="1:41" s="2" customFormat="1" x14ac:dyDescent="0.2">
      <c r="A2622"/>
      <c r="B2622"/>
      <c r="C2622"/>
      <c r="D2622"/>
      <c r="E2622"/>
      <c r="F2622"/>
      <c r="G2622"/>
      <c r="U2622"/>
      <c r="V2622"/>
      <c r="W2622"/>
      <c r="X2622"/>
      <c r="Y2622"/>
      <c r="Z2622"/>
      <c r="AA2622"/>
      <c r="AB2622"/>
      <c r="AL2622"/>
      <c r="AM2622"/>
      <c r="AN2622"/>
      <c r="AO2622"/>
    </row>
    <row r="2623" spans="1:41" s="2" customFormat="1" x14ac:dyDescent="0.2">
      <c r="A2623"/>
      <c r="B2623"/>
      <c r="C2623"/>
      <c r="D2623"/>
      <c r="E2623"/>
      <c r="F2623"/>
      <c r="G2623"/>
      <c r="U2623"/>
      <c r="V2623"/>
      <c r="W2623"/>
      <c r="X2623"/>
      <c r="Y2623"/>
      <c r="Z2623"/>
      <c r="AA2623"/>
      <c r="AB2623"/>
      <c r="AL2623"/>
      <c r="AM2623"/>
      <c r="AN2623"/>
      <c r="AO2623"/>
    </row>
    <row r="2624" spans="1:41" s="2" customFormat="1" x14ac:dyDescent="0.2">
      <c r="A2624"/>
      <c r="B2624"/>
      <c r="C2624"/>
      <c r="D2624"/>
      <c r="E2624"/>
      <c r="F2624"/>
      <c r="G2624"/>
      <c r="U2624"/>
      <c r="V2624"/>
      <c r="W2624"/>
      <c r="X2624"/>
      <c r="Y2624"/>
      <c r="Z2624"/>
      <c r="AA2624"/>
      <c r="AB2624"/>
      <c r="AL2624"/>
      <c r="AM2624"/>
      <c r="AN2624"/>
      <c r="AO2624"/>
    </row>
    <row r="2625" spans="1:41" s="2" customFormat="1" x14ac:dyDescent="0.2">
      <c r="A2625"/>
      <c r="B2625"/>
      <c r="C2625"/>
      <c r="D2625"/>
      <c r="E2625"/>
      <c r="F2625"/>
      <c r="G2625"/>
      <c r="U2625"/>
      <c r="V2625"/>
      <c r="W2625"/>
      <c r="X2625"/>
      <c r="Y2625"/>
      <c r="Z2625"/>
      <c r="AA2625"/>
      <c r="AB2625"/>
      <c r="AL2625"/>
      <c r="AM2625"/>
      <c r="AN2625"/>
      <c r="AO2625"/>
    </row>
    <row r="2626" spans="1:41" s="2" customFormat="1" x14ac:dyDescent="0.2">
      <c r="A2626"/>
      <c r="B2626"/>
      <c r="C2626"/>
      <c r="D2626"/>
      <c r="E2626"/>
      <c r="F2626"/>
      <c r="G2626"/>
      <c r="U2626"/>
      <c r="V2626"/>
      <c r="W2626"/>
      <c r="X2626"/>
      <c r="Y2626"/>
      <c r="Z2626"/>
      <c r="AA2626"/>
      <c r="AB2626"/>
      <c r="AL2626"/>
      <c r="AM2626"/>
      <c r="AN2626"/>
      <c r="AO2626"/>
    </row>
    <row r="2627" spans="1:41" s="2" customFormat="1" x14ac:dyDescent="0.2">
      <c r="A2627"/>
      <c r="B2627"/>
      <c r="C2627"/>
      <c r="D2627"/>
      <c r="E2627"/>
      <c r="F2627"/>
      <c r="G2627"/>
      <c r="U2627"/>
      <c r="V2627"/>
      <c r="W2627"/>
      <c r="X2627"/>
      <c r="Y2627"/>
      <c r="Z2627"/>
      <c r="AA2627"/>
      <c r="AB2627"/>
      <c r="AL2627"/>
      <c r="AM2627"/>
      <c r="AN2627"/>
      <c r="AO2627"/>
    </row>
    <row r="2628" spans="1:41" s="2" customFormat="1" x14ac:dyDescent="0.2">
      <c r="A2628"/>
      <c r="B2628"/>
      <c r="C2628"/>
      <c r="D2628"/>
      <c r="E2628"/>
      <c r="F2628"/>
      <c r="G2628"/>
      <c r="U2628"/>
      <c r="V2628"/>
      <c r="W2628"/>
      <c r="X2628"/>
      <c r="Y2628"/>
      <c r="Z2628"/>
      <c r="AA2628"/>
      <c r="AB2628"/>
      <c r="AL2628"/>
      <c r="AM2628"/>
      <c r="AN2628"/>
      <c r="AO2628"/>
    </row>
    <row r="2629" spans="1:41" s="2" customFormat="1" x14ac:dyDescent="0.2">
      <c r="A2629"/>
      <c r="B2629"/>
      <c r="C2629"/>
      <c r="D2629"/>
      <c r="E2629"/>
      <c r="F2629"/>
      <c r="G2629"/>
      <c r="U2629"/>
      <c r="V2629"/>
      <c r="W2629"/>
      <c r="X2629"/>
      <c r="Y2629"/>
      <c r="Z2629"/>
      <c r="AA2629"/>
      <c r="AB2629"/>
      <c r="AL2629"/>
      <c r="AM2629"/>
      <c r="AN2629"/>
      <c r="AO2629"/>
    </row>
    <row r="2630" spans="1:41" s="2" customFormat="1" x14ac:dyDescent="0.2">
      <c r="A2630"/>
      <c r="B2630"/>
      <c r="C2630"/>
      <c r="D2630"/>
      <c r="E2630"/>
      <c r="F2630"/>
      <c r="G2630"/>
      <c r="U2630"/>
      <c r="V2630"/>
      <c r="W2630"/>
      <c r="X2630"/>
      <c r="Y2630"/>
      <c r="Z2630"/>
      <c r="AA2630"/>
      <c r="AB2630"/>
      <c r="AL2630"/>
      <c r="AM2630"/>
      <c r="AN2630"/>
      <c r="AO2630"/>
    </row>
    <row r="2631" spans="1:41" s="2" customFormat="1" x14ac:dyDescent="0.2">
      <c r="A2631"/>
      <c r="B2631"/>
      <c r="C2631"/>
      <c r="D2631"/>
      <c r="E2631"/>
      <c r="F2631"/>
      <c r="G2631"/>
      <c r="U2631"/>
      <c r="V2631"/>
      <c r="W2631"/>
      <c r="X2631"/>
      <c r="Y2631"/>
      <c r="Z2631"/>
      <c r="AA2631"/>
      <c r="AB2631"/>
      <c r="AL2631"/>
      <c r="AM2631"/>
      <c r="AN2631"/>
      <c r="AO2631"/>
    </row>
    <row r="2632" spans="1:41" s="2" customFormat="1" x14ac:dyDescent="0.2">
      <c r="A2632"/>
      <c r="B2632"/>
      <c r="C2632"/>
      <c r="D2632"/>
      <c r="E2632"/>
      <c r="F2632"/>
      <c r="G2632"/>
      <c r="U2632"/>
      <c r="V2632"/>
      <c r="W2632"/>
      <c r="X2632"/>
      <c r="Y2632"/>
      <c r="Z2632"/>
      <c r="AA2632"/>
      <c r="AB2632"/>
      <c r="AL2632"/>
      <c r="AM2632"/>
      <c r="AN2632"/>
      <c r="AO2632"/>
    </row>
    <row r="2633" spans="1:41" s="2" customFormat="1" x14ac:dyDescent="0.2">
      <c r="A2633"/>
      <c r="B2633"/>
      <c r="C2633"/>
      <c r="D2633"/>
      <c r="E2633"/>
      <c r="F2633"/>
      <c r="G2633"/>
      <c r="U2633"/>
      <c r="V2633"/>
      <c r="W2633"/>
      <c r="X2633"/>
      <c r="Y2633"/>
      <c r="Z2633"/>
      <c r="AA2633"/>
      <c r="AB2633"/>
      <c r="AL2633"/>
      <c r="AM2633"/>
      <c r="AN2633"/>
      <c r="AO2633"/>
    </row>
    <row r="2634" spans="1:41" s="2" customFormat="1" x14ac:dyDescent="0.2">
      <c r="A2634"/>
      <c r="B2634"/>
      <c r="C2634"/>
      <c r="D2634"/>
      <c r="E2634"/>
      <c r="F2634"/>
      <c r="G2634"/>
      <c r="U2634"/>
      <c r="V2634"/>
      <c r="W2634"/>
      <c r="X2634"/>
      <c r="Y2634"/>
      <c r="Z2634"/>
      <c r="AA2634"/>
      <c r="AB2634"/>
      <c r="AL2634"/>
      <c r="AM2634"/>
      <c r="AN2634"/>
      <c r="AO2634"/>
    </row>
    <row r="2635" spans="1:41" s="2" customFormat="1" x14ac:dyDescent="0.2">
      <c r="A2635"/>
      <c r="B2635"/>
      <c r="C2635"/>
      <c r="D2635"/>
      <c r="E2635"/>
      <c r="F2635"/>
      <c r="G2635"/>
      <c r="U2635"/>
      <c r="V2635"/>
      <c r="W2635"/>
      <c r="X2635"/>
      <c r="Y2635"/>
      <c r="Z2635"/>
      <c r="AA2635"/>
      <c r="AB2635"/>
      <c r="AL2635"/>
      <c r="AM2635"/>
      <c r="AN2635"/>
      <c r="AO2635"/>
    </row>
    <row r="2636" spans="1:41" s="2" customFormat="1" x14ac:dyDescent="0.2">
      <c r="A2636"/>
      <c r="B2636"/>
      <c r="C2636"/>
      <c r="D2636"/>
      <c r="E2636"/>
      <c r="F2636"/>
      <c r="G2636"/>
      <c r="U2636"/>
      <c r="V2636"/>
      <c r="W2636"/>
      <c r="X2636"/>
      <c r="Y2636"/>
      <c r="Z2636"/>
      <c r="AA2636"/>
      <c r="AB2636"/>
      <c r="AL2636"/>
      <c r="AM2636"/>
      <c r="AN2636"/>
      <c r="AO2636"/>
    </row>
    <row r="2637" spans="1:41" s="2" customFormat="1" x14ac:dyDescent="0.2">
      <c r="A2637"/>
      <c r="B2637"/>
      <c r="C2637"/>
      <c r="D2637"/>
      <c r="E2637"/>
      <c r="F2637"/>
      <c r="G2637"/>
      <c r="U2637"/>
      <c r="V2637"/>
      <c r="W2637"/>
      <c r="X2637"/>
      <c r="Y2637"/>
      <c r="Z2637"/>
      <c r="AA2637"/>
      <c r="AB2637"/>
      <c r="AL2637"/>
      <c r="AM2637"/>
      <c r="AN2637"/>
      <c r="AO2637"/>
    </row>
    <row r="2638" spans="1:41" s="2" customFormat="1" x14ac:dyDescent="0.2">
      <c r="A2638"/>
      <c r="B2638"/>
      <c r="C2638"/>
      <c r="D2638"/>
      <c r="E2638"/>
      <c r="F2638"/>
      <c r="G2638"/>
      <c r="U2638"/>
      <c r="V2638"/>
      <c r="W2638"/>
      <c r="X2638"/>
      <c r="Y2638"/>
      <c r="Z2638"/>
      <c r="AA2638"/>
      <c r="AB2638"/>
      <c r="AL2638"/>
      <c r="AM2638"/>
      <c r="AN2638"/>
      <c r="AO2638"/>
    </row>
    <row r="2639" spans="1:41" s="2" customFormat="1" x14ac:dyDescent="0.2">
      <c r="A2639"/>
      <c r="B2639"/>
      <c r="C2639"/>
      <c r="D2639"/>
      <c r="E2639"/>
      <c r="F2639"/>
      <c r="G2639"/>
      <c r="U2639"/>
      <c r="V2639"/>
      <c r="W2639"/>
      <c r="X2639"/>
      <c r="Y2639"/>
      <c r="Z2639"/>
      <c r="AA2639"/>
      <c r="AB2639"/>
      <c r="AL2639"/>
      <c r="AM2639"/>
      <c r="AN2639"/>
      <c r="AO2639"/>
    </row>
    <row r="2640" spans="1:41" s="2" customFormat="1" x14ac:dyDescent="0.2">
      <c r="A2640"/>
      <c r="B2640"/>
      <c r="C2640"/>
      <c r="D2640"/>
      <c r="E2640"/>
      <c r="F2640"/>
      <c r="G2640"/>
      <c r="U2640"/>
      <c r="V2640"/>
      <c r="W2640"/>
      <c r="X2640"/>
      <c r="Y2640"/>
      <c r="Z2640"/>
      <c r="AA2640"/>
      <c r="AB2640"/>
      <c r="AL2640"/>
      <c r="AM2640"/>
      <c r="AN2640"/>
      <c r="AO2640"/>
    </row>
    <row r="2641" spans="1:41" s="2" customFormat="1" x14ac:dyDescent="0.2">
      <c r="A2641"/>
      <c r="B2641"/>
      <c r="C2641"/>
      <c r="D2641"/>
      <c r="E2641"/>
      <c r="F2641"/>
      <c r="G2641"/>
      <c r="U2641"/>
      <c r="V2641"/>
      <c r="W2641"/>
      <c r="X2641"/>
      <c r="Y2641"/>
      <c r="Z2641"/>
      <c r="AA2641"/>
      <c r="AB2641"/>
      <c r="AL2641"/>
      <c r="AM2641"/>
      <c r="AN2641"/>
      <c r="AO2641"/>
    </row>
    <row r="2642" spans="1:41" s="2" customFormat="1" x14ac:dyDescent="0.2">
      <c r="A2642"/>
      <c r="B2642"/>
      <c r="C2642"/>
      <c r="D2642"/>
      <c r="E2642"/>
      <c r="F2642"/>
      <c r="G2642"/>
      <c r="U2642"/>
      <c r="V2642"/>
      <c r="W2642"/>
      <c r="X2642"/>
      <c r="Y2642"/>
      <c r="Z2642"/>
      <c r="AA2642"/>
      <c r="AB2642"/>
      <c r="AL2642"/>
      <c r="AM2642"/>
      <c r="AN2642"/>
      <c r="AO2642"/>
    </row>
    <row r="2643" spans="1:41" s="2" customFormat="1" x14ac:dyDescent="0.2">
      <c r="A2643"/>
      <c r="B2643"/>
      <c r="C2643"/>
      <c r="D2643"/>
      <c r="E2643"/>
      <c r="F2643"/>
      <c r="G2643"/>
      <c r="U2643"/>
      <c r="V2643"/>
      <c r="W2643"/>
      <c r="X2643"/>
      <c r="Y2643"/>
      <c r="Z2643"/>
      <c r="AA2643"/>
      <c r="AB2643"/>
      <c r="AL2643"/>
      <c r="AM2643"/>
      <c r="AN2643"/>
      <c r="AO2643"/>
    </row>
    <row r="2644" spans="1:41" s="2" customFormat="1" x14ac:dyDescent="0.2">
      <c r="A2644"/>
      <c r="B2644"/>
      <c r="C2644"/>
      <c r="D2644"/>
      <c r="E2644"/>
      <c r="F2644"/>
      <c r="G2644"/>
      <c r="U2644"/>
      <c r="V2644"/>
      <c r="W2644"/>
      <c r="X2644"/>
      <c r="Y2644"/>
      <c r="Z2644"/>
      <c r="AA2644"/>
      <c r="AB2644"/>
      <c r="AL2644"/>
      <c r="AM2644"/>
      <c r="AN2644"/>
      <c r="AO2644"/>
    </row>
    <row r="2645" spans="1:41" s="2" customFormat="1" x14ac:dyDescent="0.2">
      <c r="A2645"/>
      <c r="B2645"/>
      <c r="C2645"/>
      <c r="D2645"/>
      <c r="E2645"/>
      <c r="F2645"/>
      <c r="G2645"/>
      <c r="U2645"/>
      <c r="V2645"/>
      <c r="W2645"/>
      <c r="X2645"/>
      <c r="Y2645"/>
      <c r="Z2645"/>
      <c r="AA2645"/>
      <c r="AB2645"/>
      <c r="AL2645"/>
      <c r="AM2645"/>
      <c r="AN2645"/>
      <c r="AO2645"/>
    </row>
    <row r="2646" spans="1:41" s="2" customFormat="1" x14ac:dyDescent="0.2">
      <c r="A2646"/>
      <c r="B2646"/>
      <c r="C2646"/>
      <c r="D2646"/>
      <c r="E2646"/>
      <c r="F2646"/>
      <c r="G2646"/>
      <c r="U2646"/>
      <c r="V2646"/>
      <c r="W2646"/>
      <c r="X2646"/>
      <c r="Y2646"/>
      <c r="Z2646"/>
      <c r="AA2646"/>
      <c r="AB2646"/>
      <c r="AL2646"/>
      <c r="AM2646"/>
      <c r="AN2646"/>
      <c r="AO2646"/>
    </row>
    <row r="2647" spans="1:41" s="2" customFormat="1" x14ac:dyDescent="0.2">
      <c r="A2647"/>
      <c r="B2647"/>
      <c r="C2647"/>
      <c r="D2647"/>
      <c r="E2647"/>
      <c r="F2647"/>
      <c r="G2647"/>
      <c r="U2647"/>
      <c r="V2647"/>
      <c r="W2647"/>
      <c r="X2647"/>
      <c r="Y2647"/>
      <c r="Z2647"/>
      <c r="AA2647"/>
      <c r="AB2647"/>
      <c r="AL2647"/>
      <c r="AM2647"/>
      <c r="AN2647"/>
      <c r="AO2647"/>
    </row>
    <row r="2648" spans="1:41" s="2" customFormat="1" x14ac:dyDescent="0.2">
      <c r="A2648"/>
      <c r="B2648"/>
      <c r="C2648"/>
      <c r="D2648"/>
      <c r="E2648"/>
      <c r="F2648"/>
      <c r="G2648"/>
      <c r="U2648"/>
      <c r="V2648"/>
      <c r="W2648"/>
      <c r="X2648"/>
      <c r="Y2648"/>
      <c r="Z2648"/>
      <c r="AA2648"/>
      <c r="AB2648"/>
      <c r="AL2648"/>
      <c r="AM2648"/>
      <c r="AN2648"/>
      <c r="AO2648"/>
    </row>
    <row r="2649" spans="1:41" s="2" customFormat="1" x14ac:dyDescent="0.2">
      <c r="A2649"/>
      <c r="B2649"/>
      <c r="C2649"/>
      <c r="D2649"/>
      <c r="E2649"/>
      <c r="F2649"/>
      <c r="G2649"/>
      <c r="U2649"/>
      <c r="V2649"/>
      <c r="W2649"/>
      <c r="X2649"/>
      <c r="Y2649"/>
      <c r="Z2649"/>
      <c r="AA2649"/>
      <c r="AB2649"/>
      <c r="AL2649"/>
      <c r="AM2649"/>
      <c r="AN2649"/>
      <c r="AO2649"/>
    </row>
    <row r="2650" spans="1:41" s="2" customFormat="1" x14ac:dyDescent="0.2">
      <c r="A2650"/>
      <c r="B2650"/>
      <c r="C2650"/>
      <c r="D2650"/>
      <c r="E2650"/>
      <c r="F2650"/>
      <c r="G2650"/>
      <c r="U2650"/>
      <c r="V2650"/>
      <c r="W2650"/>
      <c r="X2650"/>
      <c r="Y2650"/>
      <c r="Z2650"/>
      <c r="AA2650"/>
      <c r="AB2650"/>
      <c r="AL2650"/>
      <c r="AM2650"/>
      <c r="AN2650"/>
      <c r="AO2650"/>
    </row>
    <row r="2651" spans="1:41" s="2" customFormat="1" x14ac:dyDescent="0.2">
      <c r="A2651"/>
      <c r="B2651"/>
      <c r="C2651"/>
      <c r="D2651"/>
      <c r="E2651"/>
      <c r="F2651"/>
      <c r="G2651"/>
      <c r="U2651"/>
      <c r="V2651"/>
      <c r="W2651"/>
      <c r="X2651"/>
      <c r="Y2651"/>
      <c r="Z2651"/>
      <c r="AA2651"/>
      <c r="AB2651"/>
      <c r="AL2651"/>
      <c r="AM2651"/>
      <c r="AN2651"/>
      <c r="AO2651"/>
    </row>
    <row r="2652" spans="1:41" s="2" customFormat="1" x14ac:dyDescent="0.2">
      <c r="A2652"/>
      <c r="B2652"/>
      <c r="C2652"/>
      <c r="D2652"/>
      <c r="E2652"/>
      <c r="F2652"/>
      <c r="G2652"/>
      <c r="U2652"/>
      <c r="V2652"/>
      <c r="W2652"/>
      <c r="X2652"/>
      <c r="Y2652"/>
      <c r="Z2652"/>
      <c r="AA2652"/>
      <c r="AB2652"/>
      <c r="AL2652"/>
      <c r="AM2652"/>
      <c r="AN2652"/>
      <c r="AO2652"/>
    </row>
    <row r="2653" spans="1:41" s="2" customFormat="1" x14ac:dyDescent="0.2">
      <c r="A2653"/>
      <c r="B2653"/>
      <c r="C2653"/>
      <c r="D2653"/>
      <c r="E2653"/>
      <c r="F2653"/>
      <c r="G2653"/>
      <c r="U2653"/>
      <c r="V2653"/>
      <c r="W2653"/>
      <c r="X2653"/>
      <c r="Y2653"/>
      <c r="Z2653"/>
      <c r="AA2653"/>
      <c r="AB2653"/>
      <c r="AL2653"/>
      <c r="AM2653"/>
      <c r="AN2653"/>
      <c r="AO2653"/>
    </row>
    <row r="2654" spans="1:41" s="2" customFormat="1" x14ac:dyDescent="0.2">
      <c r="A2654"/>
      <c r="B2654"/>
      <c r="C2654"/>
      <c r="D2654"/>
      <c r="E2654"/>
      <c r="F2654"/>
      <c r="G2654"/>
      <c r="U2654"/>
      <c r="V2654"/>
      <c r="W2654"/>
      <c r="X2654"/>
      <c r="Y2654"/>
      <c r="Z2654"/>
      <c r="AA2654"/>
      <c r="AB2654"/>
      <c r="AL2654"/>
      <c r="AM2654"/>
      <c r="AN2654"/>
      <c r="AO2654"/>
    </row>
    <row r="2655" spans="1:41" s="2" customFormat="1" x14ac:dyDescent="0.2">
      <c r="A2655"/>
      <c r="B2655"/>
      <c r="C2655"/>
      <c r="D2655"/>
      <c r="E2655"/>
      <c r="F2655"/>
      <c r="G2655"/>
      <c r="U2655"/>
      <c r="V2655"/>
      <c r="W2655"/>
      <c r="X2655"/>
      <c r="Y2655"/>
      <c r="Z2655"/>
      <c r="AA2655"/>
      <c r="AB2655"/>
      <c r="AL2655"/>
      <c r="AM2655"/>
      <c r="AN2655"/>
      <c r="AO2655"/>
    </row>
    <row r="2656" spans="1:41" s="2" customFormat="1" x14ac:dyDescent="0.2">
      <c r="A2656"/>
      <c r="B2656"/>
      <c r="C2656"/>
      <c r="D2656"/>
      <c r="E2656"/>
      <c r="F2656"/>
      <c r="G2656"/>
      <c r="U2656"/>
      <c r="V2656"/>
      <c r="W2656"/>
      <c r="X2656"/>
      <c r="Y2656"/>
      <c r="Z2656"/>
      <c r="AA2656"/>
      <c r="AB2656"/>
      <c r="AL2656"/>
      <c r="AM2656"/>
      <c r="AN2656"/>
      <c r="AO2656"/>
    </row>
    <row r="2657" spans="1:41" s="2" customFormat="1" x14ac:dyDescent="0.2">
      <c r="A2657"/>
      <c r="B2657"/>
      <c r="C2657"/>
      <c r="D2657"/>
      <c r="E2657"/>
      <c r="F2657"/>
      <c r="G2657"/>
      <c r="U2657"/>
      <c r="V2657"/>
      <c r="W2657"/>
      <c r="X2657"/>
      <c r="Y2657"/>
      <c r="Z2657"/>
      <c r="AA2657"/>
      <c r="AB2657"/>
      <c r="AL2657"/>
      <c r="AM2657"/>
      <c r="AN2657"/>
      <c r="AO2657"/>
    </row>
    <row r="2658" spans="1:41" s="2" customFormat="1" x14ac:dyDescent="0.2">
      <c r="A2658"/>
      <c r="B2658"/>
      <c r="C2658"/>
      <c r="D2658"/>
      <c r="E2658"/>
      <c r="F2658"/>
      <c r="G2658"/>
      <c r="U2658"/>
      <c r="V2658"/>
      <c r="W2658"/>
      <c r="X2658"/>
      <c r="Y2658"/>
      <c r="Z2658"/>
      <c r="AA2658"/>
      <c r="AB2658"/>
      <c r="AL2658"/>
      <c r="AM2658"/>
      <c r="AN2658"/>
      <c r="AO2658"/>
    </row>
    <row r="2659" spans="1:41" s="2" customFormat="1" x14ac:dyDescent="0.2">
      <c r="A2659"/>
      <c r="B2659"/>
      <c r="C2659"/>
      <c r="D2659"/>
      <c r="E2659"/>
      <c r="F2659"/>
      <c r="G2659"/>
      <c r="U2659"/>
      <c r="V2659"/>
      <c r="W2659"/>
      <c r="X2659"/>
      <c r="Y2659"/>
      <c r="Z2659"/>
      <c r="AA2659"/>
      <c r="AB2659"/>
      <c r="AL2659"/>
      <c r="AM2659"/>
      <c r="AN2659"/>
      <c r="AO2659"/>
    </row>
    <row r="2660" spans="1:41" s="2" customFormat="1" x14ac:dyDescent="0.2">
      <c r="A2660"/>
      <c r="B2660"/>
      <c r="C2660"/>
      <c r="D2660"/>
      <c r="E2660"/>
      <c r="F2660"/>
      <c r="G2660"/>
      <c r="U2660"/>
      <c r="V2660"/>
      <c r="W2660"/>
      <c r="X2660"/>
      <c r="Y2660"/>
      <c r="Z2660"/>
      <c r="AA2660"/>
      <c r="AB2660"/>
      <c r="AL2660"/>
      <c r="AM2660"/>
      <c r="AN2660"/>
      <c r="AO2660"/>
    </row>
    <row r="2661" spans="1:41" s="2" customFormat="1" x14ac:dyDescent="0.2">
      <c r="A2661"/>
      <c r="B2661"/>
      <c r="C2661"/>
      <c r="D2661"/>
      <c r="E2661"/>
      <c r="F2661"/>
      <c r="G2661"/>
      <c r="U2661"/>
      <c r="V2661"/>
      <c r="W2661"/>
      <c r="X2661"/>
      <c r="Y2661"/>
      <c r="Z2661"/>
      <c r="AA2661"/>
      <c r="AB2661"/>
      <c r="AL2661"/>
      <c r="AM2661"/>
      <c r="AN2661"/>
      <c r="AO2661"/>
    </row>
    <row r="2662" spans="1:41" s="2" customFormat="1" x14ac:dyDescent="0.2">
      <c r="A2662"/>
      <c r="B2662"/>
      <c r="C2662"/>
      <c r="D2662"/>
      <c r="E2662"/>
      <c r="F2662"/>
      <c r="G2662"/>
      <c r="U2662"/>
      <c r="V2662"/>
      <c r="W2662"/>
      <c r="X2662"/>
      <c r="Y2662"/>
      <c r="Z2662"/>
      <c r="AA2662"/>
      <c r="AB2662"/>
      <c r="AL2662"/>
      <c r="AM2662"/>
      <c r="AN2662"/>
      <c r="AO2662"/>
    </row>
    <row r="2663" spans="1:41" s="2" customFormat="1" x14ac:dyDescent="0.2">
      <c r="A2663"/>
      <c r="B2663"/>
      <c r="C2663"/>
      <c r="D2663"/>
      <c r="E2663"/>
      <c r="F2663"/>
      <c r="G2663"/>
      <c r="U2663"/>
      <c r="V2663"/>
      <c r="W2663"/>
      <c r="X2663"/>
      <c r="Y2663"/>
      <c r="Z2663"/>
      <c r="AA2663"/>
      <c r="AB2663"/>
      <c r="AL2663"/>
      <c r="AM2663"/>
      <c r="AN2663"/>
      <c r="AO2663"/>
    </row>
    <row r="2664" spans="1:41" s="2" customFormat="1" x14ac:dyDescent="0.2">
      <c r="A2664"/>
      <c r="B2664"/>
      <c r="C2664"/>
      <c r="D2664"/>
      <c r="E2664"/>
      <c r="F2664"/>
      <c r="G2664"/>
      <c r="U2664"/>
      <c r="V2664"/>
      <c r="W2664"/>
      <c r="X2664"/>
      <c r="Y2664"/>
      <c r="Z2664"/>
      <c r="AA2664"/>
      <c r="AB2664"/>
      <c r="AL2664"/>
      <c r="AM2664"/>
      <c r="AN2664"/>
      <c r="AO2664"/>
    </row>
    <row r="2665" spans="1:41" s="2" customFormat="1" x14ac:dyDescent="0.2">
      <c r="A2665"/>
      <c r="B2665"/>
      <c r="C2665"/>
      <c r="D2665"/>
      <c r="E2665"/>
      <c r="F2665"/>
      <c r="G2665"/>
      <c r="U2665"/>
      <c r="V2665"/>
      <c r="W2665"/>
      <c r="X2665"/>
      <c r="Y2665"/>
      <c r="Z2665"/>
      <c r="AA2665"/>
      <c r="AB2665"/>
      <c r="AL2665"/>
      <c r="AM2665"/>
      <c r="AN2665"/>
      <c r="AO2665"/>
    </row>
    <row r="2666" spans="1:41" s="2" customFormat="1" x14ac:dyDescent="0.2">
      <c r="A2666"/>
      <c r="B2666"/>
      <c r="C2666"/>
      <c r="D2666"/>
      <c r="E2666"/>
      <c r="F2666"/>
      <c r="G2666"/>
      <c r="U2666"/>
      <c r="V2666"/>
      <c r="W2666"/>
      <c r="X2666"/>
      <c r="Y2666"/>
      <c r="Z2666"/>
      <c r="AA2666"/>
      <c r="AB2666"/>
      <c r="AL2666"/>
      <c r="AM2666"/>
      <c r="AN2666"/>
      <c r="AO2666"/>
    </row>
    <row r="2667" spans="1:41" s="2" customFormat="1" x14ac:dyDescent="0.2">
      <c r="A2667"/>
      <c r="B2667"/>
      <c r="C2667"/>
      <c r="D2667"/>
      <c r="E2667"/>
      <c r="F2667"/>
      <c r="G2667"/>
      <c r="U2667"/>
      <c r="V2667"/>
      <c r="W2667"/>
      <c r="X2667"/>
      <c r="Y2667"/>
      <c r="Z2667"/>
      <c r="AA2667"/>
      <c r="AB2667"/>
      <c r="AL2667"/>
      <c r="AM2667"/>
      <c r="AN2667"/>
      <c r="AO2667"/>
    </row>
    <row r="2668" spans="1:41" s="2" customFormat="1" x14ac:dyDescent="0.2">
      <c r="A2668"/>
      <c r="B2668"/>
      <c r="C2668"/>
      <c r="D2668"/>
      <c r="E2668"/>
      <c r="F2668"/>
      <c r="G2668"/>
      <c r="U2668"/>
      <c r="V2668"/>
      <c r="W2668"/>
      <c r="X2668"/>
      <c r="Y2668"/>
      <c r="Z2668"/>
      <c r="AA2668"/>
      <c r="AB2668"/>
      <c r="AL2668"/>
      <c r="AM2668"/>
      <c r="AN2668"/>
      <c r="AO2668"/>
    </row>
    <row r="2669" spans="1:41" s="2" customFormat="1" x14ac:dyDescent="0.2">
      <c r="A2669"/>
      <c r="B2669"/>
      <c r="C2669"/>
      <c r="D2669"/>
      <c r="E2669"/>
      <c r="F2669"/>
      <c r="G2669"/>
      <c r="U2669"/>
      <c r="V2669"/>
      <c r="W2669"/>
      <c r="X2669"/>
      <c r="Y2669"/>
      <c r="Z2669"/>
      <c r="AA2669"/>
      <c r="AB2669"/>
      <c r="AL2669"/>
      <c r="AM2669"/>
      <c r="AN2669"/>
      <c r="AO2669"/>
    </row>
    <row r="2670" spans="1:41" s="2" customFormat="1" x14ac:dyDescent="0.2">
      <c r="A2670"/>
      <c r="B2670"/>
      <c r="C2670"/>
      <c r="D2670"/>
      <c r="E2670"/>
      <c r="F2670"/>
      <c r="G2670"/>
      <c r="U2670"/>
      <c r="V2670"/>
      <c r="W2670"/>
      <c r="X2670"/>
      <c r="Y2670"/>
      <c r="Z2670"/>
      <c r="AA2670"/>
      <c r="AB2670"/>
      <c r="AL2670"/>
      <c r="AM2670"/>
      <c r="AN2670"/>
      <c r="AO2670"/>
    </row>
    <row r="2671" spans="1:41" s="2" customFormat="1" x14ac:dyDescent="0.2">
      <c r="A2671"/>
      <c r="B2671"/>
      <c r="C2671"/>
      <c r="D2671"/>
      <c r="E2671"/>
      <c r="F2671"/>
      <c r="G2671"/>
      <c r="U2671"/>
      <c r="V2671"/>
      <c r="W2671"/>
      <c r="X2671"/>
      <c r="Y2671"/>
      <c r="Z2671"/>
      <c r="AA2671"/>
      <c r="AB2671"/>
      <c r="AL2671"/>
      <c r="AM2671"/>
      <c r="AN2671"/>
      <c r="AO2671"/>
    </row>
    <row r="2672" spans="1:41" s="2" customFormat="1" x14ac:dyDescent="0.2">
      <c r="A2672"/>
      <c r="B2672"/>
      <c r="C2672"/>
      <c r="D2672"/>
      <c r="E2672"/>
      <c r="F2672"/>
      <c r="G2672"/>
      <c r="U2672"/>
      <c r="V2672"/>
      <c r="W2672"/>
      <c r="X2672"/>
      <c r="Y2672"/>
      <c r="Z2672"/>
      <c r="AA2672"/>
      <c r="AB2672"/>
      <c r="AL2672"/>
      <c r="AM2672"/>
      <c r="AN2672"/>
      <c r="AO2672"/>
    </row>
    <row r="2673" spans="1:41" s="2" customFormat="1" x14ac:dyDescent="0.2">
      <c r="A2673"/>
      <c r="B2673"/>
      <c r="C2673"/>
      <c r="D2673"/>
      <c r="E2673"/>
      <c r="F2673"/>
      <c r="G2673"/>
      <c r="U2673"/>
      <c r="V2673"/>
      <c r="W2673"/>
      <c r="X2673"/>
      <c r="Y2673"/>
      <c r="Z2673"/>
      <c r="AA2673"/>
      <c r="AB2673"/>
      <c r="AL2673"/>
      <c r="AM2673"/>
      <c r="AN2673"/>
      <c r="AO2673"/>
    </row>
    <row r="2674" spans="1:41" s="2" customFormat="1" x14ac:dyDescent="0.2">
      <c r="A2674"/>
      <c r="B2674"/>
      <c r="C2674"/>
      <c r="D2674"/>
      <c r="E2674"/>
      <c r="F2674"/>
      <c r="G2674"/>
      <c r="U2674"/>
      <c r="V2674"/>
      <c r="W2674"/>
      <c r="X2674"/>
      <c r="Y2674"/>
      <c r="Z2674"/>
      <c r="AA2674"/>
      <c r="AB2674"/>
      <c r="AL2674"/>
      <c r="AM2674"/>
      <c r="AN2674"/>
      <c r="AO2674"/>
    </row>
    <row r="2675" spans="1:41" s="2" customFormat="1" x14ac:dyDescent="0.2">
      <c r="A2675"/>
      <c r="B2675"/>
      <c r="C2675"/>
      <c r="D2675"/>
      <c r="E2675"/>
      <c r="F2675"/>
      <c r="G2675"/>
      <c r="U2675"/>
      <c r="V2675"/>
      <c r="W2675"/>
      <c r="X2675"/>
      <c r="Y2675"/>
      <c r="Z2675"/>
      <c r="AA2675"/>
      <c r="AB2675"/>
      <c r="AL2675"/>
      <c r="AM2675"/>
      <c r="AN2675"/>
      <c r="AO2675"/>
    </row>
    <row r="2676" spans="1:41" s="2" customFormat="1" x14ac:dyDescent="0.2">
      <c r="A2676"/>
      <c r="B2676"/>
      <c r="C2676"/>
      <c r="D2676"/>
      <c r="E2676"/>
      <c r="F2676"/>
      <c r="G2676"/>
      <c r="U2676"/>
      <c r="V2676"/>
      <c r="W2676"/>
      <c r="X2676"/>
      <c r="Y2676"/>
      <c r="Z2676"/>
      <c r="AA2676"/>
      <c r="AB2676"/>
      <c r="AL2676"/>
      <c r="AM2676"/>
      <c r="AN2676"/>
      <c r="AO2676"/>
    </row>
    <row r="2677" spans="1:41" s="2" customFormat="1" x14ac:dyDescent="0.2">
      <c r="A2677"/>
      <c r="B2677"/>
      <c r="C2677"/>
      <c r="D2677"/>
      <c r="E2677"/>
      <c r="F2677"/>
      <c r="G2677"/>
      <c r="U2677"/>
      <c r="V2677"/>
      <c r="W2677"/>
      <c r="X2677"/>
      <c r="Y2677"/>
      <c r="Z2677"/>
      <c r="AA2677"/>
      <c r="AB2677"/>
      <c r="AL2677"/>
      <c r="AM2677"/>
      <c r="AN2677"/>
      <c r="AO2677"/>
    </row>
    <row r="2678" spans="1:41" s="2" customFormat="1" x14ac:dyDescent="0.2">
      <c r="A2678"/>
      <c r="B2678"/>
      <c r="C2678"/>
      <c r="D2678"/>
      <c r="E2678"/>
      <c r="F2678"/>
      <c r="G2678"/>
      <c r="U2678"/>
      <c r="V2678"/>
      <c r="W2678"/>
      <c r="X2678"/>
      <c r="Y2678"/>
      <c r="Z2678"/>
      <c r="AA2678"/>
      <c r="AB2678"/>
      <c r="AL2678"/>
      <c r="AM2678"/>
      <c r="AN2678"/>
      <c r="AO2678"/>
    </row>
    <row r="2679" spans="1:41" s="2" customFormat="1" x14ac:dyDescent="0.2">
      <c r="A2679"/>
      <c r="B2679"/>
      <c r="C2679"/>
      <c r="D2679"/>
      <c r="E2679"/>
      <c r="F2679"/>
      <c r="G2679"/>
      <c r="U2679"/>
      <c r="V2679"/>
      <c r="W2679"/>
      <c r="X2679"/>
      <c r="Y2679"/>
      <c r="Z2679"/>
      <c r="AA2679"/>
      <c r="AB2679"/>
      <c r="AL2679"/>
      <c r="AM2679"/>
      <c r="AN2679"/>
      <c r="AO2679"/>
    </row>
    <row r="2680" spans="1:41" s="2" customFormat="1" x14ac:dyDescent="0.2">
      <c r="A2680"/>
      <c r="B2680"/>
      <c r="C2680"/>
      <c r="D2680"/>
      <c r="E2680"/>
      <c r="F2680"/>
      <c r="G2680"/>
      <c r="U2680"/>
      <c r="V2680"/>
      <c r="W2680"/>
      <c r="X2680"/>
      <c r="Y2680"/>
      <c r="Z2680"/>
      <c r="AA2680"/>
      <c r="AB2680"/>
      <c r="AL2680"/>
      <c r="AM2680"/>
      <c r="AN2680"/>
      <c r="AO2680"/>
    </row>
    <row r="2681" spans="1:41" s="2" customFormat="1" x14ac:dyDescent="0.2">
      <c r="A2681"/>
      <c r="B2681"/>
      <c r="C2681"/>
      <c r="D2681"/>
      <c r="E2681"/>
      <c r="F2681"/>
      <c r="G2681"/>
      <c r="U2681"/>
      <c r="V2681"/>
      <c r="W2681"/>
      <c r="X2681"/>
      <c r="Y2681"/>
      <c r="Z2681"/>
      <c r="AA2681"/>
      <c r="AB2681"/>
      <c r="AL2681"/>
      <c r="AM2681"/>
      <c r="AN2681"/>
      <c r="AO2681"/>
    </row>
    <row r="2682" spans="1:41" s="2" customFormat="1" x14ac:dyDescent="0.2">
      <c r="A2682"/>
      <c r="B2682"/>
      <c r="C2682"/>
      <c r="D2682"/>
      <c r="E2682"/>
      <c r="F2682"/>
      <c r="G2682"/>
      <c r="U2682"/>
      <c r="V2682"/>
      <c r="W2682"/>
      <c r="X2682"/>
      <c r="Y2682"/>
      <c r="Z2682"/>
      <c r="AA2682"/>
      <c r="AB2682"/>
      <c r="AL2682"/>
      <c r="AM2682"/>
      <c r="AN2682"/>
      <c r="AO2682"/>
    </row>
    <row r="2683" spans="1:41" s="2" customFormat="1" x14ac:dyDescent="0.2">
      <c r="A2683"/>
      <c r="B2683"/>
      <c r="C2683"/>
      <c r="D2683"/>
      <c r="E2683"/>
      <c r="F2683"/>
      <c r="G2683"/>
      <c r="U2683"/>
      <c r="V2683"/>
      <c r="W2683"/>
      <c r="X2683"/>
      <c r="Y2683"/>
      <c r="Z2683"/>
      <c r="AA2683"/>
      <c r="AB2683"/>
      <c r="AL2683"/>
      <c r="AM2683"/>
      <c r="AN2683"/>
      <c r="AO2683"/>
    </row>
    <row r="2684" spans="1:41" s="2" customFormat="1" x14ac:dyDescent="0.2">
      <c r="A2684"/>
      <c r="B2684"/>
      <c r="C2684"/>
      <c r="D2684"/>
      <c r="E2684"/>
      <c r="F2684"/>
      <c r="G2684"/>
      <c r="U2684"/>
      <c r="V2684"/>
      <c r="W2684"/>
      <c r="X2684"/>
      <c r="Y2684"/>
      <c r="Z2684"/>
      <c r="AA2684"/>
      <c r="AB2684"/>
      <c r="AL2684"/>
      <c r="AM2684"/>
      <c r="AN2684"/>
      <c r="AO2684"/>
    </row>
    <row r="2685" spans="1:41" s="2" customFormat="1" x14ac:dyDescent="0.2">
      <c r="A2685"/>
      <c r="B2685"/>
      <c r="C2685"/>
      <c r="D2685"/>
      <c r="E2685"/>
      <c r="F2685"/>
      <c r="G2685"/>
      <c r="U2685"/>
      <c r="V2685"/>
      <c r="W2685"/>
      <c r="X2685"/>
      <c r="Y2685"/>
      <c r="Z2685"/>
      <c r="AA2685"/>
      <c r="AB2685"/>
      <c r="AL2685"/>
      <c r="AM2685"/>
      <c r="AN2685"/>
      <c r="AO2685"/>
    </row>
    <row r="2686" spans="1:41" s="2" customFormat="1" x14ac:dyDescent="0.2">
      <c r="A2686"/>
      <c r="B2686"/>
      <c r="C2686"/>
      <c r="D2686"/>
      <c r="E2686"/>
      <c r="F2686"/>
      <c r="G2686"/>
      <c r="U2686"/>
      <c r="V2686"/>
      <c r="W2686"/>
      <c r="X2686"/>
      <c r="Y2686"/>
      <c r="Z2686"/>
      <c r="AA2686"/>
      <c r="AB2686"/>
      <c r="AL2686"/>
      <c r="AM2686"/>
      <c r="AN2686"/>
      <c r="AO2686"/>
    </row>
    <row r="2687" spans="1:41" s="2" customFormat="1" x14ac:dyDescent="0.2">
      <c r="A2687"/>
      <c r="B2687"/>
      <c r="C2687"/>
      <c r="D2687"/>
      <c r="E2687"/>
      <c r="F2687"/>
      <c r="G2687"/>
      <c r="U2687"/>
      <c r="V2687"/>
      <c r="W2687"/>
      <c r="X2687"/>
      <c r="Y2687"/>
      <c r="Z2687"/>
      <c r="AA2687"/>
      <c r="AB2687"/>
      <c r="AL2687"/>
      <c r="AM2687"/>
      <c r="AN2687"/>
      <c r="AO2687"/>
    </row>
    <row r="2688" spans="1:41" s="2" customFormat="1" x14ac:dyDescent="0.2">
      <c r="A2688"/>
      <c r="B2688"/>
      <c r="C2688"/>
      <c r="D2688"/>
      <c r="E2688"/>
      <c r="F2688"/>
      <c r="G2688"/>
      <c r="U2688"/>
      <c r="V2688"/>
      <c r="W2688"/>
      <c r="X2688"/>
      <c r="Y2688"/>
      <c r="Z2688"/>
      <c r="AA2688"/>
      <c r="AB2688"/>
      <c r="AL2688"/>
      <c r="AM2688"/>
      <c r="AN2688"/>
      <c r="AO2688"/>
    </row>
    <row r="2689" spans="1:41" s="2" customFormat="1" x14ac:dyDescent="0.2">
      <c r="A2689"/>
      <c r="B2689"/>
      <c r="C2689"/>
      <c r="D2689"/>
      <c r="E2689"/>
      <c r="F2689"/>
      <c r="G2689"/>
      <c r="U2689"/>
      <c r="V2689"/>
      <c r="W2689"/>
      <c r="X2689"/>
      <c r="Y2689"/>
      <c r="Z2689"/>
      <c r="AA2689"/>
      <c r="AB2689"/>
      <c r="AL2689"/>
      <c r="AM2689"/>
      <c r="AN2689"/>
      <c r="AO2689"/>
    </row>
    <row r="2690" spans="1:41" s="2" customFormat="1" x14ac:dyDescent="0.2">
      <c r="A2690"/>
      <c r="B2690"/>
      <c r="C2690"/>
      <c r="D2690"/>
      <c r="E2690"/>
      <c r="F2690"/>
      <c r="G2690"/>
      <c r="U2690"/>
      <c r="V2690"/>
      <c r="W2690"/>
      <c r="X2690"/>
      <c r="Y2690"/>
      <c r="Z2690"/>
      <c r="AA2690"/>
      <c r="AB2690"/>
      <c r="AL2690"/>
      <c r="AM2690"/>
      <c r="AN2690"/>
      <c r="AO2690"/>
    </row>
    <row r="2691" spans="1:41" s="2" customFormat="1" x14ac:dyDescent="0.2">
      <c r="A2691"/>
      <c r="B2691"/>
      <c r="C2691"/>
      <c r="D2691"/>
      <c r="E2691"/>
      <c r="F2691"/>
      <c r="G2691"/>
      <c r="U2691"/>
      <c r="V2691"/>
      <c r="W2691"/>
      <c r="X2691"/>
      <c r="Y2691"/>
      <c r="Z2691"/>
      <c r="AA2691"/>
      <c r="AB2691"/>
      <c r="AL2691"/>
      <c r="AM2691"/>
      <c r="AN2691"/>
      <c r="AO2691"/>
    </row>
    <row r="2692" spans="1:41" s="2" customFormat="1" x14ac:dyDescent="0.2">
      <c r="A2692"/>
      <c r="B2692"/>
      <c r="C2692"/>
      <c r="D2692"/>
      <c r="E2692"/>
      <c r="F2692"/>
      <c r="G2692"/>
      <c r="U2692"/>
      <c r="V2692"/>
      <c r="W2692"/>
      <c r="X2692"/>
      <c r="Y2692"/>
      <c r="Z2692"/>
      <c r="AA2692"/>
      <c r="AB2692"/>
      <c r="AL2692"/>
      <c r="AM2692"/>
      <c r="AN2692"/>
      <c r="AO2692"/>
    </row>
    <row r="2693" spans="1:41" s="2" customFormat="1" x14ac:dyDescent="0.2">
      <c r="A2693"/>
      <c r="B2693"/>
      <c r="C2693"/>
      <c r="D2693"/>
      <c r="E2693"/>
      <c r="F2693"/>
      <c r="G2693"/>
      <c r="U2693"/>
      <c r="V2693"/>
      <c r="W2693"/>
      <c r="X2693"/>
      <c r="Y2693"/>
      <c r="Z2693"/>
      <c r="AA2693"/>
      <c r="AB2693"/>
      <c r="AL2693"/>
      <c r="AM2693"/>
      <c r="AN2693"/>
      <c r="AO2693"/>
    </row>
    <row r="2694" spans="1:41" s="2" customFormat="1" x14ac:dyDescent="0.2">
      <c r="A2694"/>
      <c r="B2694"/>
      <c r="C2694"/>
      <c r="D2694"/>
      <c r="E2694"/>
      <c r="F2694"/>
      <c r="G2694"/>
      <c r="U2694"/>
      <c r="V2694"/>
      <c r="W2694"/>
      <c r="X2694"/>
      <c r="Y2694"/>
      <c r="Z2694"/>
      <c r="AA2694"/>
      <c r="AB2694"/>
      <c r="AL2694"/>
      <c r="AM2694"/>
      <c r="AN2694"/>
      <c r="AO2694"/>
    </row>
    <row r="2695" spans="1:41" s="2" customFormat="1" x14ac:dyDescent="0.2">
      <c r="A2695"/>
      <c r="B2695"/>
      <c r="C2695"/>
      <c r="D2695"/>
      <c r="E2695"/>
      <c r="F2695"/>
      <c r="G2695"/>
      <c r="U2695"/>
      <c r="V2695"/>
      <c r="W2695"/>
      <c r="X2695"/>
      <c r="Y2695"/>
      <c r="Z2695"/>
      <c r="AA2695"/>
      <c r="AB2695"/>
      <c r="AL2695"/>
      <c r="AM2695"/>
      <c r="AN2695"/>
      <c r="AO2695"/>
    </row>
    <row r="2696" spans="1:41" s="2" customFormat="1" x14ac:dyDescent="0.2">
      <c r="A2696"/>
      <c r="B2696"/>
      <c r="C2696"/>
      <c r="D2696"/>
      <c r="E2696"/>
      <c r="F2696"/>
      <c r="G2696"/>
      <c r="U2696"/>
      <c r="V2696"/>
      <c r="W2696"/>
      <c r="X2696"/>
      <c r="Y2696"/>
      <c r="Z2696"/>
      <c r="AA2696"/>
      <c r="AB2696"/>
      <c r="AL2696"/>
      <c r="AM2696"/>
      <c r="AN2696"/>
      <c r="AO2696"/>
    </row>
    <row r="2697" spans="1:41" s="2" customFormat="1" x14ac:dyDescent="0.2">
      <c r="A2697"/>
      <c r="B2697"/>
      <c r="C2697"/>
      <c r="D2697"/>
      <c r="E2697"/>
      <c r="F2697"/>
      <c r="G2697"/>
      <c r="U2697"/>
      <c r="V2697"/>
      <c r="W2697"/>
      <c r="X2697"/>
      <c r="Y2697"/>
      <c r="Z2697"/>
      <c r="AA2697"/>
      <c r="AB2697"/>
      <c r="AL2697"/>
      <c r="AM2697"/>
      <c r="AN2697"/>
      <c r="AO2697"/>
    </row>
    <row r="2698" spans="1:41" s="2" customFormat="1" x14ac:dyDescent="0.2">
      <c r="A2698"/>
      <c r="B2698"/>
      <c r="C2698"/>
      <c r="D2698"/>
      <c r="E2698"/>
      <c r="F2698"/>
      <c r="G2698"/>
      <c r="U2698"/>
      <c r="V2698"/>
      <c r="W2698"/>
      <c r="X2698"/>
      <c r="Y2698"/>
      <c r="Z2698"/>
      <c r="AA2698"/>
      <c r="AB2698"/>
      <c r="AL2698"/>
      <c r="AM2698"/>
      <c r="AN2698"/>
      <c r="AO2698"/>
    </row>
    <row r="2699" spans="1:41" s="2" customFormat="1" x14ac:dyDescent="0.2">
      <c r="A2699"/>
      <c r="B2699"/>
      <c r="C2699"/>
      <c r="D2699"/>
      <c r="E2699"/>
      <c r="F2699"/>
      <c r="G2699"/>
      <c r="U2699"/>
      <c r="V2699"/>
      <c r="W2699"/>
      <c r="X2699"/>
      <c r="Y2699"/>
      <c r="Z2699"/>
      <c r="AA2699"/>
      <c r="AB2699"/>
      <c r="AL2699"/>
      <c r="AM2699"/>
      <c r="AN2699"/>
      <c r="AO2699"/>
    </row>
    <row r="2700" spans="1:41" s="2" customFormat="1" x14ac:dyDescent="0.2">
      <c r="A2700"/>
      <c r="B2700"/>
      <c r="C2700"/>
      <c r="D2700"/>
      <c r="E2700"/>
      <c r="F2700"/>
      <c r="G2700"/>
      <c r="U2700"/>
      <c r="V2700"/>
      <c r="W2700"/>
      <c r="X2700"/>
      <c r="Y2700"/>
      <c r="Z2700"/>
      <c r="AA2700"/>
      <c r="AB2700"/>
      <c r="AL2700"/>
      <c r="AM2700"/>
      <c r="AN2700"/>
      <c r="AO2700"/>
    </row>
    <row r="2701" spans="1:41" s="2" customFormat="1" x14ac:dyDescent="0.2">
      <c r="A2701"/>
      <c r="B2701"/>
      <c r="C2701"/>
      <c r="D2701"/>
      <c r="E2701"/>
      <c r="F2701"/>
      <c r="G2701"/>
      <c r="U2701"/>
      <c r="V2701"/>
      <c r="W2701"/>
      <c r="X2701"/>
      <c r="Y2701"/>
      <c r="Z2701"/>
      <c r="AA2701"/>
      <c r="AB2701"/>
      <c r="AL2701"/>
      <c r="AM2701"/>
      <c r="AN2701"/>
      <c r="AO2701"/>
    </row>
    <row r="2702" spans="1:41" s="2" customFormat="1" x14ac:dyDescent="0.2">
      <c r="A2702"/>
      <c r="B2702"/>
      <c r="C2702"/>
      <c r="D2702"/>
      <c r="E2702"/>
      <c r="F2702"/>
      <c r="G2702"/>
      <c r="U2702"/>
      <c r="V2702"/>
      <c r="W2702"/>
      <c r="X2702"/>
      <c r="Y2702"/>
      <c r="Z2702"/>
      <c r="AA2702"/>
      <c r="AB2702"/>
      <c r="AL2702"/>
      <c r="AM2702"/>
      <c r="AN2702"/>
      <c r="AO2702"/>
    </row>
    <row r="2703" spans="1:41" s="2" customFormat="1" x14ac:dyDescent="0.2">
      <c r="A2703"/>
      <c r="B2703"/>
      <c r="C2703"/>
      <c r="D2703"/>
      <c r="E2703"/>
      <c r="F2703"/>
      <c r="G2703"/>
      <c r="U2703"/>
      <c r="V2703"/>
      <c r="W2703"/>
      <c r="X2703"/>
      <c r="Y2703"/>
      <c r="Z2703"/>
      <c r="AA2703"/>
      <c r="AB2703"/>
      <c r="AL2703"/>
      <c r="AM2703"/>
      <c r="AN2703"/>
      <c r="AO2703"/>
    </row>
    <row r="2704" spans="1:41" s="2" customFormat="1" x14ac:dyDescent="0.2">
      <c r="A2704"/>
      <c r="B2704"/>
      <c r="C2704"/>
      <c r="D2704"/>
      <c r="E2704"/>
      <c r="F2704"/>
      <c r="G2704"/>
      <c r="U2704"/>
      <c r="V2704"/>
      <c r="W2704"/>
      <c r="X2704"/>
      <c r="Y2704"/>
      <c r="Z2704"/>
      <c r="AA2704"/>
      <c r="AB2704"/>
      <c r="AL2704"/>
      <c r="AM2704"/>
      <c r="AN2704"/>
      <c r="AO2704"/>
    </row>
    <row r="2705" spans="1:41" s="2" customFormat="1" x14ac:dyDescent="0.2">
      <c r="A2705"/>
      <c r="B2705"/>
      <c r="C2705"/>
      <c r="D2705"/>
      <c r="E2705"/>
      <c r="F2705"/>
      <c r="G2705"/>
      <c r="U2705"/>
      <c r="V2705"/>
      <c r="W2705"/>
      <c r="X2705"/>
      <c r="Y2705"/>
      <c r="Z2705"/>
      <c r="AA2705"/>
      <c r="AB2705"/>
      <c r="AL2705"/>
      <c r="AM2705"/>
      <c r="AN2705"/>
      <c r="AO2705"/>
    </row>
    <row r="2706" spans="1:41" s="2" customFormat="1" x14ac:dyDescent="0.2">
      <c r="A2706"/>
      <c r="B2706"/>
      <c r="C2706"/>
      <c r="D2706"/>
      <c r="E2706"/>
      <c r="F2706"/>
      <c r="G2706"/>
      <c r="U2706"/>
      <c r="V2706"/>
      <c r="W2706"/>
      <c r="X2706"/>
      <c r="Y2706"/>
      <c r="Z2706"/>
      <c r="AA2706"/>
      <c r="AB2706"/>
      <c r="AL2706"/>
      <c r="AM2706"/>
      <c r="AN2706"/>
      <c r="AO2706"/>
    </row>
    <row r="2707" spans="1:41" s="2" customFormat="1" x14ac:dyDescent="0.2">
      <c r="A2707"/>
      <c r="B2707"/>
      <c r="C2707"/>
      <c r="D2707"/>
      <c r="E2707"/>
      <c r="F2707"/>
      <c r="G2707"/>
      <c r="U2707"/>
      <c r="V2707"/>
      <c r="W2707"/>
      <c r="X2707"/>
      <c r="Y2707"/>
      <c r="Z2707"/>
      <c r="AA2707"/>
      <c r="AB2707"/>
      <c r="AL2707"/>
      <c r="AM2707"/>
      <c r="AN2707"/>
      <c r="AO2707"/>
    </row>
    <row r="2708" spans="1:41" s="2" customFormat="1" x14ac:dyDescent="0.2">
      <c r="A2708"/>
      <c r="B2708"/>
      <c r="C2708"/>
      <c r="D2708"/>
      <c r="E2708"/>
      <c r="F2708"/>
      <c r="G2708"/>
      <c r="U2708"/>
      <c r="V2708"/>
      <c r="W2708"/>
      <c r="X2708"/>
      <c r="Y2708"/>
      <c r="Z2708"/>
      <c r="AA2708"/>
      <c r="AB2708"/>
      <c r="AL2708"/>
      <c r="AM2708"/>
      <c r="AN2708"/>
      <c r="AO2708"/>
    </row>
    <row r="2709" spans="1:41" s="2" customFormat="1" x14ac:dyDescent="0.2">
      <c r="A2709"/>
      <c r="B2709"/>
      <c r="C2709"/>
      <c r="D2709"/>
      <c r="E2709"/>
      <c r="F2709"/>
      <c r="G2709"/>
      <c r="U2709"/>
      <c r="V2709"/>
      <c r="W2709"/>
      <c r="X2709"/>
      <c r="Y2709"/>
      <c r="Z2709"/>
      <c r="AA2709"/>
      <c r="AB2709"/>
      <c r="AL2709"/>
      <c r="AM2709"/>
      <c r="AN2709"/>
      <c r="AO2709"/>
    </row>
    <row r="2710" spans="1:41" s="2" customFormat="1" x14ac:dyDescent="0.2">
      <c r="A2710"/>
      <c r="B2710"/>
      <c r="C2710"/>
      <c r="D2710"/>
      <c r="E2710"/>
      <c r="F2710"/>
      <c r="G2710"/>
      <c r="U2710"/>
      <c r="V2710"/>
      <c r="W2710"/>
      <c r="X2710"/>
      <c r="Y2710"/>
      <c r="Z2710"/>
      <c r="AA2710"/>
      <c r="AB2710"/>
      <c r="AL2710"/>
      <c r="AM2710"/>
      <c r="AN2710"/>
      <c r="AO2710"/>
    </row>
    <row r="2711" spans="1:41" s="2" customFormat="1" x14ac:dyDescent="0.2">
      <c r="A2711"/>
      <c r="B2711"/>
      <c r="C2711"/>
      <c r="D2711"/>
      <c r="E2711"/>
      <c r="F2711"/>
      <c r="G2711"/>
      <c r="U2711"/>
      <c r="V2711"/>
      <c r="W2711"/>
      <c r="X2711"/>
      <c r="Y2711"/>
      <c r="Z2711"/>
      <c r="AA2711"/>
      <c r="AB2711"/>
      <c r="AL2711"/>
      <c r="AM2711"/>
      <c r="AN2711"/>
      <c r="AO2711"/>
    </row>
    <row r="2712" spans="1:41" s="2" customFormat="1" x14ac:dyDescent="0.2">
      <c r="A2712"/>
      <c r="B2712"/>
      <c r="C2712"/>
      <c r="D2712"/>
      <c r="E2712"/>
      <c r="F2712"/>
      <c r="G2712"/>
      <c r="U2712"/>
      <c r="V2712"/>
      <c r="W2712"/>
      <c r="X2712"/>
      <c r="Y2712"/>
      <c r="Z2712"/>
      <c r="AA2712"/>
      <c r="AB2712"/>
      <c r="AL2712"/>
      <c r="AM2712"/>
      <c r="AN2712"/>
      <c r="AO2712"/>
    </row>
    <row r="2713" spans="1:41" s="2" customFormat="1" x14ac:dyDescent="0.2">
      <c r="A2713"/>
      <c r="B2713"/>
      <c r="C2713"/>
      <c r="D2713"/>
      <c r="E2713"/>
      <c r="F2713"/>
      <c r="G2713"/>
      <c r="U2713"/>
      <c r="V2713"/>
      <c r="W2713"/>
      <c r="X2713"/>
      <c r="Y2713"/>
      <c r="Z2713"/>
      <c r="AA2713"/>
      <c r="AB2713"/>
      <c r="AL2713"/>
      <c r="AM2713"/>
      <c r="AN2713"/>
      <c r="AO2713"/>
    </row>
    <row r="2714" spans="1:41" s="2" customFormat="1" x14ac:dyDescent="0.2">
      <c r="A2714"/>
      <c r="B2714"/>
      <c r="C2714"/>
      <c r="D2714"/>
      <c r="E2714"/>
      <c r="F2714"/>
      <c r="G2714"/>
      <c r="U2714"/>
      <c r="V2714"/>
      <c r="W2714"/>
      <c r="X2714"/>
      <c r="Y2714"/>
      <c r="Z2714"/>
      <c r="AA2714"/>
      <c r="AB2714"/>
      <c r="AL2714"/>
      <c r="AM2714"/>
      <c r="AN2714"/>
      <c r="AO2714"/>
    </row>
    <row r="2715" spans="1:41" s="2" customFormat="1" x14ac:dyDescent="0.2">
      <c r="A2715"/>
      <c r="B2715"/>
      <c r="C2715"/>
      <c r="D2715"/>
      <c r="E2715"/>
      <c r="F2715"/>
      <c r="G2715"/>
      <c r="U2715"/>
      <c r="V2715"/>
      <c r="W2715"/>
      <c r="X2715"/>
      <c r="Y2715"/>
      <c r="Z2715"/>
      <c r="AA2715"/>
      <c r="AB2715"/>
      <c r="AL2715"/>
      <c r="AM2715"/>
      <c r="AN2715"/>
      <c r="AO2715"/>
    </row>
    <row r="2716" spans="1:41" s="2" customFormat="1" x14ac:dyDescent="0.2">
      <c r="A2716"/>
      <c r="B2716"/>
      <c r="C2716"/>
      <c r="D2716"/>
      <c r="E2716"/>
      <c r="F2716"/>
      <c r="G2716"/>
      <c r="U2716"/>
      <c r="V2716"/>
      <c r="W2716"/>
      <c r="X2716"/>
      <c r="Y2716"/>
      <c r="Z2716"/>
      <c r="AA2716"/>
      <c r="AB2716"/>
      <c r="AL2716"/>
      <c r="AM2716"/>
      <c r="AN2716"/>
      <c r="AO2716"/>
    </row>
    <row r="2717" spans="1:41" s="2" customFormat="1" x14ac:dyDescent="0.2">
      <c r="A2717"/>
      <c r="B2717"/>
      <c r="C2717"/>
      <c r="D2717"/>
      <c r="E2717"/>
      <c r="F2717"/>
      <c r="G2717"/>
      <c r="U2717"/>
      <c r="V2717"/>
      <c r="W2717"/>
      <c r="X2717"/>
      <c r="Y2717"/>
      <c r="Z2717"/>
      <c r="AA2717"/>
      <c r="AB2717"/>
      <c r="AL2717"/>
      <c r="AM2717"/>
      <c r="AN2717"/>
      <c r="AO2717"/>
    </row>
    <row r="2718" spans="1:41" s="2" customFormat="1" x14ac:dyDescent="0.2">
      <c r="A2718"/>
      <c r="B2718"/>
      <c r="C2718"/>
      <c r="D2718"/>
      <c r="E2718"/>
      <c r="F2718"/>
      <c r="G2718"/>
      <c r="U2718"/>
      <c r="V2718"/>
      <c r="W2718"/>
      <c r="X2718"/>
      <c r="Y2718"/>
      <c r="Z2718"/>
      <c r="AA2718"/>
      <c r="AB2718"/>
      <c r="AL2718"/>
      <c r="AM2718"/>
      <c r="AN2718"/>
      <c r="AO2718"/>
    </row>
    <row r="2719" spans="1:41" s="2" customFormat="1" x14ac:dyDescent="0.2">
      <c r="A2719"/>
      <c r="B2719"/>
      <c r="C2719"/>
      <c r="D2719"/>
      <c r="E2719"/>
      <c r="F2719"/>
      <c r="G2719"/>
      <c r="U2719"/>
      <c r="V2719"/>
      <c r="W2719"/>
      <c r="X2719"/>
      <c r="Y2719"/>
      <c r="Z2719"/>
      <c r="AA2719"/>
      <c r="AB2719"/>
      <c r="AL2719"/>
      <c r="AM2719"/>
      <c r="AN2719"/>
      <c r="AO2719"/>
    </row>
    <row r="2720" spans="1:41" s="2" customFormat="1" x14ac:dyDescent="0.2">
      <c r="A2720"/>
      <c r="B2720"/>
      <c r="C2720"/>
      <c r="D2720"/>
      <c r="E2720"/>
      <c r="F2720"/>
      <c r="G2720"/>
      <c r="U2720"/>
      <c r="V2720"/>
      <c r="W2720"/>
      <c r="X2720"/>
      <c r="Y2720"/>
      <c r="Z2720"/>
      <c r="AA2720"/>
      <c r="AB2720"/>
      <c r="AL2720"/>
      <c r="AM2720"/>
      <c r="AN2720"/>
      <c r="AO2720"/>
    </row>
    <row r="2721" spans="1:41" s="2" customFormat="1" x14ac:dyDescent="0.2">
      <c r="A2721"/>
      <c r="B2721"/>
      <c r="C2721"/>
      <c r="D2721"/>
      <c r="E2721"/>
      <c r="F2721"/>
      <c r="G2721"/>
      <c r="U2721"/>
      <c r="V2721"/>
      <c r="W2721"/>
      <c r="X2721"/>
      <c r="Y2721"/>
      <c r="Z2721"/>
      <c r="AA2721"/>
      <c r="AB2721"/>
      <c r="AL2721"/>
      <c r="AM2721"/>
      <c r="AN2721"/>
      <c r="AO2721"/>
    </row>
    <row r="2722" spans="1:41" s="2" customFormat="1" x14ac:dyDescent="0.2">
      <c r="A2722"/>
      <c r="B2722"/>
      <c r="C2722"/>
      <c r="D2722"/>
      <c r="E2722"/>
      <c r="F2722"/>
      <c r="G2722"/>
      <c r="U2722"/>
      <c r="V2722"/>
      <c r="W2722"/>
      <c r="X2722"/>
      <c r="Y2722"/>
      <c r="Z2722"/>
      <c r="AA2722"/>
      <c r="AB2722"/>
      <c r="AL2722"/>
      <c r="AM2722"/>
      <c r="AN2722"/>
      <c r="AO2722"/>
    </row>
    <row r="2723" spans="1:41" s="2" customFormat="1" x14ac:dyDescent="0.2">
      <c r="A2723"/>
      <c r="B2723"/>
      <c r="C2723"/>
      <c r="D2723"/>
      <c r="E2723"/>
      <c r="F2723"/>
      <c r="G2723"/>
      <c r="U2723"/>
      <c r="V2723"/>
      <c r="W2723"/>
      <c r="X2723"/>
      <c r="Y2723"/>
      <c r="Z2723"/>
      <c r="AA2723"/>
      <c r="AB2723"/>
      <c r="AL2723"/>
      <c r="AM2723"/>
      <c r="AN2723"/>
      <c r="AO2723"/>
    </row>
    <row r="2724" spans="1:41" s="2" customFormat="1" x14ac:dyDescent="0.2">
      <c r="A2724"/>
      <c r="B2724"/>
      <c r="C2724"/>
      <c r="D2724"/>
      <c r="E2724"/>
      <c r="F2724"/>
      <c r="G2724"/>
      <c r="U2724"/>
      <c r="V2724"/>
      <c r="W2724"/>
      <c r="X2724"/>
      <c r="Y2724"/>
      <c r="Z2724"/>
      <c r="AA2724"/>
      <c r="AB2724"/>
      <c r="AL2724"/>
      <c r="AM2724"/>
      <c r="AN2724"/>
      <c r="AO2724"/>
    </row>
    <row r="2725" spans="1:41" s="2" customFormat="1" x14ac:dyDescent="0.2">
      <c r="A2725"/>
      <c r="B2725"/>
      <c r="C2725"/>
      <c r="D2725"/>
      <c r="E2725"/>
      <c r="F2725"/>
      <c r="G2725"/>
      <c r="U2725"/>
      <c r="V2725"/>
      <c r="W2725"/>
      <c r="X2725"/>
      <c r="Y2725"/>
      <c r="Z2725"/>
      <c r="AA2725"/>
      <c r="AB2725"/>
      <c r="AL2725"/>
      <c r="AM2725"/>
      <c r="AN2725"/>
      <c r="AO2725"/>
    </row>
    <row r="2726" spans="1:41" s="2" customFormat="1" x14ac:dyDescent="0.2">
      <c r="A2726"/>
      <c r="B2726"/>
      <c r="C2726"/>
      <c r="D2726"/>
      <c r="E2726"/>
      <c r="F2726"/>
      <c r="G2726"/>
      <c r="U2726"/>
      <c r="V2726"/>
      <c r="W2726"/>
      <c r="X2726"/>
      <c r="Y2726"/>
      <c r="Z2726"/>
      <c r="AA2726"/>
      <c r="AB2726"/>
      <c r="AL2726"/>
      <c r="AM2726"/>
      <c r="AN2726"/>
      <c r="AO2726"/>
    </row>
    <row r="2727" spans="1:41" s="2" customFormat="1" x14ac:dyDescent="0.2">
      <c r="A2727"/>
      <c r="B2727"/>
      <c r="C2727"/>
      <c r="D2727"/>
      <c r="E2727"/>
      <c r="F2727"/>
      <c r="G2727"/>
      <c r="U2727"/>
      <c r="V2727"/>
      <c r="W2727"/>
      <c r="X2727"/>
      <c r="Y2727"/>
      <c r="Z2727"/>
      <c r="AA2727"/>
      <c r="AB2727"/>
      <c r="AL2727"/>
      <c r="AM2727"/>
      <c r="AN2727"/>
      <c r="AO2727"/>
    </row>
    <row r="2728" spans="1:41" s="2" customFormat="1" x14ac:dyDescent="0.2">
      <c r="A2728"/>
      <c r="B2728"/>
      <c r="C2728"/>
      <c r="D2728"/>
      <c r="E2728"/>
      <c r="F2728"/>
      <c r="G2728"/>
      <c r="U2728"/>
      <c r="V2728"/>
      <c r="W2728"/>
      <c r="X2728"/>
      <c r="Y2728"/>
      <c r="Z2728"/>
      <c r="AA2728"/>
      <c r="AB2728"/>
      <c r="AL2728"/>
      <c r="AM2728"/>
      <c r="AN2728"/>
      <c r="AO2728"/>
    </row>
    <row r="2729" spans="1:41" s="2" customFormat="1" x14ac:dyDescent="0.2">
      <c r="A2729"/>
      <c r="B2729"/>
      <c r="C2729"/>
      <c r="D2729"/>
      <c r="E2729"/>
      <c r="F2729"/>
      <c r="G2729"/>
      <c r="U2729"/>
      <c r="V2729"/>
      <c r="W2729"/>
      <c r="X2729"/>
      <c r="Y2729"/>
      <c r="Z2729"/>
      <c r="AA2729"/>
      <c r="AB2729"/>
      <c r="AL2729"/>
      <c r="AM2729"/>
      <c r="AN2729"/>
      <c r="AO2729"/>
    </row>
    <row r="2730" spans="1:41" s="2" customFormat="1" x14ac:dyDescent="0.2">
      <c r="A2730"/>
      <c r="B2730"/>
      <c r="C2730"/>
      <c r="D2730"/>
      <c r="E2730"/>
      <c r="F2730"/>
      <c r="G2730"/>
      <c r="U2730"/>
      <c r="V2730"/>
      <c r="W2730"/>
      <c r="X2730"/>
      <c r="Y2730"/>
      <c r="Z2730"/>
      <c r="AA2730"/>
      <c r="AB2730"/>
      <c r="AL2730"/>
      <c r="AM2730"/>
      <c r="AN2730"/>
      <c r="AO2730"/>
    </row>
    <row r="2731" spans="1:41" s="2" customFormat="1" x14ac:dyDescent="0.2">
      <c r="A2731"/>
      <c r="B2731"/>
      <c r="C2731"/>
      <c r="D2731"/>
      <c r="E2731"/>
      <c r="F2731"/>
      <c r="G2731"/>
      <c r="U2731"/>
      <c r="V2731"/>
      <c r="W2731"/>
      <c r="X2731"/>
      <c r="Y2731"/>
      <c r="Z2731"/>
      <c r="AA2731"/>
      <c r="AB2731"/>
      <c r="AL2731"/>
      <c r="AM2731"/>
      <c r="AN2731"/>
      <c r="AO2731"/>
    </row>
    <row r="2732" spans="1:41" s="2" customFormat="1" x14ac:dyDescent="0.2">
      <c r="A2732"/>
      <c r="B2732"/>
      <c r="C2732"/>
      <c r="D2732"/>
      <c r="E2732"/>
      <c r="F2732"/>
      <c r="G2732"/>
      <c r="U2732"/>
      <c r="V2732"/>
      <c r="W2732"/>
      <c r="X2732"/>
      <c r="Y2732"/>
      <c r="Z2732"/>
      <c r="AA2732"/>
      <c r="AB2732"/>
      <c r="AL2732"/>
      <c r="AM2732"/>
      <c r="AN2732"/>
      <c r="AO2732"/>
    </row>
    <row r="2733" spans="1:41" s="2" customFormat="1" x14ac:dyDescent="0.2">
      <c r="A2733"/>
      <c r="B2733"/>
      <c r="C2733"/>
      <c r="D2733"/>
      <c r="E2733"/>
      <c r="F2733"/>
      <c r="G2733"/>
      <c r="U2733"/>
      <c r="V2733"/>
      <c r="W2733"/>
      <c r="X2733"/>
      <c r="Y2733"/>
      <c r="Z2733"/>
      <c r="AA2733"/>
      <c r="AB2733"/>
      <c r="AL2733"/>
      <c r="AM2733"/>
      <c r="AN2733"/>
      <c r="AO2733"/>
    </row>
    <row r="2734" spans="1:41" s="2" customFormat="1" x14ac:dyDescent="0.2">
      <c r="A2734"/>
      <c r="B2734"/>
      <c r="C2734"/>
      <c r="D2734"/>
      <c r="E2734"/>
      <c r="F2734"/>
      <c r="G2734"/>
      <c r="U2734"/>
      <c r="V2734"/>
      <c r="W2734"/>
      <c r="X2734"/>
      <c r="Y2734"/>
      <c r="Z2734"/>
      <c r="AA2734"/>
      <c r="AB2734"/>
      <c r="AL2734"/>
      <c r="AM2734"/>
      <c r="AN2734"/>
      <c r="AO2734"/>
    </row>
    <row r="2735" spans="1:41" s="2" customFormat="1" x14ac:dyDescent="0.2">
      <c r="A2735"/>
      <c r="B2735"/>
      <c r="C2735"/>
      <c r="D2735"/>
      <c r="E2735"/>
      <c r="F2735"/>
      <c r="G2735"/>
      <c r="U2735"/>
      <c r="V2735"/>
      <c r="W2735"/>
      <c r="X2735"/>
      <c r="Y2735"/>
      <c r="Z2735"/>
      <c r="AA2735"/>
      <c r="AB2735"/>
      <c r="AL2735"/>
      <c r="AM2735"/>
      <c r="AN2735"/>
      <c r="AO2735"/>
    </row>
    <row r="2736" spans="1:41" s="2" customFormat="1" x14ac:dyDescent="0.2">
      <c r="A2736"/>
      <c r="B2736"/>
      <c r="C2736"/>
      <c r="D2736"/>
      <c r="E2736"/>
      <c r="F2736"/>
      <c r="G2736"/>
      <c r="U2736"/>
      <c r="V2736"/>
      <c r="W2736"/>
      <c r="X2736"/>
      <c r="Y2736"/>
      <c r="Z2736"/>
      <c r="AA2736"/>
      <c r="AB2736"/>
      <c r="AL2736"/>
      <c r="AM2736"/>
      <c r="AN2736"/>
      <c r="AO2736"/>
    </row>
    <row r="2737" spans="1:41" s="2" customFormat="1" x14ac:dyDescent="0.2">
      <c r="A2737"/>
      <c r="B2737"/>
      <c r="C2737"/>
      <c r="D2737"/>
      <c r="E2737"/>
      <c r="F2737"/>
      <c r="G2737"/>
      <c r="U2737"/>
      <c r="V2737"/>
      <c r="W2737"/>
      <c r="X2737"/>
      <c r="Y2737"/>
      <c r="Z2737"/>
      <c r="AA2737"/>
      <c r="AB2737"/>
      <c r="AL2737"/>
      <c r="AM2737"/>
      <c r="AN2737"/>
      <c r="AO2737"/>
    </row>
    <row r="2738" spans="1:41" s="2" customFormat="1" x14ac:dyDescent="0.2">
      <c r="A2738"/>
      <c r="B2738"/>
      <c r="C2738"/>
      <c r="D2738"/>
      <c r="E2738"/>
      <c r="F2738"/>
      <c r="G2738"/>
      <c r="U2738"/>
      <c r="V2738"/>
      <c r="W2738"/>
      <c r="X2738"/>
      <c r="Y2738"/>
      <c r="Z2738"/>
      <c r="AA2738"/>
      <c r="AB2738"/>
      <c r="AL2738"/>
      <c r="AM2738"/>
      <c r="AN2738"/>
      <c r="AO2738"/>
    </row>
    <row r="2739" spans="1:41" s="2" customFormat="1" x14ac:dyDescent="0.2">
      <c r="A2739"/>
      <c r="B2739"/>
      <c r="C2739"/>
      <c r="D2739"/>
      <c r="E2739"/>
      <c r="F2739"/>
      <c r="G2739"/>
      <c r="U2739"/>
      <c r="V2739"/>
      <c r="W2739"/>
      <c r="X2739"/>
      <c r="Y2739"/>
      <c r="Z2739"/>
      <c r="AA2739"/>
      <c r="AB2739"/>
      <c r="AL2739"/>
      <c r="AM2739"/>
      <c r="AN2739"/>
      <c r="AO2739"/>
    </row>
    <row r="2740" spans="1:41" s="2" customFormat="1" x14ac:dyDescent="0.2">
      <c r="A2740"/>
      <c r="B2740"/>
      <c r="C2740"/>
      <c r="D2740"/>
      <c r="E2740"/>
      <c r="F2740"/>
      <c r="G2740"/>
      <c r="U2740"/>
      <c r="V2740"/>
      <c r="W2740"/>
      <c r="X2740"/>
      <c r="Y2740"/>
      <c r="Z2740"/>
      <c r="AA2740"/>
      <c r="AB2740"/>
      <c r="AL2740"/>
      <c r="AM2740"/>
      <c r="AN2740"/>
      <c r="AO2740"/>
    </row>
    <row r="2741" spans="1:41" s="2" customFormat="1" x14ac:dyDescent="0.2">
      <c r="A2741"/>
      <c r="B2741"/>
      <c r="C2741"/>
      <c r="D2741"/>
      <c r="E2741"/>
      <c r="F2741"/>
      <c r="G2741"/>
      <c r="U2741"/>
      <c r="V2741"/>
      <c r="W2741"/>
      <c r="X2741"/>
      <c r="Y2741"/>
      <c r="Z2741"/>
      <c r="AA2741"/>
      <c r="AB2741"/>
      <c r="AL2741"/>
      <c r="AM2741"/>
      <c r="AN2741"/>
      <c r="AO2741"/>
    </row>
    <row r="2742" spans="1:41" s="2" customFormat="1" x14ac:dyDescent="0.2">
      <c r="A2742"/>
      <c r="B2742"/>
      <c r="C2742"/>
      <c r="D2742"/>
      <c r="E2742"/>
      <c r="F2742"/>
      <c r="G2742"/>
      <c r="U2742"/>
      <c r="V2742"/>
      <c r="W2742"/>
      <c r="X2742"/>
      <c r="Y2742"/>
      <c r="Z2742"/>
      <c r="AA2742"/>
      <c r="AB2742"/>
      <c r="AL2742"/>
      <c r="AM2742"/>
      <c r="AN2742"/>
      <c r="AO2742"/>
    </row>
    <row r="2743" spans="1:41" s="2" customFormat="1" x14ac:dyDescent="0.2">
      <c r="A2743"/>
      <c r="B2743"/>
      <c r="C2743"/>
      <c r="D2743"/>
      <c r="E2743"/>
      <c r="F2743"/>
      <c r="G2743"/>
      <c r="U2743"/>
      <c r="V2743"/>
      <c r="W2743"/>
      <c r="X2743"/>
      <c r="Y2743"/>
      <c r="Z2743"/>
      <c r="AA2743"/>
      <c r="AB2743"/>
      <c r="AL2743"/>
      <c r="AM2743"/>
      <c r="AN2743"/>
      <c r="AO2743"/>
    </row>
    <row r="2744" spans="1:41" s="2" customFormat="1" x14ac:dyDescent="0.2">
      <c r="A2744"/>
      <c r="B2744"/>
      <c r="C2744"/>
      <c r="D2744"/>
      <c r="E2744"/>
      <c r="F2744"/>
      <c r="G2744"/>
      <c r="U2744"/>
      <c r="V2744"/>
      <c r="W2744"/>
      <c r="X2744"/>
      <c r="Y2744"/>
      <c r="Z2744"/>
      <c r="AA2744"/>
      <c r="AB2744"/>
      <c r="AL2744"/>
      <c r="AM2744"/>
      <c r="AN2744"/>
      <c r="AO2744"/>
    </row>
    <row r="2745" spans="1:41" s="2" customFormat="1" x14ac:dyDescent="0.2">
      <c r="A2745"/>
      <c r="B2745"/>
      <c r="C2745"/>
      <c r="D2745"/>
      <c r="E2745"/>
      <c r="F2745"/>
      <c r="G2745"/>
      <c r="U2745"/>
      <c r="V2745"/>
      <c r="W2745"/>
      <c r="X2745"/>
      <c r="Y2745"/>
      <c r="Z2745"/>
      <c r="AA2745"/>
      <c r="AB2745"/>
      <c r="AL2745"/>
      <c r="AM2745"/>
      <c r="AN2745"/>
      <c r="AO2745"/>
    </row>
    <row r="2746" spans="1:41" s="2" customFormat="1" x14ac:dyDescent="0.2">
      <c r="A2746"/>
      <c r="B2746"/>
      <c r="C2746"/>
      <c r="D2746"/>
      <c r="E2746"/>
      <c r="F2746"/>
      <c r="G2746"/>
      <c r="U2746"/>
      <c r="V2746"/>
      <c r="W2746"/>
      <c r="X2746"/>
      <c r="Y2746"/>
      <c r="Z2746"/>
      <c r="AA2746"/>
      <c r="AB2746"/>
      <c r="AL2746"/>
      <c r="AM2746"/>
      <c r="AN2746"/>
      <c r="AO2746"/>
    </row>
    <row r="2747" spans="1:41" s="2" customFormat="1" x14ac:dyDescent="0.2">
      <c r="A2747"/>
      <c r="B2747"/>
      <c r="C2747"/>
      <c r="D2747"/>
      <c r="E2747"/>
      <c r="F2747"/>
      <c r="G2747"/>
      <c r="U2747"/>
      <c r="V2747"/>
      <c r="W2747"/>
      <c r="X2747"/>
      <c r="Y2747"/>
      <c r="Z2747"/>
      <c r="AA2747"/>
      <c r="AB2747"/>
      <c r="AL2747"/>
      <c r="AM2747"/>
      <c r="AN2747"/>
      <c r="AO2747"/>
    </row>
    <row r="2748" spans="1:41" s="2" customFormat="1" x14ac:dyDescent="0.2">
      <c r="A2748"/>
      <c r="B2748"/>
      <c r="C2748"/>
      <c r="D2748"/>
      <c r="E2748"/>
      <c r="F2748"/>
      <c r="G2748"/>
      <c r="U2748"/>
      <c r="V2748"/>
      <c r="W2748"/>
      <c r="X2748"/>
      <c r="Y2748"/>
      <c r="Z2748"/>
      <c r="AA2748"/>
      <c r="AB2748"/>
      <c r="AL2748"/>
      <c r="AM2748"/>
      <c r="AN2748"/>
      <c r="AO2748"/>
    </row>
    <row r="2749" spans="1:41" s="2" customFormat="1" x14ac:dyDescent="0.2">
      <c r="A2749"/>
      <c r="B2749"/>
      <c r="C2749"/>
      <c r="D2749"/>
      <c r="E2749"/>
      <c r="F2749"/>
      <c r="G2749"/>
      <c r="U2749"/>
      <c r="V2749"/>
      <c r="W2749"/>
      <c r="X2749"/>
      <c r="Y2749"/>
      <c r="Z2749"/>
      <c r="AA2749"/>
      <c r="AB2749"/>
      <c r="AL2749"/>
      <c r="AM2749"/>
      <c r="AN2749"/>
      <c r="AO2749"/>
    </row>
    <row r="2750" spans="1:41" s="2" customFormat="1" x14ac:dyDescent="0.2">
      <c r="A2750"/>
      <c r="B2750"/>
      <c r="C2750"/>
      <c r="D2750"/>
      <c r="E2750"/>
      <c r="F2750"/>
      <c r="G2750"/>
      <c r="U2750"/>
      <c r="V2750"/>
      <c r="W2750"/>
      <c r="X2750"/>
      <c r="Y2750"/>
      <c r="Z2750"/>
      <c r="AA2750"/>
      <c r="AB2750"/>
      <c r="AL2750"/>
      <c r="AM2750"/>
      <c r="AN2750"/>
      <c r="AO2750"/>
    </row>
    <row r="2751" spans="1:41" s="2" customFormat="1" x14ac:dyDescent="0.2">
      <c r="A2751"/>
      <c r="B2751"/>
      <c r="C2751"/>
      <c r="D2751"/>
      <c r="E2751"/>
      <c r="F2751"/>
      <c r="G2751"/>
      <c r="U2751"/>
      <c r="V2751"/>
      <c r="W2751"/>
      <c r="X2751"/>
      <c r="Y2751"/>
      <c r="Z2751"/>
      <c r="AA2751"/>
      <c r="AB2751"/>
      <c r="AL2751"/>
      <c r="AM2751"/>
      <c r="AN2751"/>
      <c r="AO2751"/>
    </row>
    <row r="2752" spans="1:41" s="2" customFormat="1" x14ac:dyDescent="0.2">
      <c r="A2752"/>
      <c r="B2752"/>
      <c r="C2752"/>
      <c r="D2752"/>
      <c r="E2752"/>
      <c r="F2752"/>
      <c r="G2752"/>
      <c r="U2752"/>
      <c r="V2752"/>
      <c r="W2752"/>
      <c r="X2752"/>
      <c r="Y2752"/>
      <c r="Z2752"/>
      <c r="AA2752"/>
      <c r="AB2752"/>
      <c r="AL2752"/>
      <c r="AM2752"/>
      <c r="AN2752"/>
      <c r="AO2752"/>
    </row>
    <row r="2753" spans="1:41" s="2" customFormat="1" x14ac:dyDescent="0.2">
      <c r="A2753"/>
      <c r="B2753"/>
      <c r="C2753"/>
      <c r="D2753"/>
      <c r="E2753"/>
      <c r="F2753"/>
      <c r="G2753"/>
      <c r="U2753"/>
      <c r="V2753"/>
      <c r="W2753"/>
      <c r="X2753"/>
      <c r="Y2753"/>
      <c r="Z2753"/>
      <c r="AA2753"/>
      <c r="AB2753"/>
      <c r="AL2753"/>
      <c r="AM2753"/>
      <c r="AN2753"/>
      <c r="AO2753"/>
    </row>
    <row r="2754" spans="1:41" s="2" customFormat="1" x14ac:dyDescent="0.2">
      <c r="A2754"/>
      <c r="B2754"/>
      <c r="C2754"/>
      <c r="D2754"/>
      <c r="E2754"/>
      <c r="F2754"/>
      <c r="G2754"/>
      <c r="U2754"/>
      <c r="V2754"/>
      <c r="W2754"/>
      <c r="X2754"/>
      <c r="Y2754"/>
      <c r="Z2754"/>
      <c r="AA2754"/>
      <c r="AB2754"/>
      <c r="AL2754"/>
      <c r="AM2754"/>
      <c r="AN2754"/>
      <c r="AO2754"/>
    </row>
    <row r="2755" spans="1:41" s="2" customFormat="1" x14ac:dyDescent="0.2">
      <c r="A2755"/>
      <c r="B2755"/>
      <c r="C2755"/>
      <c r="D2755"/>
      <c r="E2755"/>
      <c r="F2755"/>
      <c r="G2755"/>
      <c r="U2755"/>
      <c r="V2755"/>
      <c r="W2755"/>
      <c r="X2755"/>
      <c r="Y2755"/>
      <c r="Z2755"/>
      <c r="AA2755"/>
      <c r="AB2755"/>
      <c r="AL2755"/>
      <c r="AM2755"/>
      <c r="AN2755"/>
      <c r="AO2755"/>
    </row>
    <row r="2756" spans="1:41" s="2" customFormat="1" x14ac:dyDescent="0.2">
      <c r="A2756"/>
      <c r="B2756"/>
      <c r="C2756"/>
      <c r="D2756"/>
      <c r="E2756"/>
      <c r="F2756"/>
      <c r="G2756"/>
      <c r="U2756"/>
      <c r="V2756"/>
      <c r="W2756"/>
      <c r="X2756"/>
      <c r="Y2756"/>
      <c r="Z2756"/>
      <c r="AA2756"/>
      <c r="AB2756"/>
      <c r="AL2756"/>
      <c r="AM2756"/>
      <c r="AN2756"/>
      <c r="AO2756"/>
    </row>
    <row r="2757" spans="1:41" s="2" customFormat="1" x14ac:dyDescent="0.2">
      <c r="A2757"/>
      <c r="B2757"/>
      <c r="C2757"/>
      <c r="D2757"/>
      <c r="E2757"/>
      <c r="F2757"/>
      <c r="G2757"/>
      <c r="U2757"/>
      <c r="V2757"/>
      <c r="W2757"/>
      <c r="X2757"/>
      <c r="Y2757"/>
      <c r="Z2757"/>
      <c r="AA2757"/>
      <c r="AB2757"/>
      <c r="AL2757"/>
      <c r="AM2757"/>
      <c r="AN2757"/>
      <c r="AO2757"/>
    </row>
    <row r="2758" spans="1:41" s="2" customFormat="1" x14ac:dyDescent="0.2">
      <c r="A2758"/>
      <c r="B2758"/>
      <c r="C2758"/>
      <c r="D2758"/>
      <c r="E2758"/>
      <c r="F2758"/>
      <c r="G2758"/>
      <c r="U2758"/>
      <c r="V2758"/>
      <c r="W2758"/>
      <c r="X2758"/>
      <c r="Y2758"/>
      <c r="Z2758"/>
      <c r="AA2758"/>
      <c r="AB2758"/>
      <c r="AL2758"/>
      <c r="AM2758"/>
      <c r="AN2758"/>
      <c r="AO2758"/>
    </row>
    <row r="2759" spans="1:41" s="2" customFormat="1" x14ac:dyDescent="0.2">
      <c r="A2759"/>
      <c r="B2759"/>
      <c r="C2759"/>
      <c r="D2759"/>
      <c r="E2759"/>
      <c r="F2759"/>
      <c r="G2759"/>
      <c r="U2759"/>
      <c r="V2759"/>
      <c r="W2759"/>
      <c r="X2759"/>
      <c r="Y2759"/>
      <c r="Z2759"/>
      <c r="AA2759"/>
      <c r="AB2759"/>
      <c r="AL2759"/>
      <c r="AM2759"/>
      <c r="AN2759"/>
      <c r="AO2759"/>
    </row>
    <row r="2760" spans="1:41" s="2" customFormat="1" x14ac:dyDescent="0.2">
      <c r="A2760"/>
      <c r="B2760"/>
      <c r="C2760"/>
      <c r="D2760"/>
      <c r="E2760"/>
      <c r="F2760"/>
      <c r="G2760"/>
      <c r="U2760"/>
      <c r="V2760"/>
      <c r="W2760"/>
      <c r="X2760"/>
      <c r="Y2760"/>
      <c r="Z2760"/>
      <c r="AA2760"/>
      <c r="AB2760"/>
      <c r="AL2760"/>
      <c r="AM2760"/>
      <c r="AN2760"/>
      <c r="AO2760"/>
    </row>
    <row r="2761" spans="1:41" s="2" customFormat="1" x14ac:dyDescent="0.2">
      <c r="A2761"/>
      <c r="B2761"/>
      <c r="C2761"/>
      <c r="D2761"/>
      <c r="E2761"/>
      <c r="F2761"/>
      <c r="G2761"/>
      <c r="U2761"/>
      <c r="V2761"/>
      <c r="W2761"/>
      <c r="X2761"/>
      <c r="Y2761"/>
      <c r="Z2761"/>
      <c r="AA2761"/>
      <c r="AB2761"/>
      <c r="AL2761"/>
      <c r="AM2761"/>
      <c r="AN2761"/>
      <c r="AO2761"/>
    </row>
    <row r="2762" spans="1:41" s="2" customFormat="1" x14ac:dyDescent="0.2">
      <c r="A2762"/>
      <c r="B2762"/>
      <c r="C2762"/>
      <c r="D2762"/>
      <c r="E2762"/>
      <c r="F2762"/>
      <c r="G2762"/>
      <c r="U2762"/>
      <c r="V2762"/>
      <c r="W2762"/>
      <c r="X2762"/>
      <c r="Y2762"/>
      <c r="Z2762"/>
      <c r="AA2762"/>
      <c r="AB2762"/>
      <c r="AL2762"/>
      <c r="AM2762"/>
      <c r="AN2762"/>
      <c r="AO2762"/>
    </row>
    <row r="2763" spans="1:41" s="2" customFormat="1" x14ac:dyDescent="0.2">
      <c r="A2763"/>
      <c r="B2763"/>
      <c r="C2763"/>
      <c r="D2763"/>
      <c r="E2763"/>
      <c r="F2763"/>
      <c r="G2763"/>
      <c r="U2763"/>
      <c r="V2763"/>
      <c r="W2763"/>
      <c r="X2763"/>
      <c r="Y2763"/>
      <c r="Z2763"/>
      <c r="AA2763"/>
      <c r="AB2763"/>
      <c r="AL2763"/>
      <c r="AM2763"/>
      <c r="AN2763"/>
      <c r="AO2763"/>
    </row>
    <row r="2764" spans="1:41" s="2" customFormat="1" x14ac:dyDescent="0.2">
      <c r="A2764"/>
      <c r="B2764"/>
      <c r="C2764"/>
      <c r="D2764"/>
      <c r="E2764"/>
      <c r="F2764"/>
      <c r="G2764"/>
      <c r="U2764"/>
      <c r="V2764"/>
      <c r="W2764"/>
      <c r="X2764"/>
      <c r="Y2764"/>
      <c r="Z2764"/>
      <c r="AA2764"/>
      <c r="AB2764"/>
      <c r="AL2764"/>
      <c r="AM2764"/>
      <c r="AN2764"/>
      <c r="AO2764"/>
    </row>
    <row r="2765" spans="1:41" s="2" customFormat="1" x14ac:dyDescent="0.2">
      <c r="A2765"/>
      <c r="B2765"/>
      <c r="C2765"/>
      <c r="D2765"/>
      <c r="E2765"/>
      <c r="F2765"/>
      <c r="G2765"/>
      <c r="U2765"/>
      <c r="V2765"/>
      <c r="W2765"/>
      <c r="X2765"/>
      <c r="Y2765"/>
      <c r="Z2765"/>
      <c r="AA2765"/>
      <c r="AB2765"/>
      <c r="AL2765"/>
      <c r="AM2765"/>
      <c r="AN2765"/>
      <c r="AO2765"/>
    </row>
    <row r="2766" spans="1:41" s="2" customFormat="1" x14ac:dyDescent="0.2">
      <c r="A2766"/>
      <c r="B2766"/>
      <c r="C2766"/>
      <c r="D2766"/>
      <c r="E2766"/>
      <c r="F2766"/>
      <c r="G2766"/>
      <c r="U2766"/>
      <c r="V2766"/>
      <c r="W2766"/>
      <c r="X2766"/>
      <c r="Y2766"/>
      <c r="Z2766"/>
      <c r="AA2766"/>
      <c r="AB2766"/>
      <c r="AL2766"/>
      <c r="AM2766"/>
      <c r="AN2766"/>
      <c r="AO2766"/>
    </row>
    <row r="2767" spans="1:41" s="2" customFormat="1" x14ac:dyDescent="0.2">
      <c r="A2767"/>
      <c r="B2767"/>
      <c r="C2767"/>
      <c r="D2767"/>
      <c r="E2767"/>
      <c r="F2767"/>
      <c r="G2767"/>
      <c r="U2767"/>
      <c r="V2767"/>
      <c r="W2767"/>
      <c r="X2767"/>
      <c r="Y2767"/>
      <c r="Z2767"/>
      <c r="AA2767"/>
      <c r="AB2767"/>
      <c r="AL2767"/>
      <c r="AM2767"/>
      <c r="AN2767"/>
      <c r="AO2767"/>
    </row>
    <row r="2768" spans="1:41" s="2" customFormat="1" x14ac:dyDescent="0.2">
      <c r="A2768"/>
      <c r="B2768"/>
      <c r="C2768"/>
      <c r="D2768"/>
      <c r="E2768"/>
      <c r="F2768"/>
      <c r="G2768"/>
      <c r="U2768"/>
      <c r="V2768"/>
      <c r="W2768"/>
      <c r="X2768"/>
      <c r="Y2768"/>
      <c r="Z2768"/>
      <c r="AA2768"/>
      <c r="AB2768"/>
      <c r="AL2768"/>
      <c r="AM2768"/>
      <c r="AN2768"/>
      <c r="AO2768"/>
    </row>
    <row r="2769" spans="1:41" s="2" customFormat="1" x14ac:dyDescent="0.2">
      <c r="A2769"/>
      <c r="B2769"/>
      <c r="C2769"/>
      <c r="D2769"/>
      <c r="E2769"/>
      <c r="F2769"/>
      <c r="G2769"/>
      <c r="U2769"/>
      <c r="V2769"/>
      <c r="W2769"/>
      <c r="X2769"/>
      <c r="Y2769"/>
      <c r="Z2769"/>
      <c r="AA2769"/>
      <c r="AB2769"/>
      <c r="AL2769"/>
      <c r="AM2769"/>
      <c r="AN2769"/>
      <c r="AO2769"/>
    </row>
    <row r="2770" spans="1:41" s="2" customFormat="1" x14ac:dyDescent="0.2">
      <c r="A2770"/>
      <c r="B2770"/>
      <c r="C2770"/>
      <c r="D2770"/>
      <c r="E2770"/>
      <c r="F2770"/>
      <c r="G2770"/>
      <c r="U2770"/>
      <c r="V2770"/>
      <c r="W2770"/>
      <c r="X2770"/>
      <c r="Y2770"/>
      <c r="Z2770"/>
      <c r="AA2770"/>
      <c r="AB2770"/>
      <c r="AL2770"/>
      <c r="AM2770"/>
      <c r="AN2770"/>
      <c r="AO2770"/>
    </row>
    <row r="2771" spans="1:41" s="2" customFormat="1" x14ac:dyDescent="0.2">
      <c r="A2771"/>
      <c r="B2771"/>
      <c r="C2771"/>
      <c r="D2771"/>
      <c r="E2771"/>
      <c r="F2771"/>
      <c r="G2771"/>
      <c r="U2771"/>
      <c r="V2771"/>
      <c r="W2771"/>
      <c r="X2771"/>
      <c r="Y2771"/>
      <c r="Z2771"/>
      <c r="AA2771"/>
      <c r="AB2771"/>
      <c r="AL2771"/>
      <c r="AM2771"/>
      <c r="AN2771"/>
      <c r="AO2771"/>
    </row>
    <row r="2772" spans="1:41" s="2" customFormat="1" x14ac:dyDescent="0.2">
      <c r="A2772"/>
      <c r="B2772"/>
      <c r="C2772"/>
      <c r="D2772"/>
      <c r="E2772"/>
      <c r="F2772"/>
      <c r="G2772"/>
      <c r="U2772"/>
      <c r="V2772"/>
      <c r="W2772"/>
      <c r="X2772"/>
      <c r="Y2772"/>
      <c r="Z2772"/>
      <c r="AA2772"/>
      <c r="AB2772"/>
      <c r="AL2772"/>
      <c r="AM2772"/>
      <c r="AN2772"/>
      <c r="AO2772"/>
    </row>
    <row r="2773" spans="1:41" s="2" customFormat="1" x14ac:dyDescent="0.2">
      <c r="A2773"/>
      <c r="B2773"/>
      <c r="C2773"/>
      <c r="D2773"/>
      <c r="E2773"/>
      <c r="F2773"/>
      <c r="G2773"/>
      <c r="U2773"/>
      <c r="V2773"/>
      <c r="W2773"/>
      <c r="X2773"/>
      <c r="Y2773"/>
      <c r="Z2773"/>
      <c r="AA2773"/>
      <c r="AB2773"/>
      <c r="AL2773"/>
      <c r="AM2773"/>
      <c r="AN2773"/>
      <c r="AO2773"/>
    </row>
    <row r="2774" spans="1:41" s="2" customFormat="1" x14ac:dyDescent="0.2">
      <c r="A2774"/>
      <c r="B2774"/>
      <c r="C2774"/>
      <c r="D2774"/>
      <c r="E2774"/>
      <c r="F2774"/>
      <c r="G2774"/>
      <c r="U2774"/>
      <c r="V2774"/>
      <c r="W2774"/>
      <c r="X2774"/>
      <c r="Y2774"/>
      <c r="Z2774"/>
      <c r="AA2774"/>
      <c r="AB2774"/>
      <c r="AL2774"/>
      <c r="AM2774"/>
      <c r="AN2774"/>
      <c r="AO2774"/>
    </row>
    <row r="2775" spans="1:41" s="2" customFormat="1" x14ac:dyDescent="0.2">
      <c r="A2775"/>
      <c r="B2775"/>
      <c r="C2775"/>
      <c r="D2775"/>
      <c r="E2775"/>
      <c r="F2775"/>
      <c r="G2775"/>
      <c r="U2775"/>
      <c r="V2775"/>
      <c r="W2775"/>
      <c r="X2775"/>
      <c r="Y2775"/>
      <c r="Z2775"/>
      <c r="AA2775"/>
      <c r="AB2775"/>
      <c r="AL2775"/>
      <c r="AM2775"/>
      <c r="AN2775"/>
      <c r="AO2775"/>
    </row>
    <row r="2776" spans="1:41" s="2" customFormat="1" x14ac:dyDescent="0.2">
      <c r="A2776"/>
      <c r="B2776"/>
      <c r="C2776"/>
      <c r="D2776"/>
      <c r="E2776"/>
      <c r="F2776"/>
      <c r="G2776"/>
      <c r="U2776"/>
      <c r="V2776"/>
      <c r="W2776"/>
      <c r="X2776"/>
      <c r="Y2776"/>
      <c r="Z2776"/>
      <c r="AA2776"/>
      <c r="AB2776"/>
      <c r="AL2776"/>
      <c r="AM2776"/>
      <c r="AN2776"/>
      <c r="AO2776"/>
    </row>
    <row r="2777" spans="1:41" s="2" customFormat="1" x14ac:dyDescent="0.2">
      <c r="A2777"/>
      <c r="B2777"/>
      <c r="C2777"/>
      <c r="D2777"/>
      <c r="E2777"/>
      <c r="F2777"/>
      <c r="G2777"/>
      <c r="U2777"/>
      <c r="V2777"/>
      <c r="W2777"/>
      <c r="X2777"/>
      <c r="Y2777"/>
      <c r="Z2777"/>
      <c r="AA2777"/>
      <c r="AB2777"/>
      <c r="AL2777"/>
      <c r="AM2777"/>
      <c r="AN2777"/>
      <c r="AO2777"/>
    </row>
    <row r="2778" spans="1:41" s="2" customFormat="1" x14ac:dyDescent="0.2">
      <c r="A2778"/>
      <c r="B2778"/>
      <c r="C2778"/>
      <c r="D2778"/>
      <c r="E2778"/>
      <c r="F2778"/>
      <c r="G2778"/>
      <c r="U2778"/>
      <c r="V2778"/>
      <c r="W2778"/>
      <c r="X2778"/>
      <c r="Y2778"/>
      <c r="Z2778"/>
      <c r="AA2778"/>
      <c r="AB2778"/>
      <c r="AL2778"/>
      <c r="AM2778"/>
      <c r="AN2778"/>
      <c r="AO2778"/>
    </row>
    <row r="2779" spans="1:41" s="2" customFormat="1" x14ac:dyDescent="0.2">
      <c r="A2779"/>
      <c r="B2779"/>
      <c r="C2779"/>
      <c r="D2779"/>
      <c r="E2779"/>
      <c r="F2779"/>
      <c r="G2779"/>
      <c r="U2779"/>
      <c r="V2779"/>
      <c r="W2779"/>
      <c r="X2779"/>
      <c r="Y2779"/>
      <c r="Z2779"/>
      <c r="AA2779"/>
      <c r="AB2779"/>
      <c r="AL2779"/>
      <c r="AM2779"/>
      <c r="AN2779"/>
      <c r="AO2779"/>
    </row>
    <row r="2780" spans="1:41" s="2" customFormat="1" x14ac:dyDescent="0.2">
      <c r="A2780"/>
      <c r="B2780"/>
      <c r="C2780"/>
      <c r="D2780"/>
      <c r="E2780"/>
      <c r="F2780"/>
      <c r="G2780"/>
      <c r="U2780"/>
      <c r="V2780"/>
      <c r="W2780"/>
      <c r="X2780"/>
      <c r="Y2780"/>
      <c r="Z2780"/>
      <c r="AA2780"/>
      <c r="AB2780"/>
      <c r="AL2780"/>
      <c r="AM2780"/>
      <c r="AN2780"/>
      <c r="AO2780"/>
    </row>
    <row r="2781" spans="1:41" s="2" customFormat="1" x14ac:dyDescent="0.2">
      <c r="A2781"/>
      <c r="B2781"/>
      <c r="C2781"/>
      <c r="D2781"/>
      <c r="E2781"/>
      <c r="F2781"/>
      <c r="G2781"/>
      <c r="U2781"/>
      <c r="V2781"/>
      <c r="W2781"/>
      <c r="X2781"/>
      <c r="Y2781"/>
      <c r="Z2781"/>
      <c r="AA2781"/>
      <c r="AB2781"/>
      <c r="AL2781"/>
      <c r="AM2781"/>
      <c r="AN2781"/>
      <c r="AO2781"/>
    </row>
    <row r="2782" spans="1:41" s="2" customFormat="1" x14ac:dyDescent="0.2">
      <c r="A2782"/>
      <c r="B2782"/>
      <c r="C2782"/>
      <c r="D2782"/>
      <c r="E2782"/>
      <c r="F2782"/>
      <c r="G2782"/>
      <c r="U2782"/>
      <c r="V2782"/>
      <c r="W2782"/>
      <c r="X2782"/>
      <c r="Y2782"/>
      <c r="Z2782"/>
      <c r="AA2782"/>
      <c r="AB2782"/>
      <c r="AL2782"/>
      <c r="AM2782"/>
      <c r="AN2782"/>
      <c r="AO2782"/>
    </row>
    <row r="2783" spans="1:41" s="2" customFormat="1" x14ac:dyDescent="0.2">
      <c r="A2783"/>
      <c r="B2783"/>
      <c r="C2783"/>
      <c r="D2783"/>
      <c r="E2783"/>
      <c r="F2783"/>
      <c r="G2783"/>
      <c r="U2783"/>
      <c r="V2783"/>
      <c r="W2783"/>
      <c r="X2783"/>
      <c r="Y2783"/>
      <c r="Z2783"/>
      <c r="AA2783"/>
      <c r="AB2783"/>
      <c r="AL2783"/>
      <c r="AM2783"/>
      <c r="AN2783"/>
      <c r="AO2783"/>
    </row>
    <row r="2784" spans="1:41" s="2" customFormat="1" x14ac:dyDescent="0.2">
      <c r="A2784"/>
      <c r="B2784"/>
      <c r="C2784"/>
      <c r="D2784"/>
      <c r="E2784"/>
      <c r="F2784"/>
      <c r="G2784"/>
      <c r="U2784"/>
      <c r="V2784"/>
      <c r="W2784"/>
      <c r="X2784"/>
      <c r="Y2784"/>
      <c r="Z2784"/>
      <c r="AA2784"/>
      <c r="AB2784"/>
      <c r="AL2784"/>
      <c r="AM2784"/>
      <c r="AN2784"/>
      <c r="AO2784"/>
    </row>
    <row r="2785" spans="1:41" s="2" customFormat="1" x14ac:dyDescent="0.2">
      <c r="A2785"/>
      <c r="B2785"/>
      <c r="C2785"/>
      <c r="D2785"/>
      <c r="E2785"/>
      <c r="F2785"/>
      <c r="G2785"/>
      <c r="U2785"/>
      <c r="V2785"/>
      <c r="W2785"/>
      <c r="X2785"/>
      <c r="Y2785"/>
      <c r="Z2785"/>
      <c r="AA2785"/>
      <c r="AB2785"/>
      <c r="AL2785"/>
      <c r="AM2785"/>
      <c r="AN2785"/>
      <c r="AO2785"/>
    </row>
    <row r="2786" spans="1:41" s="2" customFormat="1" x14ac:dyDescent="0.2">
      <c r="A2786"/>
      <c r="B2786"/>
      <c r="C2786"/>
      <c r="D2786"/>
      <c r="E2786"/>
      <c r="F2786"/>
      <c r="G2786"/>
      <c r="U2786"/>
      <c r="V2786"/>
      <c r="W2786"/>
      <c r="X2786"/>
      <c r="Y2786"/>
      <c r="Z2786"/>
      <c r="AA2786"/>
      <c r="AB2786"/>
      <c r="AL2786"/>
      <c r="AM2786"/>
      <c r="AN2786"/>
      <c r="AO2786"/>
    </row>
    <row r="2787" spans="1:41" s="2" customFormat="1" x14ac:dyDescent="0.2">
      <c r="A2787"/>
      <c r="B2787"/>
      <c r="C2787"/>
      <c r="D2787"/>
      <c r="E2787"/>
      <c r="F2787"/>
      <c r="G2787"/>
      <c r="U2787"/>
      <c r="V2787"/>
      <c r="W2787"/>
      <c r="X2787"/>
      <c r="Y2787"/>
      <c r="Z2787"/>
      <c r="AA2787"/>
      <c r="AB2787"/>
      <c r="AL2787"/>
      <c r="AM2787"/>
      <c r="AN2787"/>
      <c r="AO2787"/>
    </row>
    <row r="2788" spans="1:41" s="2" customFormat="1" x14ac:dyDescent="0.2">
      <c r="A2788"/>
      <c r="B2788"/>
      <c r="C2788"/>
      <c r="D2788"/>
      <c r="E2788"/>
      <c r="F2788"/>
      <c r="G2788"/>
      <c r="U2788"/>
      <c r="V2788"/>
      <c r="W2788"/>
      <c r="X2788"/>
      <c r="Y2788"/>
      <c r="Z2788"/>
      <c r="AA2788"/>
      <c r="AB2788"/>
      <c r="AL2788"/>
      <c r="AM2788"/>
      <c r="AN2788"/>
      <c r="AO2788"/>
    </row>
    <row r="2789" spans="1:41" s="2" customFormat="1" x14ac:dyDescent="0.2">
      <c r="A2789"/>
      <c r="B2789"/>
      <c r="C2789"/>
      <c r="D2789"/>
      <c r="E2789"/>
      <c r="F2789"/>
      <c r="G2789"/>
      <c r="U2789"/>
      <c r="V2789"/>
      <c r="W2789"/>
      <c r="X2789"/>
      <c r="Y2789"/>
      <c r="Z2789"/>
      <c r="AA2789"/>
      <c r="AB2789"/>
      <c r="AL2789"/>
      <c r="AM2789"/>
      <c r="AN2789"/>
      <c r="AO2789"/>
    </row>
    <row r="2790" spans="1:41" s="2" customFormat="1" x14ac:dyDescent="0.2">
      <c r="A2790"/>
      <c r="B2790"/>
      <c r="C2790"/>
      <c r="D2790"/>
      <c r="E2790"/>
      <c r="F2790"/>
      <c r="G2790"/>
      <c r="U2790"/>
      <c r="V2790"/>
      <c r="W2790"/>
      <c r="X2790"/>
      <c r="Y2790"/>
      <c r="Z2790"/>
      <c r="AA2790"/>
      <c r="AB2790"/>
      <c r="AL2790"/>
      <c r="AM2790"/>
      <c r="AN2790"/>
      <c r="AO2790"/>
    </row>
    <row r="2791" spans="1:41" s="2" customFormat="1" x14ac:dyDescent="0.2">
      <c r="A2791"/>
      <c r="B2791"/>
      <c r="C2791"/>
      <c r="D2791"/>
      <c r="E2791"/>
      <c r="F2791"/>
      <c r="G2791"/>
      <c r="U2791"/>
      <c r="V2791"/>
      <c r="W2791"/>
      <c r="X2791"/>
      <c r="Y2791"/>
      <c r="Z2791"/>
      <c r="AA2791"/>
      <c r="AB2791"/>
      <c r="AL2791"/>
      <c r="AM2791"/>
      <c r="AN2791"/>
      <c r="AO2791"/>
    </row>
    <row r="2792" spans="1:41" s="2" customFormat="1" x14ac:dyDescent="0.2">
      <c r="A2792"/>
      <c r="B2792"/>
      <c r="C2792"/>
      <c r="D2792"/>
      <c r="E2792"/>
      <c r="F2792"/>
      <c r="G2792"/>
      <c r="U2792"/>
      <c r="V2792"/>
      <c r="W2792"/>
      <c r="X2792"/>
      <c r="Y2792"/>
      <c r="Z2792"/>
      <c r="AA2792"/>
      <c r="AB2792"/>
      <c r="AL2792"/>
      <c r="AM2792"/>
      <c r="AN2792"/>
      <c r="AO2792"/>
    </row>
    <row r="2793" spans="1:41" s="2" customFormat="1" x14ac:dyDescent="0.2">
      <c r="A2793"/>
      <c r="B2793"/>
      <c r="C2793"/>
      <c r="D2793"/>
      <c r="E2793"/>
      <c r="F2793"/>
      <c r="G2793"/>
      <c r="U2793"/>
      <c r="V2793"/>
      <c r="W2793"/>
      <c r="X2793"/>
      <c r="Y2793"/>
      <c r="Z2793"/>
      <c r="AA2793"/>
      <c r="AB2793"/>
      <c r="AL2793"/>
      <c r="AM2793"/>
      <c r="AN2793"/>
      <c r="AO2793"/>
    </row>
    <row r="2794" spans="1:41" s="2" customFormat="1" x14ac:dyDescent="0.2">
      <c r="A2794"/>
      <c r="B2794"/>
      <c r="C2794"/>
      <c r="D2794"/>
      <c r="E2794"/>
      <c r="F2794"/>
      <c r="G2794"/>
      <c r="U2794"/>
      <c r="V2794"/>
      <c r="W2794"/>
      <c r="X2794"/>
      <c r="Y2794"/>
      <c r="Z2794"/>
      <c r="AA2794"/>
      <c r="AB2794"/>
      <c r="AL2794"/>
      <c r="AM2794"/>
      <c r="AN2794"/>
      <c r="AO2794"/>
    </row>
    <row r="2795" spans="1:41" s="2" customFormat="1" x14ac:dyDescent="0.2">
      <c r="A2795"/>
      <c r="B2795"/>
      <c r="C2795"/>
      <c r="D2795"/>
      <c r="E2795"/>
      <c r="F2795"/>
      <c r="G2795"/>
      <c r="U2795"/>
      <c r="V2795"/>
      <c r="W2795"/>
      <c r="X2795"/>
      <c r="Y2795"/>
      <c r="Z2795"/>
      <c r="AA2795"/>
      <c r="AB2795"/>
      <c r="AL2795"/>
      <c r="AM2795"/>
      <c r="AN2795"/>
      <c r="AO2795"/>
    </row>
    <row r="2796" spans="1:41" s="2" customFormat="1" x14ac:dyDescent="0.2">
      <c r="A2796"/>
      <c r="B2796"/>
      <c r="C2796"/>
      <c r="D2796"/>
      <c r="E2796"/>
      <c r="F2796"/>
      <c r="G2796"/>
      <c r="U2796"/>
      <c r="V2796"/>
      <c r="W2796"/>
      <c r="X2796"/>
      <c r="Y2796"/>
      <c r="Z2796"/>
      <c r="AA2796"/>
      <c r="AB2796"/>
      <c r="AL2796"/>
      <c r="AM2796"/>
      <c r="AN2796"/>
      <c r="AO2796"/>
    </row>
    <row r="2797" spans="1:41" s="2" customFormat="1" x14ac:dyDescent="0.2">
      <c r="A2797"/>
      <c r="B2797"/>
      <c r="C2797"/>
      <c r="D2797"/>
      <c r="E2797"/>
      <c r="F2797"/>
      <c r="G2797"/>
      <c r="U2797"/>
      <c r="V2797"/>
      <c r="W2797"/>
      <c r="X2797"/>
      <c r="Y2797"/>
      <c r="Z2797"/>
      <c r="AA2797"/>
      <c r="AB2797"/>
      <c r="AL2797"/>
      <c r="AM2797"/>
      <c r="AN2797"/>
      <c r="AO2797"/>
    </row>
    <row r="2798" spans="1:41" s="2" customFormat="1" x14ac:dyDescent="0.2">
      <c r="A2798"/>
      <c r="B2798"/>
      <c r="C2798"/>
      <c r="D2798"/>
      <c r="E2798"/>
      <c r="F2798"/>
      <c r="G2798"/>
      <c r="U2798"/>
      <c r="V2798"/>
      <c r="W2798"/>
      <c r="X2798"/>
      <c r="Y2798"/>
      <c r="Z2798"/>
      <c r="AA2798"/>
      <c r="AB2798"/>
      <c r="AL2798"/>
      <c r="AM2798"/>
      <c r="AN2798"/>
      <c r="AO2798"/>
    </row>
    <row r="2799" spans="1:41" s="2" customFormat="1" x14ac:dyDescent="0.2">
      <c r="A2799"/>
      <c r="B2799"/>
      <c r="C2799"/>
      <c r="D2799"/>
      <c r="E2799"/>
      <c r="F2799"/>
      <c r="G2799"/>
      <c r="U2799"/>
      <c r="V2799"/>
      <c r="W2799"/>
      <c r="X2799"/>
      <c r="Y2799"/>
      <c r="Z2799"/>
      <c r="AA2799"/>
      <c r="AB2799"/>
      <c r="AL2799"/>
      <c r="AM2799"/>
      <c r="AN2799"/>
      <c r="AO2799"/>
    </row>
    <row r="2800" spans="1:41" s="2" customFormat="1" x14ac:dyDescent="0.2">
      <c r="A2800"/>
      <c r="B2800"/>
      <c r="C2800"/>
      <c r="D2800"/>
      <c r="E2800"/>
      <c r="F2800"/>
      <c r="G2800"/>
      <c r="U2800"/>
      <c r="V2800"/>
      <c r="W2800"/>
      <c r="X2800"/>
      <c r="Y2800"/>
      <c r="Z2800"/>
      <c r="AA2800"/>
      <c r="AB2800"/>
      <c r="AL2800"/>
      <c r="AM2800"/>
      <c r="AN2800"/>
      <c r="AO2800"/>
    </row>
    <row r="2801" spans="1:41" s="2" customFormat="1" x14ac:dyDescent="0.2">
      <c r="A2801"/>
      <c r="B2801"/>
      <c r="C2801"/>
      <c r="D2801"/>
      <c r="E2801"/>
      <c r="F2801"/>
      <c r="G2801"/>
      <c r="U2801"/>
      <c r="V2801"/>
      <c r="W2801"/>
      <c r="X2801"/>
      <c r="Y2801"/>
      <c r="Z2801"/>
      <c r="AA2801"/>
      <c r="AB2801"/>
      <c r="AL2801"/>
      <c r="AM2801"/>
      <c r="AN2801"/>
      <c r="AO2801"/>
    </row>
    <row r="2802" spans="1:41" s="2" customFormat="1" x14ac:dyDescent="0.2">
      <c r="A2802"/>
      <c r="B2802"/>
      <c r="C2802"/>
      <c r="D2802"/>
      <c r="E2802"/>
      <c r="F2802"/>
      <c r="G2802"/>
      <c r="U2802"/>
      <c r="V2802"/>
      <c r="W2802"/>
      <c r="X2802"/>
      <c r="Y2802"/>
      <c r="Z2802"/>
      <c r="AA2802"/>
      <c r="AB2802"/>
      <c r="AL2802"/>
      <c r="AM2802"/>
      <c r="AN2802"/>
      <c r="AO2802"/>
    </row>
    <row r="2803" spans="1:41" s="2" customFormat="1" x14ac:dyDescent="0.2">
      <c r="A2803"/>
      <c r="B2803"/>
      <c r="C2803"/>
      <c r="D2803"/>
      <c r="E2803"/>
      <c r="F2803"/>
      <c r="G2803"/>
      <c r="U2803"/>
      <c r="V2803"/>
      <c r="W2803"/>
      <c r="X2803"/>
      <c r="Y2803"/>
      <c r="Z2803"/>
      <c r="AA2803"/>
      <c r="AB2803"/>
      <c r="AL2803"/>
      <c r="AM2803"/>
      <c r="AN2803"/>
      <c r="AO2803"/>
    </row>
    <row r="2804" spans="1:41" s="2" customFormat="1" x14ac:dyDescent="0.2">
      <c r="A2804"/>
      <c r="B2804"/>
      <c r="C2804"/>
      <c r="D2804"/>
      <c r="E2804"/>
      <c r="F2804"/>
      <c r="G2804"/>
      <c r="U2804"/>
      <c r="V2804"/>
      <c r="W2804"/>
      <c r="X2804"/>
      <c r="Y2804"/>
      <c r="Z2804"/>
      <c r="AA2804"/>
      <c r="AB2804"/>
      <c r="AL2804"/>
      <c r="AM2804"/>
      <c r="AN2804"/>
      <c r="AO2804"/>
    </row>
    <row r="2805" spans="1:41" s="2" customFormat="1" x14ac:dyDescent="0.2">
      <c r="A2805"/>
      <c r="B2805"/>
      <c r="C2805"/>
      <c r="D2805"/>
      <c r="E2805"/>
      <c r="F2805"/>
      <c r="G2805"/>
      <c r="U2805"/>
      <c r="V2805"/>
      <c r="W2805"/>
      <c r="X2805"/>
      <c r="Y2805"/>
      <c r="Z2805"/>
      <c r="AA2805"/>
      <c r="AB2805"/>
      <c r="AL2805"/>
      <c r="AM2805"/>
      <c r="AN2805"/>
      <c r="AO2805"/>
    </row>
    <row r="2806" spans="1:41" s="2" customFormat="1" x14ac:dyDescent="0.2">
      <c r="A2806"/>
      <c r="B2806"/>
      <c r="C2806"/>
      <c r="D2806"/>
      <c r="E2806"/>
      <c r="F2806"/>
      <c r="G2806"/>
      <c r="U2806"/>
      <c r="V2806"/>
      <c r="W2806"/>
      <c r="X2806"/>
      <c r="Y2806"/>
      <c r="Z2806"/>
      <c r="AA2806"/>
      <c r="AB2806"/>
      <c r="AL2806"/>
      <c r="AM2806"/>
      <c r="AN2806"/>
      <c r="AO2806"/>
    </row>
    <row r="2807" spans="1:41" s="2" customFormat="1" x14ac:dyDescent="0.2">
      <c r="A2807"/>
      <c r="B2807"/>
      <c r="C2807"/>
      <c r="D2807"/>
      <c r="E2807"/>
      <c r="F2807"/>
      <c r="G2807"/>
      <c r="U2807"/>
      <c r="V2807"/>
      <c r="W2807"/>
      <c r="X2807"/>
      <c r="Y2807"/>
      <c r="Z2807"/>
      <c r="AA2807"/>
      <c r="AB2807"/>
      <c r="AL2807"/>
      <c r="AM2807"/>
      <c r="AN2807"/>
      <c r="AO2807"/>
    </row>
    <row r="2808" spans="1:41" s="2" customFormat="1" x14ac:dyDescent="0.2">
      <c r="A2808"/>
      <c r="B2808"/>
      <c r="C2808"/>
      <c r="D2808"/>
      <c r="E2808"/>
      <c r="F2808"/>
      <c r="G2808"/>
      <c r="U2808"/>
      <c r="V2808"/>
      <c r="W2808"/>
      <c r="X2808"/>
      <c r="Y2808"/>
      <c r="Z2808"/>
      <c r="AA2808"/>
      <c r="AB2808"/>
      <c r="AL2808"/>
      <c r="AM2808"/>
      <c r="AN2808"/>
      <c r="AO2808"/>
    </row>
    <row r="2809" spans="1:41" s="2" customFormat="1" x14ac:dyDescent="0.2">
      <c r="A2809"/>
      <c r="B2809"/>
      <c r="C2809"/>
      <c r="D2809"/>
      <c r="E2809"/>
      <c r="F2809"/>
      <c r="G2809"/>
      <c r="U2809"/>
      <c r="V2809"/>
      <c r="W2809"/>
      <c r="X2809"/>
      <c r="Y2809"/>
      <c r="Z2809"/>
      <c r="AA2809"/>
      <c r="AB2809"/>
      <c r="AL2809"/>
      <c r="AM2809"/>
      <c r="AN2809"/>
      <c r="AO2809"/>
    </row>
    <row r="2810" spans="1:41" s="2" customFormat="1" x14ac:dyDescent="0.2">
      <c r="A2810"/>
      <c r="B2810"/>
      <c r="C2810"/>
      <c r="D2810"/>
      <c r="E2810"/>
      <c r="F2810"/>
      <c r="G2810"/>
      <c r="U2810"/>
      <c r="V2810"/>
      <c r="W2810"/>
      <c r="X2810"/>
      <c r="Y2810"/>
      <c r="Z2810"/>
      <c r="AA2810"/>
      <c r="AB2810"/>
      <c r="AL2810"/>
      <c r="AM2810"/>
      <c r="AN2810"/>
      <c r="AO2810"/>
    </row>
    <row r="2811" spans="1:41" s="2" customFormat="1" x14ac:dyDescent="0.2">
      <c r="A2811"/>
      <c r="B2811"/>
      <c r="C2811"/>
      <c r="D2811"/>
      <c r="E2811"/>
      <c r="F2811"/>
      <c r="G2811"/>
      <c r="U2811"/>
      <c r="V2811"/>
      <c r="W2811"/>
      <c r="X2811"/>
      <c r="Y2811"/>
      <c r="Z2811"/>
      <c r="AA2811"/>
      <c r="AB2811"/>
      <c r="AL2811"/>
      <c r="AM2811"/>
      <c r="AN2811"/>
      <c r="AO2811"/>
    </row>
    <row r="2812" spans="1:41" s="2" customFormat="1" x14ac:dyDescent="0.2">
      <c r="A2812"/>
      <c r="B2812"/>
      <c r="C2812"/>
      <c r="D2812"/>
      <c r="E2812"/>
      <c r="F2812"/>
      <c r="G2812"/>
      <c r="U2812"/>
      <c r="V2812"/>
      <c r="W2812"/>
      <c r="X2812"/>
      <c r="Y2812"/>
      <c r="Z2812"/>
      <c r="AA2812"/>
      <c r="AB2812"/>
      <c r="AL2812"/>
      <c r="AM2812"/>
      <c r="AN2812"/>
      <c r="AO2812"/>
    </row>
    <row r="2813" spans="1:41" s="2" customFormat="1" x14ac:dyDescent="0.2">
      <c r="A2813"/>
      <c r="B2813"/>
      <c r="C2813"/>
      <c r="D2813"/>
      <c r="E2813"/>
      <c r="F2813"/>
      <c r="G2813"/>
      <c r="U2813"/>
      <c r="V2813"/>
      <c r="W2813"/>
      <c r="X2813"/>
      <c r="Y2813"/>
      <c r="Z2813"/>
      <c r="AA2813"/>
      <c r="AB2813"/>
      <c r="AL2813"/>
      <c r="AM2813"/>
      <c r="AN2813"/>
      <c r="AO2813"/>
    </row>
    <row r="2814" spans="1:41" s="2" customFormat="1" x14ac:dyDescent="0.2">
      <c r="A2814"/>
      <c r="B2814"/>
      <c r="C2814"/>
      <c r="D2814"/>
      <c r="E2814"/>
      <c r="F2814"/>
      <c r="G2814"/>
      <c r="U2814"/>
      <c r="V2814"/>
      <c r="W2814"/>
      <c r="X2814"/>
      <c r="Y2814"/>
      <c r="Z2814"/>
      <c r="AA2814"/>
      <c r="AB2814"/>
      <c r="AL2814"/>
      <c r="AM2814"/>
      <c r="AN2814"/>
      <c r="AO2814"/>
    </row>
    <row r="2815" spans="1:41" s="2" customFormat="1" x14ac:dyDescent="0.2">
      <c r="A2815"/>
      <c r="B2815"/>
      <c r="C2815"/>
      <c r="D2815"/>
      <c r="E2815"/>
      <c r="F2815"/>
      <c r="G2815"/>
      <c r="U2815"/>
      <c r="V2815"/>
      <c r="W2815"/>
      <c r="X2815"/>
      <c r="Y2815"/>
      <c r="Z2815"/>
      <c r="AA2815"/>
      <c r="AB2815"/>
      <c r="AL2815"/>
      <c r="AM2815"/>
      <c r="AN2815"/>
      <c r="AO2815"/>
    </row>
    <row r="2816" spans="1:41" s="2" customFormat="1" x14ac:dyDescent="0.2">
      <c r="A2816"/>
      <c r="B2816"/>
      <c r="C2816"/>
      <c r="D2816"/>
      <c r="E2816"/>
      <c r="F2816"/>
      <c r="G2816"/>
      <c r="U2816"/>
      <c r="V2816"/>
      <c r="W2816"/>
      <c r="X2816"/>
      <c r="Y2816"/>
      <c r="Z2816"/>
      <c r="AA2816"/>
      <c r="AB2816"/>
      <c r="AL2816"/>
      <c r="AM2816"/>
      <c r="AN2816"/>
      <c r="AO2816"/>
    </row>
    <row r="2817" spans="1:41" s="2" customFormat="1" x14ac:dyDescent="0.2">
      <c r="A2817"/>
      <c r="B2817"/>
      <c r="C2817"/>
      <c r="D2817"/>
      <c r="E2817"/>
      <c r="F2817"/>
      <c r="G2817"/>
      <c r="U2817"/>
      <c r="V2817"/>
      <c r="W2817"/>
      <c r="X2817"/>
      <c r="Y2817"/>
      <c r="Z2817"/>
      <c r="AA2817"/>
      <c r="AB2817"/>
      <c r="AL2817"/>
      <c r="AM2817"/>
      <c r="AN2817"/>
      <c r="AO2817"/>
    </row>
    <row r="2818" spans="1:41" s="2" customFormat="1" x14ac:dyDescent="0.2">
      <c r="A2818"/>
      <c r="B2818"/>
      <c r="C2818"/>
      <c r="D2818"/>
      <c r="E2818"/>
      <c r="F2818"/>
      <c r="G2818"/>
      <c r="U2818"/>
      <c r="V2818"/>
      <c r="W2818"/>
      <c r="X2818"/>
      <c r="Y2818"/>
      <c r="Z2818"/>
      <c r="AA2818"/>
      <c r="AB2818"/>
      <c r="AL2818"/>
      <c r="AM2818"/>
      <c r="AN2818"/>
      <c r="AO2818"/>
    </row>
    <row r="2819" spans="1:41" s="2" customFormat="1" x14ac:dyDescent="0.2">
      <c r="A2819"/>
      <c r="B2819"/>
      <c r="C2819"/>
      <c r="D2819"/>
      <c r="E2819"/>
      <c r="F2819"/>
      <c r="G2819"/>
      <c r="U2819"/>
      <c r="V2819"/>
      <c r="W2819"/>
      <c r="X2819"/>
      <c r="Y2819"/>
      <c r="Z2819"/>
      <c r="AA2819"/>
      <c r="AB2819"/>
      <c r="AL2819"/>
      <c r="AM2819"/>
      <c r="AN2819"/>
      <c r="AO2819"/>
    </row>
    <row r="2820" spans="1:41" s="2" customFormat="1" x14ac:dyDescent="0.2">
      <c r="A2820"/>
      <c r="B2820"/>
      <c r="C2820"/>
      <c r="D2820"/>
      <c r="E2820"/>
      <c r="F2820"/>
      <c r="G2820"/>
      <c r="U2820"/>
      <c r="V2820"/>
      <c r="W2820"/>
      <c r="X2820"/>
      <c r="Y2820"/>
      <c r="Z2820"/>
      <c r="AA2820"/>
      <c r="AB2820"/>
      <c r="AL2820"/>
      <c r="AM2820"/>
      <c r="AN2820"/>
      <c r="AO2820"/>
    </row>
    <row r="2821" spans="1:41" s="2" customFormat="1" x14ac:dyDescent="0.2">
      <c r="A2821"/>
      <c r="B2821"/>
      <c r="C2821"/>
      <c r="D2821"/>
      <c r="E2821"/>
      <c r="F2821"/>
      <c r="G2821"/>
      <c r="U2821"/>
      <c r="V2821"/>
      <c r="W2821"/>
      <c r="X2821"/>
      <c r="Y2821"/>
      <c r="Z2821"/>
      <c r="AA2821"/>
      <c r="AB2821"/>
      <c r="AL2821"/>
      <c r="AM2821"/>
      <c r="AN2821"/>
      <c r="AO2821"/>
    </row>
    <row r="2822" spans="1:41" s="2" customFormat="1" x14ac:dyDescent="0.2">
      <c r="A2822"/>
      <c r="B2822"/>
      <c r="C2822"/>
      <c r="D2822"/>
      <c r="E2822"/>
      <c r="F2822"/>
      <c r="G2822"/>
      <c r="U2822"/>
      <c r="V2822"/>
      <c r="W2822"/>
      <c r="X2822"/>
      <c r="Y2822"/>
      <c r="Z2822"/>
      <c r="AA2822"/>
      <c r="AB2822"/>
      <c r="AL2822"/>
      <c r="AM2822"/>
      <c r="AN2822"/>
      <c r="AO2822"/>
    </row>
    <row r="2823" spans="1:41" s="2" customFormat="1" x14ac:dyDescent="0.2">
      <c r="A2823"/>
      <c r="B2823"/>
      <c r="C2823"/>
      <c r="D2823"/>
      <c r="E2823"/>
      <c r="F2823"/>
      <c r="G2823"/>
      <c r="U2823"/>
      <c r="V2823"/>
      <c r="W2823"/>
      <c r="X2823"/>
      <c r="Y2823"/>
      <c r="Z2823"/>
      <c r="AA2823"/>
      <c r="AB2823"/>
      <c r="AL2823"/>
      <c r="AM2823"/>
      <c r="AN2823"/>
      <c r="AO2823"/>
    </row>
    <row r="2824" spans="1:41" s="2" customFormat="1" x14ac:dyDescent="0.2">
      <c r="A2824"/>
      <c r="B2824"/>
      <c r="C2824"/>
      <c r="D2824"/>
      <c r="E2824"/>
      <c r="F2824"/>
      <c r="G2824"/>
      <c r="U2824"/>
      <c r="V2824"/>
      <c r="W2824"/>
      <c r="X2824"/>
      <c r="Y2824"/>
      <c r="Z2824"/>
      <c r="AA2824"/>
      <c r="AB2824"/>
      <c r="AL2824"/>
      <c r="AM2824"/>
      <c r="AN2824"/>
      <c r="AO2824"/>
    </row>
    <row r="2825" spans="1:41" s="2" customFormat="1" x14ac:dyDescent="0.2">
      <c r="A2825"/>
      <c r="B2825"/>
      <c r="C2825"/>
      <c r="D2825"/>
      <c r="E2825"/>
      <c r="F2825"/>
      <c r="G2825"/>
      <c r="U2825"/>
      <c r="V2825"/>
      <c r="W2825"/>
      <c r="X2825"/>
      <c r="Y2825"/>
      <c r="Z2825"/>
      <c r="AA2825"/>
      <c r="AB2825"/>
      <c r="AL2825"/>
      <c r="AM2825"/>
      <c r="AN2825"/>
      <c r="AO2825"/>
    </row>
    <row r="2826" spans="1:41" s="2" customFormat="1" x14ac:dyDescent="0.2">
      <c r="A2826"/>
      <c r="B2826"/>
      <c r="C2826"/>
      <c r="D2826"/>
      <c r="E2826"/>
      <c r="F2826"/>
      <c r="G2826"/>
      <c r="U2826"/>
      <c r="V2826"/>
      <c r="W2826"/>
      <c r="X2826"/>
      <c r="Y2826"/>
      <c r="Z2826"/>
      <c r="AA2826"/>
      <c r="AB2826"/>
      <c r="AL2826"/>
      <c r="AM2826"/>
      <c r="AN2826"/>
      <c r="AO2826"/>
    </row>
    <row r="2827" spans="1:41" s="2" customFormat="1" x14ac:dyDescent="0.2">
      <c r="A2827"/>
      <c r="B2827"/>
      <c r="C2827"/>
      <c r="D2827"/>
      <c r="E2827"/>
      <c r="F2827"/>
      <c r="G2827"/>
      <c r="U2827"/>
      <c r="V2827"/>
      <c r="W2827"/>
      <c r="X2827"/>
      <c r="Y2827"/>
      <c r="Z2827"/>
      <c r="AA2827"/>
      <c r="AB2827"/>
      <c r="AL2827"/>
      <c r="AM2827"/>
      <c r="AN2827"/>
      <c r="AO2827"/>
    </row>
    <row r="2828" spans="1:41" s="2" customFormat="1" x14ac:dyDescent="0.2">
      <c r="A2828"/>
      <c r="B2828"/>
      <c r="C2828"/>
      <c r="D2828"/>
      <c r="E2828"/>
      <c r="F2828"/>
      <c r="G2828"/>
      <c r="U2828"/>
      <c r="V2828"/>
      <c r="W2828"/>
      <c r="X2828"/>
      <c r="Y2828"/>
      <c r="Z2828"/>
      <c r="AA2828"/>
      <c r="AB2828"/>
      <c r="AL2828"/>
      <c r="AM2828"/>
      <c r="AN2828"/>
      <c r="AO2828"/>
    </row>
    <row r="2829" spans="1:41" s="2" customFormat="1" x14ac:dyDescent="0.2">
      <c r="A2829"/>
      <c r="B2829"/>
      <c r="C2829"/>
      <c r="D2829"/>
      <c r="E2829"/>
      <c r="F2829"/>
      <c r="G2829"/>
      <c r="U2829"/>
      <c r="V2829"/>
      <c r="W2829"/>
      <c r="X2829"/>
      <c r="Y2829"/>
      <c r="Z2829"/>
      <c r="AA2829"/>
      <c r="AB2829"/>
      <c r="AL2829"/>
      <c r="AM2829"/>
      <c r="AN2829"/>
      <c r="AO2829"/>
    </row>
    <row r="2830" spans="1:41" s="2" customFormat="1" x14ac:dyDescent="0.2">
      <c r="A2830"/>
      <c r="B2830"/>
      <c r="C2830"/>
      <c r="D2830"/>
      <c r="E2830"/>
      <c r="F2830"/>
      <c r="G2830"/>
      <c r="U2830"/>
      <c r="V2830"/>
      <c r="W2830"/>
      <c r="X2830"/>
      <c r="Y2830"/>
      <c r="Z2830"/>
      <c r="AA2830"/>
      <c r="AB2830"/>
      <c r="AL2830"/>
      <c r="AM2830"/>
      <c r="AN2830"/>
      <c r="AO2830"/>
    </row>
    <row r="2831" spans="1:41" s="2" customFormat="1" x14ac:dyDescent="0.2">
      <c r="A2831"/>
      <c r="B2831"/>
      <c r="C2831"/>
      <c r="D2831"/>
      <c r="E2831"/>
      <c r="F2831"/>
      <c r="G2831"/>
      <c r="U2831"/>
      <c r="V2831"/>
      <c r="W2831"/>
      <c r="X2831"/>
      <c r="Y2831"/>
      <c r="Z2831"/>
      <c r="AA2831"/>
      <c r="AB2831"/>
      <c r="AL2831"/>
      <c r="AM2831"/>
      <c r="AN2831"/>
      <c r="AO2831"/>
    </row>
    <row r="2832" spans="1:41" s="2" customFormat="1" x14ac:dyDescent="0.2">
      <c r="A2832"/>
      <c r="B2832"/>
      <c r="C2832"/>
      <c r="D2832"/>
      <c r="E2832"/>
      <c r="F2832"/>
      <c r="G2832"/>
      <c r="U2832"/>
      <c r="V2832"/>
      <c r="W2832"/>
      <c r="X2832"/>
      <c r="Y2832"/>
      <c r="Z2832"/>
      <c r="AA2832"/>
      <c r="AB2832"/>
      <c r="AL2832"/>
      <c r="AM2832"/>
      <c r="AN2832"/>
      <c r="AO2832"/>
    </row>
    <row r="2833" spans="1:41" s="2" customFormat="1" x14ac:dyDescent="0.2">
      <c r="A2833"/>
      <c r="B2833"/>
      <c r="C2833"/>
      <c r="D2833"/>
      <c r="E2833"/>
      <c r="F2833"/>
      <c r="G2833"/>
      <c r="U2833"/>
      <c r="V2833"/>
      <c r="W2833"/>
      <c r="X2833"/>
      <c r="Y2833"/>
      <c r="Z2833"/>
      <c r="AA2833"/>
      <c r="AB2833"/>
      <c r="AL2833"/>
      <c r="AM2833"/>
      <c r="AN2833"/>
      <c r="AO2833"/>
    </row>
    <row r="2834" spans="1:41" s="2" customFormat="1" x14ac:dyDescent="0.2">
      <c r="A2834"/>
      <c r="B2834"/>
      <c r="C2834"/>
      <c r="D2834"/>
      <c r="E2834"/>
      <c r="F2834"/>
      <c r="G2834"/>
      <c r="U2834"/>
      <c r="V2834"/>
      <c r="W2834"/>
      <c r="X2834"/>
      <c r="Y2834"/>
      <c r="Z2834"/>
      <c r="AA2834"/>
      <c r="AB2834"/>
      <c r="AL2834"/>
      <c r="AM2834"/>
      <c r="AN2834"/>
      <c r="AO2834"/>
    </row>
    <row r="2835" spans="1:41" s="2" customFormat="1" x14ac:dyDescent="0.2">
      <c r="A2835"/>
      <c r="B2835"/>
      <c r="C2835"/>
      <c r="D2835"/>
      <c r="E2835"/>
      <c r="F2835"/>
      <c r="G2835"/>
      <c r="U2835"/>
      <c r="V2835"/>
      <c r="W2835"/>
      <c r="X2835"/>
      <c r="Y2835"/>
      <c r="Z2835"/>
      <c r="AA2835"/>
      <c r="AB2835"/>
      <c r="AL2835"/>
      <c r="AM2835"/>
      <c r="AN2835"/>
      <c r="AO2835"/>
    </row>
    <row r="2836" spans="1:41" s="2" customFormat="1" x14ac:dyDescent="0.2">
      <c r="A2836"/>
      <c r="B2836"/>
      <c r="C2836"/>
      <c r="D2836"/>
      <c r="E2836"/>
      <c r="F2836"/>
      <c r="G2836"/>
      <c r="U2836"/>
      <c r="V2836"/>
      <c r="W2836"/>
      <c r="X2836"/>
      <c r="Y2836"/>
      <c r="Z2836"/>
      <c r="AA2836"/>
      <c r="AB2836"/>
      <c r="AL2836"/>
      <c r="AM2836"/>
      <c r="AN2836"/>
      <c r="AO2836"/>
    </row>
    <row r="2837" spans="1:41" s="2" customFormat="1" x14ac:dyDescent="0.2">
      <c r="A2837"/>
      <c r="B2837"/>
      <c r="C2837"/>
      <c r="D2837"/>
      <c r="E2837"/>
      <c r="F2837"/>
      <c r="G2837"/>
      <c r="U2837"/>
      <c r="V2837"/>
      <c r="W2837"/>
      <c r="X2837"/>
      <c r="Y2837"/>
      <c r="Z2837"/>
      <c r="AA2837"/>
      <c r="AB2837"/>
      <c r="AL2837"/>
      <c r="AM2837"/>
      <c r="AN2837"/>
      <c r="AO2837"/>
    </row>
    <row r="2838" spans="1:41" s="2" customFormat="1" x14ac:dyDescent="0.2">
      <c r="A2838"/>
      <c r="B2838"/>
      <c r="C2838"/>
      <c r="D2838"/>
      <c r="E2838"/>
      <c r="F2838"/>
      <c r="G2838"/>
      <c r="U2838"/>
      <c r="V2838"/>
      <c r="W2838"/>
      <c r="X2838"/>
      <c r="Y2838"/>
      <c r="Z2838"/>
      <c r="AA2838"/>
      <c r="AB2838"/>
      <c r="AL2838"/>
      <c r="AM2838"/>
      <c r="AN2838"/>
      <c r="AO2838"/>
    </row>
    <row r="2839" spans="1:41" s="2" customFormat="1" x14ac:dyDescent="0.2">
      <c r="A2839"/>
      <c r="B2839"/>
      <c r="C2839"/>
      <c r="D2839"/>
      <c r="E2839"/>
      <c r="F2839"/>
      <c r="G2839"/>
      <c r="U2839"/>
      <c r="V2839"/>
      <c r="W2839"/>
      <c r="X2839"/>
      <c r="Y2839"/>
      <c r="Z2839"/>
      <c r="AA2839"/>
      <c r="AB2839"/>
      <c r="AL2839"/>
      <c r="AM2839"/>
      <c r="AN2839"/>
      <c r="AO2839"/>
    </row>
    <row r="2840" spans="1:41" s="2" customFormat="1" x14ac:dyDescent="0.2">
      <c r="A2840"/>
      <c r="B2840"/>
      <c r="C2840"/>
      <c r="D2840"/>
      <c r="E2840"/>
      <c r="F2840"/>
      <c r="G2840"/>
      <c r="U2840"/>
      <c r="V2840"/>
      <c r="W2840"/>
      <c r="X2840"/>
      <c r="Y2840"/>
      <c r="Z2840"/>
      <c r="AA2840"/>
      <c r="AB2840"/>
      <c r="AL2840"/>
      <c r="AM2840"/>
      <c r="AN2840"/>
      <c r="AO2840"/>
    </row>
    <row r="2841" spans="1:41" s="2" customFormat="1" x14ac:dyDescent="0.2">
      <c r="A2841"/>
      <c r="B2841"/>
      <c r="C2841"/>
      <c r="D2841"/>
      <c r="E2841"/>
      <c r="F2841"/>
      <c r="G2841"/>
      <c r="U2841"/>
      <c r="V2841"/>
      <c r="W2841"/>
      <c r="X2841"/>
      <c r="Y2841"/>
      <c r="Z2841"/>
      <c r="AA2841"/>
      <c r="AB2841"/>
      <c r="AL2841"/>
      <c r="AM2841"/>
      <c r="AN2841"/>
      <c r="AO2841"/>
    </row>
    <row r="2842" spans="1:41" s="2" customFormat="1" x14ac:dyDescent="0.2">
      <c r="A2842"/>
      <c r="B2842"/>
      <c r="C2842"/>
      <c r="D2842"/>
      <c r="E2842"/>
      <c r="F2842"/>
      <c r="G2842"/>
      <c r="U2842"/>
      <c r="V2842"/>
      <c r="W2842"/>
      <c r="X2842"/>
      <c r="Y2842"/>
      <c r="Z2842"/>
      <c r="AA2842"/>
      <c r="AB2842"/>
      <c r="AL2842"/>
      <c r="AM2842"/>
      <c r="AN2842"/>
      <c r="AO2842"/>
    </row>
    <row r="2843" spans="1:41" s="2" customFormat="1" x14ac:dyDescent="0.2">
      <c r="A2843"/>
      <c r="B2843"/>
      <c r="C2843"/>
      <c r="D2843"/>
      <c r="E2843"/>
      <c r="F2843"/>
      <c r="G2843"/>
      <c r="U2843"/>
      <c r="V2843"/>
      <c r="W2843"/>
      <c r="X2843"/>
      <c r="Y2843"/>
      <c r="Z2843"/>
      <c r="AA2843"/>
      <c r="AB2843"/>
      <c r="AL2843"/>
      <c r="AM2843"/>
      <c r="AN2843"/>
      <c r="AO2843"/>
    </row>
    <row r="2844" spans="1:41" s="2" customFormat="1" x14ac:dyDescent="0.2">
      <c r="A2844"/>
      <c r="B2844"/>
      <c r="C2844"/>
      <c r="D2844"/>
      <c r="E2844"/>
      <c r="F2844"/>
      <c r="G2844"/>
      <c r="U2844"/>
      <c r="V2844"/>
      <c r="W2844"/>
      <c r="X2844"/>
      <c r="Y2844"/>
      <c r="Z2844"/>
      <c r="AA2844"/>
      <c r="AB2844"/>
      <c r="AL2844"/>
      <c r="AM2844"/>
      <c r="AN2844"/>
      <c r="AO2844"/>
    </row>
    <row r="2845" spans="1:41" s="2" customFormat="1" x14ac:dyDescent="0.2">
      <c r="A2845"/>
      <c r="B2845"/>
      <c r="C2845"/>
      <c r="D2845"/>
      <c r="E2845"/>
      <c r="F2845"/>
      <c r="G2845"/>
      <c r="U2845"/>
      <c r="V2845"/>
      <c r="W2845"/>
      <c r="X2845"/>
      <c r="Y2845"/>
      <c r="Z2845"/>
      <c r="AA2845"/>
      <c r="AB2845"/>
      <c r="AL2845"/>
      <c r="AM2845"/>
      <c r="AN2845"/>
      <c r="AO2845"/>
    </row>
    <row r="2846" spans="1:41" s="2" customFormat="1" x14ac:dyDescent="0.2">
      <c r="A2846"/>
      <c r="B2846"/>
      <c r="C2846"/>
      <c r="D2846"/>
      <c r="E2846"/>
      <c r="F2846"/>
      <c r="G2846"/>
      <c r="U2846"/>
      <c r="V2846"/>
      <c r="W2846"/>
      <c r="X2846"/>
      <c r="Y2846"/>
      <c r="Z2846"/>
      <c r="AA2846"/>
      <c r="AB2846"/>
      <c r="AL2846"/>
      <c r="AM2846"/>
      <c r="AN2846"/>
      <c r="AO2846"/>
    </row>
    <row r="2847" spans="1:41" s="2" customFormat="1" x14ac:dyDescent="0.2">
      <c r="A2847"/>
      <c r="B2847"/>
      <c r="C2847"/>
      <c r="D2847"/>
      <c r="E2847"/>
      <c r="F2847"/>
      <c r="G2847"/>
      <c r="U2847"/>
      <c r="V2847"/>
      <c r="W2847"/>
      <c r="X2847"/>
      <c r="Y2847"/>
      <c r="Z2847"/>
      <c r="AA2847"/>
      <c r="AB2847"/>
      <c r="AL2847"/>
      <c r="AM2847"/>
      <c r="AN2847"/>
      <c r="AO2847"/>
    </row>
    <row r="2848" spans="1:41" s="2" customFormat="1" x14ac:dyDescent="0.2">
      <c r="A2848"/>
      <c r="B2848"/>
      <c r="C2848"/>
      <c r="D2848"/>
      <c r="E2848"/>
      <c r="F2848"/>
      <c r="G2848"/>
      <c r="U2848"/>
      <c r="V2848"/>
      <c r="W2848"/>
      <c r="X2848"/>
      <c r="Y2848"/>
      <c r="Z2848"/>
      <c r="AA2848"/>
      <c r="AB2848"/>
      <c r="AL2848"/>
      <c r="AM2848"/>
      <c r="AN2848"/>
      <c r="AO2848"/>
    </row>
    <row r="2849" spans="1:41" s="2" customFormat="1" x14ac:dyDescent="0.2">
      <c r="A2849"/>
      <c r="B2849"/>
      <c r="C2849"/>
      <c r="D2849"/>
      <c r="E2849"/>
      <c r="F2849"/>
      <c r="G2849"/>
      <c r="U2849"/>
      <c r="V2849"/>
      <c r="W2849"/>
      <c r="X2849"/>
      <c r="Y2849"/>
      <c r="Z2849"/>
      <c r="AA2849"/>
      <c r="AB2849"/>
      <c r="AL2849"/>
      <c r="AM2849"/>
      <c r="AN2849"/>
      <c r="AO2849"/>
    </row>
    <row r="2850" spans="1:41" s="2" customFormat="1" x14ac:dyDescent="0.2">
      <c r="A2850"/>
      <c r="B2850"/>
      <c r="C2850"/>
      <c r="D2850"/>
      <c r="E2850"/>
      <c r="F2850"/>
      <c r="G2850"/>
      <c r="U2850"/>
      <c r="V2850"/>
      <c r="W2850"/>
      <c r="X2850"/>
      <c r="Y2850"/>
      <c r="Z2850"/>
      <c r="AA2850"/>
      <c r="AB2850"/>
      <c r="AL2850"/>
      <c r="AM2850"/>
      <c r="AN2850"/>
      <c r="AO2850"/>
    </row>
    <row r="2851" spans="1:41" s="2" customFormat="1" x14ac:dyDescent="0.2">
      <c r="A2851"/>
      <c r="B2851"/>
      <c r="C2851"/>
      <c r="D2851"/>
      <c r="E2851"/>
      <c r="F2851"/>
      <c r="G2851"/>
      <c r="U2851"/>
      <c r="V2851"/>
      <c r="W2851"/>
      <c r="X2851"/>
      <c r="Y2851"/>
      <c r="Z2851"/>
      <c r="AA2851"/>
      <c r="AB2851"/>
      <c r="AL2851"/>
      <c r="AM2851"/>
      <c r="AN2851"/>
      <c r="AO2851"/>
    </row>
    <row r="2852" spans="1:41" s="2" customFormat="1" x14ac:dyDescent="0.2">
      <c r="A2852"/>
      <c r="B2852"/>
      <c r="C2852"/>
      <c r="D2852"/>
      <c r="E2852"/>
      <c r="F2852"/>
      <c r="G2852"/>
      <c r="U2852"/>
      <c r="V2852"/>
      <c r="W2852"/>
      <c r="X2852"/>
      <c r="Y2852"/>
      <c r="Z2852"/>
      <c r="AA2852"/>
      <c r="AB2852"/>
      <c r="AL2852"/>
      <c r="AM2852"/>
      <c r="AN2852"/>
      <c r="AO2852"/>
    </row>
    <row r="2853" spans="1:41" s="2" customFormat="1" x14ac:dyDescent="0.2">
      <c r="A2853"/>
      <c r="B2853"/>
      <c r="C2853"/>
      <c r="D2853"/>
      <c r="E2853"/>
      <c r="F2853"/>
      <c r="G2853"/>
      <c r="U2853"/>
      <c r="V2853"/>
      <c r="W2853"/>
      <c r="X2853"/>
      <c r="Y2853"/>
      <c r="Z2853"/>
      <c r="AA2853"/>
      <c r="AB2853"/>
      <c r="AL2853"/>
      <c r="AM2853"/>
      <c r="AN2853"/>
      <c r="AO2853"/>
    </row>
    <row r="2854" spans="1:41" s="2" customFormat="1" x14ac:dyDescent="0.2">
      <c r="A2854"/>
      <c r="B2854"/>
      <c r="C2854"/>
      <c r="D2854"/>
      <c r="E2854"/>
      <c r="F2854"/>
      <c r="G2854"/>
      <c r="U2854"/>
      <c r="V2854"/>
      <c r="W2854"/>
      <c r="X2854"/>
      <c r="Y2854"/>
      <c r="Z2854"/>
      <c r="AA2854"/>
      <c r="AB2854"/>
      <c r="AL2854"/>
      <c r="AM2854"/>
      <c r="AN2854"/>
      <c r="AO2854"/>
    </row>
    <row r="2855" spans="1:41" s="2" customFormat="1" x14ac:dyDescent="0.2">
      <c r="A2855"/>
      <c r="B2855"/>
      <c r="C2855"/>
      <c r="D2855"/>
      <c r="E2855"/>
      <c r="F2855"/>
      <c r="G2855"/>
      <c r="U2855"/>
      <c r="V2855"/>
      <c r="W2855"/>
      <c r="X2855"/>
      <c r="Y2855"/>
      <c r="Z2855"/>
      <c r="AA2855"/>
      <c r="AB2855"/>
      <c r="AL2855"/>
      <c r="AM2855"/>
      <c r="AN2855"/>
      <c r="AO2855"/>
    </row>
    <row r="2856" spans="1:41" s="2" customFormat="1" x14ac:dyDescent="0.2">
      <c r="A2856"/>
      <c r="B2856"/>
      <c r="C2856"/>
      <c r="D2856"/>
      <c r="E2856"/>
      <c r="F2856"/>
      <c r="G2856"/>
      <c r="U2856"/>
      <c r="V2856"/>
      <c r="W2856"/>
      <c r="X2856"/>
      <c r="Y2856"/>
      <c r="Z2856"/>
      <c r="AA2856"/>
      <c r="AB2856"/>
      <c r="AL2856"/>
      <c r="AM2856"/>
      <c r="AN2856"/>
      <c r="AO2856"/>
    </row>
    <row r="2857" spans="1:41" s="2" customFormat="1" x14ac:dyDescent="0.2">
      <c r="A2857"/>
      <c r="B2857"/>
      <c r="C2857"/>
      <c r="D2857"/>
      <c r="E2857"/>
      <c r="F2857"/>
      <c r="G2857"/>
      <c r="U2857"/>
      <c r="V2857"/>
      <c r="W2857"/>
      <c r="X2857"/>
      <c r="Y2857"/>
      <c r="Z2857"/>
      <c r="AA2857"/>
      <c r="AB2857"/>
      <c r="AL2857"/>
      <c r="AM2857"/>
      <c r="AN2857"/>
      <c r="AO2857"/>
    </row>
    <row r="2858" spans="1:41" s="2" customFormat="1" x14ac:dyDescent="0.2">
      <c r="A2858"/>
      <c r="B2858"/>
      <c r="C2858"/>
      <c r="D2858"/>
      <c r="E2858"/>
      <c r="F2858"/>
      <c r="G2858"/>
      <c r="U2858"/>
      <c r="V2858"/>
      <c r="W2858"/>
      <c r="X2858"/>
      <c r="Y2858"/>
      <c r="Z2858"/>
      <c r="AA2858"/>
      <c r="AB2858"/>
      <c r="AL2858"/>
      <c r="AM2858"/>
      <c r="AN2858"/>
      <c r="AO2858"/>
    </row>
    <row r="2859" spans="1:41" s="2" customFormat="1" x14ac:dyDescent="0.2">
      <c r="A2859"/>
      <c r="B2859"/>
      <c r="C2859"/>
      <c r="D2859"/>
      <c r="E2859"/>
      <c r="F2859"/>
      <c r="G2859"/>
      <c r="U2859"/>
      <c r="V2859"/>
      <c r="W2859"/>
      <c r="X2859"/>
      <c r="Y2859"/>
      <c r="Z2859"/>
      <c r="AA2859"/>
      <c r="AB2859"/>
      <c r="AL2859"/>
      <c r="AM2859"/>
      <c r="AN2859"/>
      <c r="AO2859"/>
    </row>
    <row r="2860" spans="1:41" s="2" customFormat="1" x14ac:dyDescent="0.2">
      <c r="A2860"/>
      <c r="B2860"/>
      <c r="C2860"/>
      <c r="D2860"/>
      <c r="E2860"/>
      <c r="F2860"/>
      <c r="G2860"/>
      <c r="U2860"/>
      <c r="V2860"/>
      <c r="W2860"/>
      <c r="X2860"/>
      <c r="Y2860"/>
      <c r="Z2860"/>
      <c r="AA2860"/>
      <c r="AB2860"/>
      <c r="AL2860"/>
      <c r="AM2860"/>
      <c r="AN2860"/>
      <c r="AO2860"/>
    </row>
    <row r="2861" spans="1:41" s="2" customFormat="1" x14ac:dyDescent="0.2">
      <c r="A2861"/>
      <c r="B2861"/>
      <c r="C2861"/>
      <c r="D2861"/>
      <c r="E2861"/>
      <c r="F2861"/>
      <c r="G2861"/>
      <c r="U2861"/>
      <c r="V2861"/>
      <c r="W2861"/>
      <c r="X2861"/>
      <c r="Y2861"/>
      <c r="Z2861"/>
      <c r="AA2861"/>
      <c r="AB2861"/>
      <c r="AL2861"/>
      <c r="AM2861"/>
      <c r="AN2861"/>
      <c r="AO2861"/>
    </row>
    <row r="2862" spans="1:41" s="2" customFormat="1" x14ac:dyDescent="0.2">
      <c r="A2862"/>
      <c r="B2862"/>
      <c r="C2862"/>
      <c r="D2862"/>
      <c r="E2862"/>
      <c r="F2862"/>
      <c r="G2862"/>
      <c r="U2862"/>
      <c r="V2862"/>
      <c r="W2862"/>
      <c r="X2862"/>
      <c r="Y2862"/>
      <c r="Z2862"/>
      <c r="AA2862"/>
      <c r="AB2862"/>
      <c r="AL2862"/>
      <c r="AM2862"/>
      <c r="AN2862"/>
      <c r="AO2862"/>
    </row>
    <row r="2863" spans="1:41" s="2" customFormat="1" x14ac:dyDescent="0.2">
      <c r="A2863"/>
      <c r="B2863"/>
      <c r="C2863"/>
      <c r="D2863"/>
      <c r="E2863"/>
      <c r="F2863"/>
      <c r="G2863"/>
      <c r="U2863"/>
      <c r="V2863"/>
      <c r="W2863"/>
      <c r="X2863"/>
      <c r="Y2863"/>
      <c r="Z2863"/>
      <c r="AA2863"/>
      <c r="AB2863"/>
      <c r="AL2863"/>
      <c r="AM2863"/>
      <c r="AN2863"/>
      <c r="AO2863"/>
    </row>
    <row r="2864" spans="1:41" s="2" customFormat="1" x14ac:dyDescent="0.2">
      <c r="A2864"/>
      <c r="B2864"/>
      <c r="C2864"/>
      <c r="D2864"/>
      <c r="E2864"/>
      <c r="F2864"/>
      <c r="G2864"/>
      <c r="U2864"/>
      <c r="V2864"/>
      <c r="W2864"/>
      <c r="X2864"/>
      <c r="Y2864"/>
      <c r="Z2864"/>
      <c r="AA2864"/>
      <c r="AB2864"/>
      <c r="AL2864"/>
      <c r="AM2864"/>
      <c r="AN2864"/>
      <c r="AO2864"/>
    </row>
    <row r="2865" spans="1:41" s="2" customFormat="1" x14ac:dyDescent="0.2">
      <c r="A2865"/>
      <c r="B2865"/>
      <c r="C2865"/>
      <c r="D2865"/>
      <c r="E2865"/>
      <c r="F2865"/>
      <c r="G2865"/>
      <c r="U2865"/>
      <c r="V2865"/>
      <c r="W2865"/>
      <c r="X2865"/>
      <c r="Y2865"/>
      <c r="Z2865"/>
      <c r="AA2865"/>
      <c r="AB2865"/>
      <c r="AL2865"/>
      <c r="AM2865"/>
      <c r="AN2865"/>
      <c r="AO2865"/>
    </row>
    <row r="2866" spans="1:41" s="2" customFormat="1" x14ac:dyDescent="0.2">
      <c r="A2866"/>
      <c r="B2866"/>
      <c r="C2866"/>
      <c r="D2866"/>
      <c r="E2866"/>
      <c r="F2866"/>
      <c r="G2866"/>
      <c r="U2866"/>
      <c r="V2866"/>
      <c r="W2866"/>
      <c r="X2866"/>
      <c r="Y2866"/>
      <c r="Z2866"/>
      <c r="AA2866"/>
      <c r="AB2866"/>
      <c r="AL2866"/>
      <c r="AM2866"/>
      <c r="AN2866"/>
      <c r="AO2866"/>
    </row>
    <row r="2867" spans="1:41" s="2" customFormat="1" x14ac:dyDescent="0.2">
      <c r="A2867"/>
      <c r="B2867"/>
      <c r="C2867"/>
      <c r="D2867"/>
      <c r="E2867"/>
      <c r="F2867"/>
      <c r="G2867"/>
      <c r="U2867"/>
      <c r="V2867"/>
      <c r="W2867"/>
      <c r="X2867"/>
      <c r="Y2867"/>
      <c r="Z2867"/>
      <c r="AA2867"/>
      <c r="AB2867"/>
      <c r="AL2867"/>
      <c r="AM2867"/>
      <c r="AN2867"/>
      <c r="AO2867"/>
    </row>
    <row r="2868" spans="1:41" s="2" customFormat="1" x14ac:dyDescent="0.2">
      <c r="A2868"/>
      <c r="B2868"/>
      <c r="C2868"/>
      <c r="D2868"/>
      <c r="E2868"/>
      <c r="F2868"/>
      <c r="G2868"/>
      <c r="U2868"/>
      <c r="V2868"/>
      <c r="W2868"/>
      <c r="X2868"/>
      <c r="Y2868"/>
      <c r="Z2868"/>
      <c r="AA2868"/>
      <c r="AB2868"/>
      <c r="AL2868"/>
      <c r="AM2868"/>
      <c r="AN2868"/>
      <c r="AO2868"/>
    </row>
    <row r="2869" spans="1:41" s="2" customFormat="1" x14ac:dyDescent="0.2">
      <c r="A2869"/>
      <c r="B2869"/>
      <c r="C2869"/>
      <c r="D2869"/>
      <c r="E2869"/>
      <c r="F2869"/>
      <c r="G2869"/>
      <c r="U2869"/>
      <c r="V2869"/>
      <c r="W2869"/>
      <c r="X2869"/>
      <c r="Y2869"/>
      <c r="Z2869"/>
      <c r="AA2869"/>
      <c r="AB2869"/>
      <c r="AL2869"/>
      <c r="AM2869"/>
      <c r="AN2869"/>
      <c r="AO2869"/>
    </row>
    <row r="2870" spans="1:41" s="2" customFormat="1" x14ac:dyDescent="0.2">
      <c r="A2870"/>
      <c r="B2870"/>
      <c r="C2870"/>
      <c r="D2870"/>
      <c r="E2870"/>
      <c r="F2870"/>
      <c r="G2870"/>
      <c r="U2870"/>
      <c r="V2870"/>
      <c r="W2870"/>
      <c r="X2870"/>
      <c r="Y2870"/>
      <c r="Z2870"/>
      <c r="AA2870"/>
      <c r="AB2870"/>
      <c r="AL2870"/>
      <c r="AM2870"/>
      <c r="AN2870"/>
      <c r="AO2870"/>
    </row>
    <row r="2871" spans="1:41" s="2" customFormat="1" x14ac:dyDescent="0.2">
      <c r="A2871"/>
      <c r="B2871"/>
      <c r="C2871"/>
      <c r="D2871"/>
      <c r="E2871"/>
      <c r="F2871"/>
      <c r="G2871"/>
      <c r="U2871"/>
      <c r="V2871"/>
      <c r="W2871"/>
      <c r="X2871"/>
      <c r="Y2871"/>
      <c r="Z2871"/>
      <c r="AA2871"/>
      <c r="AB2871"/>
      <c r="AL2871"/>
      <c r="AM2871"/>
      <c r="AN2871"/>
      <c r="AO2871"/>
    </row>
    <row r="2872" spans="1:41" s="2" customFormat="1" x14ac:dyDescent="0.2">
      <c r="A2872"/>
      <c r="B2872"/>
      <c r="C2872"/>
      <c r="D2872"/>
      <c r="E2872"/>
      <c r="F2872"/>
      <c r="G2872"/>
      <c r="U2872"/>
      <c r="V2872"/>
      <c r="W2872"/>
      <c r="X2872"/>
      <c r="Y2872"/>
      <c r="Z2872"/>
      <c r="AA2872"/>
      <c r="AB2872"/>
      <c r="AL2872"/>
      <c r="AM2872"/>
      <c r="AN2872"/>
      <c r="AO2872"/>
    </row>
    <row r="2873" spans="1:41" s="2" customFormat="1" x14ac:dyDescent="0.2">
      <c r="A2873"/>
      <c r="B2873"/>
      <c r="C2873"/>
      <c r="D2873"/>
      <c r="E2873"/>
      <c r="F2873"/>
      <c r="G2873"/>
      <c r="U2873"/>
      <c r="V2873"/>
      <c r="W2873"/>
      <c r="X2873"/>
      <c r="Y2873"/>
      <c r="Z2873"/>
      <c r="AA2873"/>
      <c r="AB2873"/>
      <c r="AL2873"/>
      <c r="AM2873"/>
      <c r="AN2873"/>
      <c r="AO2873"/>
    </row>
    <row r="2874" spans="1:41" s="2" customFormat="1" x14ac:dyDescent="0.2">
      <c r="A2874"/>
      <c r="B2874"/>
      <c r="C2874"/>
      <c r="D2874"/>
      <c r="E2874"/>
      <c r="F2874"/>
      <c r="G2874"/>
      <c r="U2874"/>
      <c r="V2874"/>
      <c r="W2874"/>
      <c r="X2874"/>
      <c r="Y2874"/>
      <c r="Z2874"/>
      <c r="AA2874"/>
      <c r="AB2874"/>
      <c r="AL2874"/>
      <c r="AM2874"/>
      <c r="AN2874"/>
      <c r="AO2874"/>
    </row>
    <row r="2875" spans="1:41" s="2" customFormat="1" x14ac:dyDescent="0.2">
      <c r="A2875"/>
      <c r="B2875"/>
      <c r="C2875"/>
      <c r="D2875"/>
      <c r="E2875"/>
      <c r="F2875"/>
      <c r="G2875"/>
      <c r="U2875"/>
      <c r="V2875"/>
      <c r="W2875"/>
      <c r="X2875"/>
      <c r="Y2875"/>
      <c r="Z2875"/>
      <c r="AA2875"/>
      <c r="AB2875"/>
      <c r="AL2875"/>
      <c r="AM2875"/>
      <c r="AN2875"/>
      <c r="AO2875"/>
    </row>
    <row r="2876" spans="1:41" s="2" customFormat="1" x14ac:dyDescent="0.2">
      <c r="A2876"/>
      <c r="B2876"/>
      <c r="C2876"/>
      <c r="D2876"/>
      <c r="E2876"/>
      <c r="F2876"/>
      <c r="G2876"/>
      <c r="U2876"/>
      <c r="V2876"/>
      <c r="W2876"/>
      <c r="X2876"/>
      <c r="Y2876"/>
      <c r="Z2876"/>
      <c r="AA2876"/>
      <c r="AB2876"/>
      <c r="AL2876"/>
      <c r="AM2876"/>
      <c r="AN2876"/>
      <c r="AO2876"/>
    </row>
    <row r="2877" spans="1:41" s="2" customFormat="1" x14ac:dyDescent="0.2">
      <c r="A2877"/>
      <c r="B2877"/>
      <c r="C2877"/>
      <c r="D2877"/>
      <c r="E2877"/>
      <c r="F2877"/>
      <c r="G2877"/>
      <c r="U2877"/>
      <c r="V2877"/>
      <c r="W2877"/>
      <c r="X2877"/>
      <c r="Y2877"/>
      <c r="Z2877"/>
      <c r="AA2877"/>
      <c r="AB2877"/>
      <c r="AL2877"/>
      <c r="AM2877"/>
      <c r="AN2877"/>
      <c r="AO2877"/>
    </row>
    <row r="2878" spans="1:41" s="2" customFormat="1" x14ac:dyDescent="0.2">
      <c r="A2878"/>
      <c r="B2878"/>
      <c r="C2878"/>
      <c r="D2878"/>
      <c r="E2878"/>
      <c r="F2878"/>
      <c r="G2878"/>
      <c r="U2878"/>
      <c r="V2878"/>
      <c r="W2878"/>
      <c r="X2878"/>
      <c r="Y2878"/>
      <c r="Z2878"/>
      <c r="AA2878"/>
      <c r="AB2878"/>
      <c r="AL2878"/>
      <c r="AM2878"/>
      <c r="AN2878"/>
      <c r="AO2878"/>
    </row>
    <row r="2879" spans="1:41" s="2" customFormat="1" x14ac:dyDescent="0.2">
      <c r="A2879"/>
      <c r="B2879"/>
      <c r="C2879"/>
      <c r="D2879"/>
      <c r="E2879"/>
      <c r="F2879"/>
      <c r="G2879"/>
      <c r="U2879"/>
      <c r="V2879"/>
      <c r="W2879"/>
      <c r="X2879"/>
      <c r="Y2879"/>
      <c r="Z2879"/>
      <c r="AA2879"/>
      <c r="AB2879"/>
      <c r="AL2879"/>
      <c r="AM2879"/>
      <c r="AN2879"/>
      <c r="AO2879"/>
    </row>
    <row r="2880" spans="1:41" s="2" customFormat="1" x14ac:dyDescent="0.2">
      <c r="A2880"/>
      <c r="B2880"/>
      <c r="C2880"/>
      <c r="D2880"/>
      <c r="E2880"/>
      <c r="F2880"/>
      <c r="G2880"/>
      <c r="U2880"/>
      <c r="V2880"/>
      <c r="W2880"/>
      <c r="X2880"/>
      <c r="Y2880"/>
      <c r="Z2880"/>
      <c r="AA2880"/>
      <c r="AB2880"/>
      <c r="AL2880"/>
      <c r="AM2880"/>
      <c r="AN2880"/>
      <c r="AO2880"/>
    </row>
    <row r="2881" spans="1:41" s="2" customFormat="1" x14ac:dyDescent="0.2">
      <c r="A2881"/>
      <c r="B2881"/>
      <c r="C2881"/>
      <c r="D2881"/>
      <c r="E2881"/>
      <c r="F2881"/>
      <c r="G2881"/>
      <c r="U2881"/>
      <c r="V2881"/>
      <c r="W2881"/>
      <c r="X2881"/>
      <c r="Y2881"/>
      <c r="Z2881"/>
      <c r="AA2881"/>
      <c r="AB2881"/>
      <c r="AL2881"/>
      <c r="AM2881"/>
      <c r="AN2881"/>
      <c r="AO2881"/>
    </row>
    <row r="2882" spans="1:41" s="2" customFormat="1" x14ac:dyDescent="0.2">
      <c r="A2882"/>
      <c r="B2882"/>
      <c r="C2882"/>
      <c r="D2882"/>
      <c r="E2882"/>
      <c r="F2882"/>
      <c r="G2882"/>
      <c r="U2882"/>
      <c r="V2882"/>
      <c r="W2882"/>
      <c r="X2882"/>
      <c r="Y2882"/>
      <c r="Z2882"/>
      <c r="AA2882"/>
      <c r="AB2882"/>
      <c r="AL2882"/>
      <c r="AM2882"/>
      <c r="AN2882"/>
      <c r="AO2882"/>
    </row>
    <row r="2883" spans="1:41" s="2" customFormat="1" x14ac:dyDescent="0.2">
      <c r="A2883"/>
      <c r="B2883"/>
      <c r="C2883"/>
      <c r="D2883"/>
      <c r="E2883"/>
      <c r="F2883"/>
      <c r="G2883"/>
      <c r="U2883"/>
      <c r="V2883"/>
      <c r="W2883"/>
      <c r="X2883"/>
      <c r="Y2883"/>
      <c r="Z2883"/>
      <c r="AA2883"/>
      <c r="AB2883"/>
      <c r="AL2883"/>
      <c r="AM2883"/>
      <c r="AN2883"/>
      <c r="AO2883"/>
    </row>
    <row r="2884" spans="1:41" s="2" customFormat="1" x14ac:dyDescent="0.2">
      <c r="A2884"/>
      <c r="B2884"/>
      <c r="C2884"/>
      <c r="D2884"/>
      <c r="E2884"/>
      <c r="F2884"/>
      <c r="G2884"/>
      <c r="U2884"/>
      <c r="V2884"/>
      <c r="W2884"/>
      <c r="X2884"/>
      <c r="Y2884"/>
      <c r="Z2884"/>
      <c r="AA2884"/>
      <c r="AB2884"/>
      <c r="AL2884"/>
      <c r="AM2884"/>
      <c r="AN2884"/>
      <c r="AO2884"/>
    </row>
    <row r="2885" spans="1:41" s="2" customFormat="1" x14ac:dyDescent="0.2">
      <c r="A2885"/>
      <c r="B2885"/>
      <c r="C2885"/>
      <c r="D2885"/>
      <c r="E2885"/>
      <c r="F2885"/>
      <c r="G2885"/>
      <c r="U2885"/>
      <c r="V2885"/>
      <c r="W2885"/>
      <c r="X2885"/>
      <c r="Y2885"/>
      <c r="Z2885"/>
      <c r="AA2885"/>
      <c r="AB2885"/>
      <c r="AL2885"/>
      <c r="AM2885"/>
      <c r="AN2885"/>
      <c r="AO2885"/>
    </row>
    <row r="2886" spans="1:41" s="2" customFormat="1" x14ac:dyDescent="0.2">
      <c r="A2886"/>
      <c r="B2886"/>
      <c r="C2886"/>
      <c r="D2886"/>
      <c r="E2886"/>
      <c r="F2886"/>
      <c r="G2886"/>
      <c r="U2886"/>
      <c r="V2886"/>
      <c r="W2886"/>
      <c r="X2886"/>
      <c r="Y2886"/>
      <c r="Z2886"/>
      <c r="AA2886"/>
      <c r="AB2886"/>
      <c r="AL2886"/>
      <c r="AM2886"/>
      <c r="AN2886"/>
      <c r="AO2886"/>
    </row>
    <row r="2887" spans="1:41" s="2" customFormat="1" x14ac:dyDescent="0.2">
      <c r="A2887"/>
      <c r="B2887"/>
      <c r="C2887"/>
      <c r="D2887"/>
      <c r="E2887"/>
      <c r="F2887"/>
      <c r="G2887"/>
      <c r="U2887"/>
      <c r="V2887"/>
      <c r="W2887"/>
      <c r="X2887"/>
      <c r="Y2887"/>
      <c r="Z2887"/>
      <c r="AA2887"/>
      <c r="AB2887"/>
      <c r="AL2887"/>
      <c r="AM2887"/>
      <c r="AN2887"/>
      <c r="AO2887"/>
    </row>
    <row r="2888" spans="1:41" s="2" customFormat="1" x14ac:dyDescent="0.2">
      <c r="A2888"/>
      <c r="B2888"/>
      <c r="C2888"/>
      <c r="D2888"/>
      <c r="E2888"/>
      <c r="F2888"/>
      <c r="G2888"/>
      <c r="U2888"/>
      <c r="V2888"/>
      <c r="W2888"/>
      <c r="X2888"/>
      <c r="Y2888"/>
      <c r="Z2888"/>
      <c r="AA2888"/>
      <c r="AB2888"/>
      <c r="AL2888"/>
      <c r="AM2888"/>
      <c r="AN2888"/>
      <c r="AO2888"/>
    </row>
    <row r="2889" spans="1:41" s="2" customFormat="1" x14ac:dyDescent="0.2">
      <c r="A2889"/>
      <c r="B2889"/>
      <c r="C2889"/>
      <c r="D2889"/>
      <c r="E2889"/>
      <c r="F2889"/>
      <c r="G2889"/>
      <c r="U2889"/>
      <c r="V2889"/>
      <c r="W2889"/>
      <c r="X2889"/>
      <c r="Y2889"/>
      <c r="Z2889"/>
      <c r="AA2889"/>
      <c r="AB2889"/>
      <c r="AL2889"/>
      <c r="AM2889"/>
      <c r="AN2889"/>
      <c r="AO2889"/>
    </row>
    <row r="2890" spans="1:41" s="2" customFormat="1" x14ac:dyDescent="0.2">
      <c r="A2890"/>
      <c r="B2890"/>
      <c r="C2890"/>
      <c r="D2890"/>
      <c r="E2890"/>
      <c r="F2890"/>
      <c r="G2890"/>
      <c r="U2890"/>
      <c r="V2890"/>
      <c r="W2890"/>
      <c r="X2890"/>
      <c r="Y2890"/>
      <c r="Z2890"/>
      <c r="AA2890"/>
      <c r="AB2890"/>
      <c r="AL2890"/>
      <c r="AM2890"/>
      <c r="AN2890"/>
      <c r="AO2890"/>
    </row>
    <row r="2891" spans="1:41" s="2" customFormat="1" x14ac:dyDescent="0.2">
      <c r="A2891"/>
      <c r="B2891"/>
      <c r="C2891"/>
      <c r="D2891"/>
      <c r="E2891"/>
      <c r="F2891"/>
      <c r="G2891"/>
      <c r="U2891"/>
      <c r="V2891"/>
      <c r="W2891"/>
      <c r="X2891"/>
      <c r="Y2891"/>
      <c r="Z2891"/>
      <c r="AA2891"/>
      <c r="AB2891"/>
      <c r="AL2891"/>
      <c r="AM2891"/>
      <c r="AN2891"/>
      <c r="AO2891"/>
    </row>
    <row r="2892" spans="1:41" s="2" customFormat="1" x14ac:dyDescent="0.2">
      <c r="A2892"/>
      <c r="B2892"/>
      <c r="C2892"/>
      <c r="D2892"/>
      <c r="E2892"/>
      <c r="F2892"/>
      <c r="G2892"/>
      <c r="U2892"/>
      <c r="V2892"/>
      <c r="W2892"/>
      <c r="X2892"/>
      <c r="Y2892"/>
      <c r="Z2892"/>
      <c r="AA2892"/>
      <c r="AB2892"/>
      <c r="AL2892"/>
      <c r="AM2892"/>
      <c r="AN2892"/>
      <c r="AO2892"/>
    </row>
    <row r="2893" spans="1:41" s="2" customFormat="1" x14ac:dyDescent="0.2">
      <c r="A2893"/>
      <c r="B2893"/>
      <c r="C2893"/>
      <c r="D2893"/>
      <c r="E2893"/>
      <c r="F2893"/>
      <c r="G2893"/>
      <c r="U2893"/>
      <c r="V2893"/>
      <c r="W2893"/>
      <c r="X2893"/>
      <c r="Y2893"/>
      <c r="Z2893"/>
      <c r="AA2893"/>
      <c r="AB2893"/>
      <c r="AL2893"/>
      <c r="AM2893"/>
      <c r="AN2893"/>
      <c r="AO2893"/>
    </row>
    <row r="2894" spans="1:41" s="2" customFormat="1" x14ac:dyDescent="0.2">
      <c r="A2894"/>
      <c r="B2894"/>
      <c r="C2894"/>
      <c r="D2894"/>
      <c r="E2894"/>
      <c r="F2894"/>
      <c r="G2894"/>
      <c r="U2894"/>
      <c r="V2894"/>
      <c r="W2894"/>
      <c r="X2894"/>
      <c r="Y2894"/>
      <c r="Z2894"/>
      <c r="AA2894"/>
      <c r="AB2894"/>
      <c r="AL2894"/>
      <c r="AM2894"/>
      <c r="AN2894"/>
      <c r="AO2894"/>
    </row>
    <row r="2895" spans="1:41" s="2" customFormat="1" x14ac:dyDescent="0.2">
      <c r="A2895"/>
      <c r="B2895"/>
      <c r="C2895"/>
      <c r="D2895"/>
      <c r="E2895"/>
      <c r="F2895"/>
      <c r="G2895"/>
      <c r="U2895"/>
      <c r="V2895"/>
      <c r="W2895"/>
      <c r="X2895"/>
      <c r="Y2895"/>
      <c r="Z2895"/>
      <c r="AA2895"/>
      <c r="AB2895"/>
      <c r="AL2895"/>
      <c r="AM2895"/>
      <c r="AN2895"/>
      <c r="AO2895"/>
    </row>
    <row r="2896" spans="1:41" s="2" customFormat="1" x14ac:dyDescent="0.2">
      <c r="A2896"/>
      <c r="B2896"/>
      <c r="C2896"/>
      <c r="D2896"/>
      <c r="E2896"/>
      <c r="F2896"/>
      <c r="G2896"/>
      <c r="U2896"/>
      <c r="V2896"/>
      <c r="W2896"/>
      <c r="X2896"/>
      <c r="Y2896"/>
      <c r="Z2896"/>
      <c r="AA2896"/>
      <c r="AB2896"/>
      <c r="AL2896"/>
      <c r="AM2896"/>
      <c r="AN2896"/>
      <c r="AO2896"/>
    </row>
    <row r="2897" spans="1:41" s="2" customFormat="1" x14ac:dyDescent="0.2">
      <c r="A2897"/>
      <c r="B2897"/>
      <c r="C2897"/>
      <c r="D2897"/>
      <c r="E2897"/>
      <c r="F2897"/>
      <c r="G2897"/>
      <c r="U2897"/>
      <c r="V2897"/>
      <c r="W2897"/>
      <c r="X2897"/>
      <c r="Y2897"/>
      <c r="Z2897"/>
      <c r="AA2897"/>
      <c r="AB2897"/>
      <c r="AL2897"/>
      <c r="AM2897"/>
      <c r="AN2897"/>
      <c r="AO2897"/>
    </row>
    <row r="2898" spans="1:41" s="2" customFormat="1" x14ac:dyDescent="0.2">
      <c r="A2898"/>
      <c r="B2898"/>
      <c r="C2898"/>
      <c r="D2898"/>
      <c r="E2898"/>
      <c r="F2898"/>
      <c r="G2898"/>
      <c r="U2898"/>
      <c r="V2898"/>
      <c r="W2898"/>
      <c r="X2898"/>
      <c r="Y2898"/>
      <c r="Z2898"/>
      <c r="AA2898"/>
      <c r="AB2898"/>
      <c r="AL2898"/>
      <c r="AM2898"/>
      <c r="AN2898"/>
      <c r="AO2898"/>
    </row>
    <row r="2899" spans="1:41" s="2" customFormat="1" x14ac:dyDescent="0.2">
      <c r="A2899"/>
      <c r="B2899"/>
      <c r="C2899"/>
      <c r="D2899"/>
      <c r="E2899"/>
      <c r="F2899"/>
      <c r="G2899"/>
      <c r="U2899"/>
      <c r="V2899"/>
      <c r="W2899"/>
      <c r="X2899"/>
      <c r="Y2899"/>
      <c r="Z2899"/>
      <c r="AA2899"/>
      <c r="AB2899"/>
      <c r="AL2899"/>
      <c r="AM2899"/>
      <c r="AN2899"/>
      <c r="AO2899"/>
    </row>
    <row r="2900" spans="1:41" s="2" customFormat="1" x14ac:dyDescent="0.2">
      <c r="A2900"/>
      <c r="B2900"/>
      <c r="C2900"/>
      <c r="D2900"/>
      <c r="E2900"/>
      <c r="F2900"/>
      <c r="G2900"/>
      <c r="U2900"/>
      <c r="V2900"/>
      <c r="W2900"/>
      <c r="X2900"/>
      <c r="Y2900"/>
      <c r="Z2900"/>
      <c r="AA2900"/>
      <c r="AB2900"/>
      <c r="AL2900"/>
      <c r="AM2900"/>
      <c r="AN2900"/>
      <c r="AO2900"/>
    </row>
    <row r="2901" spans="1:41" s="2" customFormat="1" x14ac:dyDescent="0.2">
      <c r="A2901"/>
      <c r="B2901"/>
      <c r="C2901"/>
      <c r="D2901"/>
      <c r="E2901"/>
      <c r="F2901"/>
      <c r="G2901"/>
      <c r="U2901"/>
      <c r="V2901"/>
      <c r="W2901"/>
      <c r="X2901"/>
      <c r="Y2901"/>
      <c r="Z2901"/>
      <c r="AA2901"/>
      <c r="AB2901"/>
      <c r="AL2901"/>
      <c r="AM2901"/>
      <c r="AN2901"/>
      <c r="AO2901"/>
    </row>
    <row r="2902" spans="1:41" s="2" customFormat="1" x14ac:dyDescent="0.2">
      <c r="A2902"/>
      <c r="B2902"/>
      <c r="C2902"/>
      <c r="D2902"/>
      <c r="E2902"/>
      <c r="F2902"/>
      <c r="G2902"/>
      <c r="U2902"/>
      <c r="V2902"/>
      <c r="W2902"/>
      <c r="X2902"/>
      <c r="Y2902"/>
      <c r="Z2902"/>
      <c r="AA2902"/>
      <c r="AB2902"/>
      <c r="AL2902"/>
      <c r="AM2902"/>
      <c r="AN2902"/>
      <c r="AO2902"/>
    </row>
    <row r="2903" spans="1:41" s="2" customFormat="1" x14ac:dyDescent="0.2">
      <c r="A2903"/>
      <c r="B2903"/>
      <c r="C2903"/>
      <c r="D2903"/>
      <c r="E2903"/>
      <c r="F2903"/>
      <c r="G2903"/>
      <c r="U2903"/>
      <c r="V2903"/>
      <c r="W2903"/>
      <c r="X2903"/>
      <c r="Y2903"/>
      <c r="Z2903"/>
      <c r="AA2903"/>
      <c r="AB2903"/>
      <c r="AL2903"/>
      <c r="AM2903"/>
      <c r="AN2903"/>
      <c r="AO2903"/>
    </row>
    <row r="2904" spans="1:41" s="2" customFormat="1" x14ac:dyDescent="0.2">
      <c r="A2904"/>
      <c r="B2904"/>
      <c r="C2904"/>
      <c r="D2904"/>
      <c r="E2904"/>
      <c r="F2904"/>
      <c r="G2904"/>
      <c r="U2904"/>
      <c r="V2904"/>
      <c r="W2904"/>
      <c r="X2904"/>
      <c r="Y2904"/>
      <c r="Z2904"/>
      <c r="AA2904"/>
      <c r="AB2904"/>
      <c r="AL2904"/>
      <c r="AM2904"/>
      <c r="AN2904"/>
      <c r="AO2904"/>
    </row>
    <row r="2905" spans="1:41" s="2" customFormat="1" x14ac:dyDescent="0.2">
      <c r="A2905"/>
      <c r="B2905"/>
      <c r="C2905"/>
      <c r="D2905"/>
      <c r="E2905"/>
      <c r="F2905"/>
      <c r="G2905"/>
      <c r="U2905"/>
      <c r="V2905"/>
      <c r="W2905"/>
      <c r="X2905"/>
      <c r="Y2905"/>
      <c r="Z2905"/>
      <c r="AA2905"/>
      <c r="AB2905"/>
      <c r="AL2905"/>
      <c r="AM2905"/>
      <c r="AN2905"/>
      <c r="AO2905"/>
    </row>
    <row r="2906" spans="1:41" s="2" customFormat="1" x14ac:dyDescent="0.2">
      <c r="A2906"/>
      <c r="B2906"/>
      <c r="C2906"/>
      <c r="D2906"/>
      <c r="E2906"/>
      <c r="F2906"/>
      <c r="G2906"/>
      <c r="U2906"/>
      <c r="V2906"/>
      <c r="W2906"/>
      <c r="X2906"/>
      <c r="Y2906"/>
      <c r="Z2906"/>
      <c r="AA2906"/>
      <c r="AB2906"/>
      <c r="AL2906"/>
      <c r="AM2906"/>
      <c r="AN2906"/>
      <c r="AO2906"/>
    </row>
    <row r="2907" spans="1:41" s="2" customFormat="1" x14ac:dyDescent="0.2">
      <c r="A2907"/>
      <c r="B2907"/>
      <c r="C2907"/>
      <c r="D2907"/>
      <c r="E2907"/>
      <c r="F2907"/>
      <c r="G2907"/>
      <c r="U2907"/>
      <c r="V2907"/>
      <c r="W2907"/>
      <c r="X2907"/>
      <c r="Y2907"/>
      <c r="Z2907"/>
      <c r="AA2907"/>
      <c r="AB2907"/>
      <c r="AL2907"/>
      <c r="AM2907"/>
      <c r="AN2907"/>
      <c r="AO2907"/>
    </row>
    <row r="2908" spans="1:41" s="2" customFormat="1" x14ac:dyDescent="0.2">
      <c r="A2908"/>
      <c r="B2908"/>
      <c r="C2908"/>
      <c r="D2908"/>
      <c r="E2908"/>
      <c r="F2908"/>
      <c r="G2908"/>
      <c r="U2908"/>
      <c r="V2908"/>
      <c r="W2908"/>
      <c r="X2908"/>
      <c r="Y2908"/>
      <c r="Z2908"/>
      <c r="AA2908"/>
      <c r="AB2908"/>
      <c r="AL2908"/>
      <c r="AM2908"/>
      <c r="AN2908"/>
      <c r="AO2908"/>
    </row>
    <row r="2909" spans="1:41" s="2" customFormat="1" x14ac:dyDescent="0.2">
      <c r="A2909"/>
      <c r="B2909"/>
      <c r="C2909"/>
      <c r="D2909"/>
      <c r="E2909"/>
      <c r="F2909"/>
      <c r="G2909"/>
      <c r="U2909"/>
      <c r="V2909"/>
      <c r="W2909"/>
      <c r="X2909"/>
      <c r="Y2909"/>
      <c r="Z2909"/>
      <c r="AA2909"/>
      <c r="AB2909"/>
      <c r="AL2909"/>
      <c r="AM2909"/>
      <c r="AN2909"/>
      <c r="AO2909"/>
    </row>
    <row r="2910" spans="1:41" s="2" customFormat="1" x14ac:dyDescent="0.2">
      <c r="A2910"/>
      <c r="B2910"/>
      <c r="C2910"/>
      <c r="D2910"/>
      <c r="E2910"/>
      <c r="F2910"/>
      <c r="G2910"/>
      <c r="U2910"/>
      <c r="V2910"/>
      <c r="W2910"/>
      <c r="X2910"/>
      <c r="Y2910"/>
      <c r="Z2910"/>
      <c r="AA2910"/>
      <c r="AB2910"/>
      <c r="AL2910"/>
      <c r="AM2910"/>
      <c r="AN2910"/>
      <c r="AO2910"/>
    </row>
    <row r="2911" spans="1:41" s="2" customFormat="1" x14ac:dyDescent="0.2">
      <c r="A2911"/>
      <c r="B2911"/>
      <c r="C2911"/>
      <c r="D2911"/>
      <c r="E2911"/>
      <c r="F2911"/>
      <c r="G2911"/>
      <c r="U2911"/>
      <c r="V2911"/>
      <c r="W2911"/>
      <c r="X2911"/>
      <c r="Y2911"/>
      <c r="Z2911"/>
      <c r="AA2911"/>
      <c r="AB2911"/>
      <c r="AL2911"/>
      <c r="AM2911"/>
      <c r="AN2911"/>
      <c r="AO2911"/>
    </row>
    <row r="2912" spans="1:41" s="2" customFormat="1" x14ac:dyDescent="0.2">
      <c r="A2912"/>
      <c r="B2912"/>
      <c r="C2912"/>
      <c r="D2912"/>
      <c r="E2912"/>
      <c r="F2912"/>
      <c r="G2912"/>
      <c r="U2912"/>
      <c r="V2912"/>
      <c r="W2912"/>
      <c r="X2912"/>
      <c r="Y2912"/>
      <c r="Z2912"/>
      <c r="AA2912"/>
      <c r="AB2912"/>
      <c r="AL2912"/>
      <c r="AM2912"/>
      <c r="AN2912"/>
      <c r="AO2912"/>
    </row>
    <row r="2913" spans="1:41" s="2" customFormat="1" x14ac:dyDescent="0.2">
      <c r="A2913"/>
      <c r="B2913"/>
      <c r="C2913"/>
      <c r="D2913"/>
      <c r="E2913"/>
      <c r="F2913"/>
      <c r="G2913"/>
      <c r="U2913"/>
      <c r="V2913"/>
      <c r="W2913"/>
      <c r="X2913"/>
      <c r="Y2913"/>
      <c r="Z2913"/>
      <c r="AA2913"/>
      <c r="AB2913"/>
      <c r="AL2913"/>
      <c r="AM2913"/>
      <c r="AN2913"/>
      <c r="AO2913"/>
    </row>
    <row r="2914" spans="1:41" s="2" customFormat="1" x14ac:dyDescent="0.2">
      <c r="A2914"/>
      <c r="B2914"/>
      <c r="C2914"/>
      <c r="D2914"/>
      <c r="E2914"/>
      <c r="F2914"/>
      <c r="G2914"/>
      <c r="U2914"/>
      <c r="V2914"/>
      <c r="W2914"/>
      <c r="X2914"/>
      <c r="Y2914"/>
      <c r="Z2914"/>
      <c r="AA2914"/>
      <c r="AB2914"/>
      <c r="AL2914"/>
      <c r="AM2914"/>
      <c r="AN2914"/>
      <c r="AO2914"/>
    </row>
    <row r="2915" spans="1:41" s="2" customFormat="1" x14ac:dyDescent="0.2">
      <c r="A2915"/>
      <c r="B2915"/>
      <c r="C2915"/>
      <c r="D2915"/>
      <c r="E2915"/>
      <c r="F2915"/>
      <c r="G2915"/>
      <c r="U2915"/>
      <c r="V2915"/>
      <c r="W2915"/>
      <c r="X2915"/>
      <c r="Y2915"/>
      <c r="Z2915"/>
      <c r="AA2915"/>
      <c r="AB2915"/>
      <c r="AL2915"/>
      <c r="AM2915"/>
      <c r="AN2915"/>
      <c r="AO2915"/>
    </row>
    <row r="2916" spans="1:41" s="2" customFormat="1" x14ac:dyDescent="0.2">
      <c r="A2916"/>
      <c r="B2916"/>
      <c r="C2916"/>
      <c r="D2916"/>
      <c r="E2916"/>
      <c r="F2916"/>
      <c r="G2916"/>
      <c r="U2916"/>
      <c r="V2916"/>
      <c r="W2916"/>
      <c r="X2916"/>
      <c r="Y2916"/>
      <c r="Z2916"/>
      <c r="AA2916"/>
      <c r="AB2916"/>
      <c r="AL2916"/>
      <c r="AM2916"/>
      <c r="AN2916"/>
      <c r="AO2916"/>
    </row>
    <row r="2917" spans="1:41" s="2" customFormat="1" x14ac:dyDescent="0.2">
      <c r="A2917"/>
      <c r="B2917"/>
      <c r="C2917"/>
      <c r="D2917"/>
      <c r="E2917"/>
      <c r="F2917"/>
      <c r="G2917"/>
      <c r="U2917"/>
      <c r="V2917"/>
      <c r="W2917"/>
      <c r="X2917"/>
      <c r="Y2917"/>
      <c r="Z2917"/>
      <c r="AA2917"/>
      <c r="AB2917"/>
      <c r="AL2917"/>
      <c r="AM2917"/>
      <c r="AN2917"/>
      <c r="AO2917"/>
    </row>
    <row r="2918" spans="1:41" s="2" customFormat="1" x14ac:dyDescent="0.2">
      <c r="A2918"/>
      <c r="B2918"/>
      <c r="C2918"/>
      <c r="D2918"/>
      <c r="E2918"/>
      <c r="F2918"/>
      <c r="G2918"/>
      <c r="U2918"/>
      <c r="V2918"/>
      <c r="W2918"/>
      <c r="X2918"/>
      <c r="Y2918"/>
      <c r="Z2918"/>
      <c r="AA2918"/>
      <c r="AB2918"/>
      <c r="AL2918"/>
      <c r="AM2918"/>
      <c r="AN2918"/>
      <c r="AO2918"/>
    </row>
    <row r="2919" spans="1:41" s="2" customFormat="1" x14ac:dyDescent="0.2">
      <c r="A2919"/>
      <c r="B2919"/>
      <c r="C2919"/>
      <c r="D2919"/>
      <c r="E2919"/>
      <c r="F2919"/>
      <c r="G2919"/>
      <c r="U2919"/>
      <c r="V2919"/>
      <c r="W2919"/>
      <c r="X2919"/>
      <c r="Y2919"/>
      <c r="Z2919"/>
      <c r="AA2919"/>
      <c r="AB2919"/>
      <c r="AL2919"/>
      <c r="AM2919"/>
      <c r="AN2919"/>
      <c r="AO2919"/>
    </row>
    <row r="2920" spans="1:41" s="2" customFormat="1" x14ac:dyDescent="0.2">
      <c r="A2920"/>
      <c r="B2920"/>
      <c r="C2920"/>
      <c r="D2920"/>
      <c r="E2920"/>
      <c r="F2920"/>
      <c r="G2920"/>
      <c r="U2920"/>
      <c r="V2920"/>
      <c r="W2920"/>
      <c r="X2920"/>
      <c r="Y2920"/>
      <c r="Z2920"/>
      <c r="AA2920"/>
      <c r="AB2920"/>
      <c r="AL2920"/>
      <c r="AM2920"/>
      <c r="AN2920"/>
      <c r="AO2920"/>
    </row>
    <row r="2921" spans="1:41" s="2" customFormat="1" x14ac:dyDescent="0.2">
      <c r="A2921"/>
      <c r="B2921"/>
      <c r="C2921"/>
      <c r="D2921"/>
      <c r="E2921"/>
      <c r="F2921"/>
      <c r="G2921"/>
      <c r="U2921"/>
      <c r="V2921"/>
      <c r="W2921"/>
      <c r="X2921"/>
      <c r="Y2921"/>
      <c r="Z2921"/>
      <c r="AA2921"/>
      <c r="AB2921"/>
      <c r="AL2921"/>
      <c r="AM2921"/>
      <c r="AN2921"/>
      <c r="AO2921"/>
    </row>
    <row r="2922" spans="1:41" s="2" customFormat="1" x14ac:dyDescent="0.2">
      <c r="A2922"/>
      <c r="B2922"/>
      <c r="C2922"/>
      <c r="D2922"/>
      <c r="E2922"/>
      <c r="F2922"/>
      <c r="G2922"/>
      <c r="U2922"/>
      <c r="V2922"/>
      <c r="W2922"/>
      <c r="X2922"/>
      <c r="Y2922"/>
      <c r="Z2922"/>
      <c r="AA2922"/>
      <c r="AB2922"/>
      <c r="AL2922"/>
      <c r="AM2922"/>
      <c r="AN2922"/>
      <c r="AO2922"/>
    </row>
    <row r="2923" spans="1:41" s="2" customFormat="1" x14ac:dyDescent="0.2">
      <c r="A2923"/>
      <c r="B2923"/>
      <c r="C2923"/>
      <c r="D2923"/>
      <c r="E2923"/>
      <c r="F2923"/>
      <c r="G2923"/>
      <c r="U2923"/>
      <c r="V2923"/>
      <c r="W2923"/>
      <c r="X2923"/>
      <c r="Y2923"/>
      <c r="Z2923"/>
      <c r="AA2923"/>
      <c r="AB2923"/>
      <c r="AL2923"/>
      <c r="AM2923"/>
      <c r="AN2923"/>
      <c r="AO2923"/>
    </row>
    <row r="2924" spans="1:41" s="2" customFormat="1" x14ac:dyDescent="0.2">
      <c r="A2924"/>
      <c r="B2924"/>
      <c r="C2924"/>
      <c r="D2924"/>
      <c r="E2924"/>
      <c r="F2924"/>
      <c r="G2924"/>
      <c r="U2924"/>
      <c r="V2924"/>
      <c r="W2924"/>
      <c r="X2924"/>
      <c r="Y2924"/>
      <c r="Z2924"/>
      <c r="AA2924"/>
      <c r="AB2924"/>
      <c r="AL2924"/>
      <c r="AM2924"/>
      <c r="AN2924"/>
      <c r="AO2924"/>
    </row>
    <row r="2925" spans="1:41" s="2" customFormat="1" x14ac:dyDescent="0.2">
      <c r="A2925"/>
      <c r="B2925"/>
      <c r="C2925"/>
      <c r="D2925"/>
      <c r="E2925"/>
      <c r="F2925"/>
      <c r="G2925"/>
      <c r="U2925"/>
      <c r="V2925"/>
      <c r="W2925"/>
      <c r="X2925"/>
      <c r="Y2925"/>
      <c r="Z2925"/>
      <c r="AA2925"/>
      <c r="AB2925"/>
      <c r="AL2925"/>
      <c r="AM2925"/>
      <c r="AN2925"/>
      <c r="AO2925"/>
    </row>
    <row r="2926" spans="1:41" s="2" customFormat="1" x14ac:dyDescent="0.2">
      <c r="A2926"/>
      <c r="B2926"/>
      <c r="C2926"/>
      <c r="D2926"/>
      <c r="E2926"/>
      <c r="F2926"/>
      <c r="G2926"/>
      <c r="U2926"/>
      <c r="V2926"/>
      <c r="W2926"/>
      <c r="X2926"/>
      <c r="Y2926"/>
      <c r="Z2926"/>
      <c r="AA2926"/>
      <c r="AB2926"/>
      <c r="AL2926"/>
      <c r="AM2926"/>
      <c r="AN2926"/>
      <c r="AO2926"/>
    </row>
    <row r="2927" spans="1:41" s="2" customFormat="1" x14ac:dyDescent="0.2">
      <c r="A2927"/>
      <c r="B2927"/>
      <c r="C2927"/>
      <c r="D2927"/>
      <c r="E2927"/>
      <c r="F2927"/>
      <c r="G2927"/>
      <c r="U2927"/>
      <c r="V2927"/>
      <c r="W2927"/>
      <c r="X2927"/>
      <c r="Y2927"/>
      <c r="Z2927"/>
      <c r="AA2927"/>
      <c r="AB2927"/>
      <c r="AL2927"/>
      <c r="AM2927"/>
      <c r="AN2927"/>
      <c r="AO2927"/>
    </row>
    <row r="2928" spans="1:41" s="2" customFormat="1" x14ac:dyDescent="0.2">
      <c r="A2928"/>
      <c r="B2928"/>
      <c r="C2928"/>
      <c r="D2928"/>
      <c r="E2928"/>
      <c r="F2928"/>
      <c r="G2928"/>
      <c r="U2928"/>
      <c r="V2928"/>
      <c r="W2928"/>
      <c r="X2928"/>
      <c r="Y2928"/>
      <c r="Z2928"/>
      <c r="AA2928"/>
      <c r="AB2928"/>
      <c r="AL2928"/>
      <c r="AM2928"/>
      <c r="AN2928"/>
      <c r="AO2928"/>
    </row>
    <row r="2929" spans="1:41" s="2" customFormat="1" x14ac:dyDescent="0.2">
      <c r="A2929"/>
      <c r="B2929"/>
      <c r="C2929"/>
      <c r="D2929"/>
      <c r="E2929"/>
      <c r="F2929"/>
      <c r="G2929"/>
      <c r="U2929"/>
      <c r="V2929"/>
      <c r="W2929"/>
      <c r="X2929"/>
      <c r="Y2929"/>
      <c r="Z2929"/>
      <c r="AA2929"/>
      <c r="AB2929"/>
      <c r="AL2929"/>
      <c r="AM2929"/>
      <c r="AN2929"/>
      <c r="AO2929"/>
    </row>
    <row r="2930" spans="1:41" s="2" customFormat="1" x14ac:dyDescent="0.2">
      <c r="A2930"/>
      <c r="B2930"/>
      <c r="C2930"/>
      <c r="D2930"/>
      <c r="E2930"/>
      <c r="F2930"/>
      <c r="G2930"/>
      <c r="U2930"/>
      <c r="V2930"/>
      <c r="W2930"/>
      <c r="X2930"/>
      <c r="Y2930"/>
      <c r="Z2930"/>
      <c r="AA2930"/>
      <c r="AB2930"/>
      <c r="AL2930"/>
      <c r="AM2930"/>
      <c r="AN2930"/>
      <c r="AO2930"/>
    </row>
    <row r="2931" spans="1:41" s="2" customFormat="1" x14ac:dyDescent="0.2">
      <c r="A2931"/>
      <c r="B2931"/>
      <c r="C2931"/>
      <c r="D2931"/>
      <c r="E2931"/>
      <c r="F2931"/>
      <c r="G2931"/>
      <c r="U2931"/>
      <c r="V2931"/>
      <c r="W2931"/>
      <c r="X2931"/>
      <c r="Y2931"/>
      <c r="Z2931"/>
      <c r="AA2931"/>
      <c r="AB2931"/>
      <c r="AL2931"/>
      <c r="AM2931"/>
      <c r="AN2931"/>
      <c r="AO2931"/>
    </row>
    <row r="2932" spans="1:41" s="2" customFormat="1" x14ac:dyDescent="0.2">
      <c r="A2932"/>
      <c r="B2932"/>
      <c r="C2932"/>
      <c r="D2932"/>
      <c r="E2932"/>
      <c r="F2932"/>
      <c r="G2932"/>
      <c r="U2932"/>
      <c r="V2932"/>
      <c r="W2932"/>
      <c r="X2932"/>
      <c r="Y2932"/>
      <c r="Z2932"/>
      <c r="AA2932"/>
      <c r="AB2932"/>
      <c r="AL2932"/>
      <c r="AM2932"/>
      <c r="AN2932"/>
      <c r="AO2932"/>
    </row>
    <row r="2933" spans="1:41" s="2" customFormat="1" x14ac:dyDescent="0.2">
      <c r="A2933"/>
      <c r="B2933"/>
      <c r="C2933"/>
      <c r="D2933"/>
      <c r="E2933"/>
      <c r="F2933"/>
      <c r="G2933"/>
      <c r="U2933"/>
      <c r="V2933"/>
      <c r="W2933"/>
      <c r="X2933"/>
      <c r="Y2933"/>
      <c r="Z2933"/>
      <c r="AA2933"/>
      <c r="AB2933"/>
      <c r="AL2933"/>
      <c r="AM2933"/>
      <c r="AN2933"/>
      <c r="AO2933"/>
    </row>
    <row r="2934" spans="1:41" s="2" customFormat="1" x14ac:dyDescent="0.2">
      <c r="A2934"/>
      <c r="B2934"/>
      <c r="C2934"/>
      <c r="D2934"/>
      <c r="E2934"/>
      <c r="F2934"/>
      <c r="G2934"/>
      <c r="U2934"/>
      <c r="V2934"/>
      <c r="W2934"/>
      <c r="X2934"/>
      <c r="Y2934"/>
      <c r="Z2934"/>
      <c r="AA2934"/>
      <c r="AB2934"/>
      <c r="AL2934"/>
      <c r="AM2934"/>
      <c r="AN2934"/>
      <c r="AO2934"/>
    </row>
    <row r="2935" spans="1:41" s="2" customFormat="1" x14ac:dyDescent="0.2">
      <c r="A2935"/>
      <c r="B2935"/>
      <c r="C2935"/>
      <c r="D2935"/>
      <c r="E2935"/>
      <c r="F2935"/>
      <c r="G2935"/>
      <c r="U2935"/>
      <c r="V2935"/>
      <c r="W2935"/>
      <c r="X2935"/>
      <c r="Y2935"/>
      <c r="Z2935"/>
      <c r="AA2935"/>
      <c r="AB2935"/>
      <c r="AL2935"/>
      <c r="AM2935"/>
      <c r="AN2935"/>
      <c r="AO2935"/>
    </row>
    <row r="2936" spans="1:41" s="2" customFormat="1" x14ac:dyDescent="0.2">
      <c r="A2936"/>
      <c r="B2936"/>
      <c r="C2936"/>
      <c r="D2936"/>
      <c r="E2936"/>
      <c r="F2936"/>
      <c r="G2936"/>
      <c r="U2936"/>
      <c r="V2936"/>
      <c r="W2936"/>
      <c r="X2936"/>
      <c r="Y2936"/>
      <c r="Z2936"/>
      <c r="AA2936"/>
      <c r="AB2936"/>
      <c r="AL2936"/>
      <c r="AM2936"/>
      <c r="AN2936"/>
      <c r="AO2936"/>
    </row>
    <row r="2937" spans="1:41" s="2" customFormat="1" x14ac:dyDescent="0.2">
      <c r="A2937"/>
      <c r="B2937"/>
      <c r="C2937"/>
      <c r="D2937"/>
      <c r="E2937"/>
      <c r="F2937"/>
      <c r="G2937"/>
      <c r="U2937"/>
      <c r="V2937"/>
      <c r="W2937"/>
      <c r="X2937"/>
      <c r="Y2937"/>
      <c r="Z2937"/>
      <c r="AA2937"/>
      <c r="AB2937"/>
      <c r="AL2937"/>
      <c r="AM2937"/>
      <c r="AN2937"/>
      <c r="AO2937"/>
    </row>
    <row r="2938" spans="1:41" s="2" customFormat="1" x14ac:dyDescent="0.2">
      <c r="A2938"/>
      <c r="B2938"/>
      <c r="C2938"/>
      <c r="D2938"/>
      <c r="E2938"/>
      <c r="F2938"/>
      <c r="G2938"/>
      <c r="U2938"/>
      <c r="V2938"/>
      <c r="W2938"/>
      <c r="X2938"/>
      <c r="Y2938"/>
      <c r="Z2938"/>
      <c r="AA2938"/>
      <c r="AB2938"/>
      <c r="AL2938"/>
      <c r="AM2938"/>
      <c r="AN2938"/>
      <c r="AO2938"/>
    </row>
    <row r="2939" spans="1:41" s="2" customFormat="1" x14ac:dyDescent="0.2">
      <c r="A2939"/>
      <c r="B2939"/>
      <c r="C2939"/>
      <c r="D2939"/>
      <c r="E2939"/>
      <c r="F2939"/>
      <c r="G2939"/>
      <c r="U2939"/>
      <c r="V2939"/>
      <c r="W2939"/>
      <c r="X2939"/>
      <c r="Y2939"/>
      <c r="Z2939"/>
      <c r="AA2939"/>
      <c r="AB2939"/>
      <c r="AL2939"/>
      <c r="AM2939"/>
      <c r="AN2939"/>
      <c r="AO2939"/>
    </row>
    <row r="2940" spans="1:41" s="2" customFormat="1" x14ac:dyDescent="0.2">
      <c r="A2940"/>
      <c r="B2940"/>
      <c r="C2940"/>
      <c r="D2940"/>
      <c r="E2940"/>
      <c r="F2940"/>
      <c r="G2940"/>
      <c r="U2940"/>
      <c r="V2940"/>
      <c r="W2940"/>
      <c r="X2940"/>
      <c r="Y2940"/>
      <c r="Z2940"/>
      <c r="AA2940"/>
      <c r="AB2940"/>
      <c r="AL2940"/>
      <c r="AM2940"/>
      <c r="AN2940"/>
      <c r="AO2940"/>
    </row>
    <row r="2941" spans="1:41" s="2" customFormat="1" x14ac:dyDescent="0.2">
      <c r="A2941"/>
      <c r="B2941"/>
      <c r="C2941"/>
      <c r="D2941"/>
      <c r="E2941"/>
      <c r="F2941"/>
      <c r="G2941"/>
      <c r="U2941"/>
      <c r="V2941"/>
      <c r="W2941"/>
      <c r="X2941"/>
      <c r="Y2941"/>
      <c r="Z2941"/>
      <c r="AA2941"/>
      <c r="AB2941"/>
      <c r="AL2941"/>
      <c r="AM2941"/>
      <c r="AN2941"/>
      <c r="AO2941"/>
    </row>
    <row r="2942" spans="1:41" s="2" customFormat="1" x14ac:dyDescent="0.2">
      <c r="A2942"/>
      <c r="B2942"/>
      <c r="C2942"/>
      <c r="D2942"/>
      <c r="E2942"/>
      <c r="F2942"/>
      <c r="G2942"/>
      <c r="U2942"/>
      <c r="V2942"/>
      <c r="W2942"/>
      <c r="X2942"/>
      <c r="Y2942"/>
      <c r="Z2942"/>
      <c r="AA2942"/>
      <c r="AB2942"/>
      <c r="AL2942"/>
      <c r="AM2942"/>
      <c r="AN2942"/>
      <c r="AO2942"/>
    </row>
    <row r="2943" spans="1:41" s="2" customFormat="1" x14ac:dyDescent="0.2">
      <c r="A2943"/>
      <c r="B2943"/>
      <c r="C2943"/>
      <c r="D2943"/>
      <c r="E2943"/>
      <c r="F2943"/>
      <c r="G2943"/>
      <c r="U2943"/>
      <c r="V2943"/>
      <c r="W2943"/>
      <c r="X2943"/>
      <c r="Y2943"/>
      <c r="Z2943"/>
      <c r="AA2943"/>
      <c r="AB2943"/>
      <c r="AL2943"/>
      <c r="AM2943"/>
      <c r="AN2943"/>
      <c r="AO2943"/>
    </row>
    <row r="2944" spans="1:41" s="2" customFormat="1" x14ac:dyDescent="0.2">
      <c r="A2944"/>
      <c r="B2944"/>
      <c r="C2944"/>
      <c r="D2944"/>
      <c r="E2944"/>
      <c r="F2944"/>
      <c r="G2944"/>
      <c r="U2944"/>
      <c r="V2944"/>
      <c r="W2944"/>
      <c r="X2944"/>
      <c r="Y2944"/>
      <c r="Z2944"/>
      <c r="AA2944"/>
      <c r="AB2944"/>
      <c r="AL2944"/>
      <c r="AM2944"/>
      <c r="AN2944"/>
      <c r="AO2944"/>
    </row>
    <row r="2945" spans="1:41" s="2" customFormat="1" x14ac:dyDescent="0.2">
      <c r="A2945"/>
      <c r="B2945"/>
      <c r="C2945"/>
      <c r="D2945"/>
      <c r="E2945"/>
      <c r="F2945"/>
      <c r="G2945"/>
      <c r="U2945"/>
      <c r="V2945"/>
      <c r="W2945"/>
      <c r="X2945"/>
      <c r="Y2945"/>
      <c r="Z2945"/>
      <c r="AA2945"/>
      <c r="AB2945"/>
      <c r="AL2945"/>
      <c r="AM2945"/>
      <c r="AN2945"/>
      <c r="AO2945"/>
    </row>
    <row r="2946" spans="1:41" s="2" customFormat="1" x14ac:dyDescent="0.2">
      <c r="A2946"/>
      <c r="B2946"/>
      <c r="C2946"/>
      <c r="D2946"/>
      <c r="E2946"/>
      <c r="F2946"/>
      <c r="G2946"/>
      <c r="U2946"/>
      <c r="V2946"/>
      <c r="W2946"/>
      <c r="X2946"/>
      <c r="Y2946"/>
      <c r="Z2946"/>
      <c r="AA2946"/>
      <c r="AB2946"/>
      <c r="AL2946"/>
      <c r="AM2946"/>
      <c r="AN2946"/>
      <c r="AO2946"/>
    </row>
    <row r="2947" spans="1:41" s="2" customFormat="1" x14ac:dyDescent="0.2">
      <c r="A2947"/>
      <c r="B2947"/>
      <c r="C2947"/>
      <c r="D2947"/>
      <c r="E2947"/>
      <c r="F2947"/>
      <c r="G2947"/>
      <c r="U2947"/>
      <c r="V2947"/>
      <c r="W2947"/>
      <c r="X2947"/>
      <c r="Y2947"/>
      <c r="Z2947"/>
      <c r="AA2947"/>
      <c r="AB2947"/>
      <c r="AL2947"/>
      <c r="AM2947"/>
      <c r="AN2947"/>
      <c r="AO2947"/>
    </row>
    <row r="2948" spans="1:41" s="2" customFormat="1" x14ac:dyDescent="0.2">
      <c r="A2948"/>
      <c r="B2948"/>
      <c r="C2948"/>
      <c r="D2948"/>
      <c r="E2948"/>
      <c r="F2948"/>
      <c r="G2948"/>
      <c r="U2948"/>
      <c r="V2948"/>
      <c r="W2948"/>
      <c r="X2948"/>
      <c r="Y2948"/>
      <c r="Z2948"/>
      <c r="AA2948"/>
      <c r="AB2948"/>
      <c r="AL2948"/>
      <c r="AM2948"/>
      <c r="AN2948"/>
      <c r="AO2948"/>
    </row>
    <row r="2949" spans="1:41" s="2" customFormat="1" x14ac:dyDescent="0.2">
      <c r="A2949"/>
      <c r="B2949"/>
      <c r="C2949"/>
      <c r="D2949"/>
      <c r="E2949"/>
      <c r="F2949"/>
      <c r="G2949"/>
      <c r="U2949"/>
      <c r="V2949"/>
      <c r="W2949"/>
      <c r="X2949"/>
      <c r="Y2949"/>
      <c r="Z2949"/>
      <c r="AA2949"/>
      <c r="AB2949"/>
      <c r="AL2949"/>
      <c r="AM2949"/>
      <c r="AN2949"/>
      <c r="AO2949"/>
    </row>
    <row r="2950" spans="1:41" s="2" customFormat="1" x14ac:dyDescent="0.2">
      <c r="A2950"/>
      <c r="B2950"/>
      <c r="C2950"/>
      <c r="D2950"/>
      <c r="E2950"/>
      <c r="F2950"/>
      <c r="G2950"/>
      <c r="U2950"/>
      <c r="V2950"/>
      <c r="W2950"/>
      <c r="X2950"/>
      <c r="Y2950"/>
      <c r="Z2950"/>
      <c r="AA2950"/>
      <c r="AB2950"/>
      <c r="AL2950"/>
      <c r="AM2950"/>
      <c r="AN2950"/>
      <c r="AO2950"/>
    </row>
    <row r="2951" spans="1:41" s="2" customFormat="1" x14ac:dyDescent="0.2">
      <c r="A2951"/>
      <c r="B2951"/>
      <c r="C2951"/>
      <c r="D2951"/>
      <c r="E2951"/>
      <c r="F2951"/>
      <c r="G2951"/>
      <c r="U2951"/>
      <c r="V2951"/>
      <c r="W2951"/>
      <c r="X2951"/>
      <c r="Y2951"/>
      <c r="Z2951"/>
      <c r="AA2951"/>
      <c r="AB2951"/>
      <c r="AL2951"/>
      <c r="AM2951"/>
      <c r="AN2951"/>
      <c r="AO2951"/>
    </row>
    <row r="2952" spans="1:41" s="2" customFormat="1" x14ac:dyDescent="0.2">
      <c r="A2952"/>
      <c r="B2952"/>
      <c r="C2952"/>
      <c r="D2952"/>
      <c r="E2952"/>
      <c r="F2952"/>
      <c r="G2952"/>
      <c r="U2952"/>
      <c r="V2952"/>
      <c r="W2952"/>
      <c r="X2952"/>
      <c r="Y2952"/>
      <c r="Z2952"/>
      <c r="AA2952"/>
      <c r="AB2952"/>
      <c r="AL2952"/>
      <c r="AM2952"/>
      <c r="AN2952"/>
      <c r="AO2952"/>
    </row>
    <row r="2953" spans="1:41" s="2" customFormat="1" x14ac:dyDescent="0.2">
      <c r="A2953"/>
      <c r="B2953"/>
      <c r="C2953"/>
      <c r="D2953"/>
      <c r="E2953"/>
      <c r="F2953"/>
      <c r="G2953"/>
      <c r="U2953"/>
      <c r="V2953"/>
      <c r="W2953"/>
      <c r="X2953"/>
      <c r="Y2953"/>
      <c r="Z2953"/>
      <c r="AA2953"/>
      <c r="AB2953"/>
      <c r="AL2953"/>
      <c r="AM2953"/>
      <c r="AN2953"/>
      <c r="AO2953"/>
    </row>
    <row r="2954" spans="1:41" s="2" customFormat="1" x14ac:dyDescent="0.2">
      <c r="A2954"/>
      <c r="B2954"/>
      <c r="C2954"/>
      <c r="D2954"/>
      <c r="E2954"/>
      <c r="F2954"/>
      <c r="G2954"/>
      <c r="U2954"/>
      <c r="V2954"/>
      <c r="W2954"/>
      <c r="X2954"/>
      <c r="Y2954"/>
      <c r="Z2954"/>
      <c r="AA2954"/>
      <c r="AB2954"/>
      <c r="AL2954"/>
      <c r="AM2954"/>
      <c r="AN2954"/>
      <c r="AO2954"/>
    </row>
    <row r="2955" spans="1:41" s="2" customFormat="1" x14ac:dyDescent="0.2">
      <c r="A2955"/>
      <c r="B2955"/>
      <c r="C2955"/>
      <c r="D2955"/>
      <c r="E2955"/>
      <c r="F2955"/>
      <c r="G2955"/>
      <c r="U2955"/>
      <c r="V2955"/>
      <c r="W2955"/>
      <c r="X2955"/>
      <c r="Y2955"/>
      <c r="Z2955"/>
      <c r="AA2955"/>
      <c r="AB2955"/>
      <c r="AL2955"/>
      <c r="AM2955"/>
      <c r="AN2955"/>
      <c r="AO2955"/>
    </row>
    <row r="2956" spans="1:41" s="2" customFormat="1" x14ac:dyDescent="0.2">
      <c r="A2956"/>
      <c r="B2956"/>
      <c r="C2956"/>
      <c r="D2956"/>
      <c r="E2956"/>
      <c r="F2956"/>
      <c r="G2956"/>
      <c r="U2956"/>
      <c r="V2956"/>
      <c r="W2956"/>
      <c r="X2956"/>
      <c r="Y2956"/>
      <c r="Z2956"/>
      <c r="AA2956"/>
      <c r="AB2956"/>
      <c r="AL2956"/>
      <c r="AM2956"/>
      <c r="AN2956"/>
      <c r="AO2956"/>
    </row>
    <row r="2957" spans="1:41" s="2" customFormat="1" x14ac:dyDescent="0.2">
      <c r="A2957"/>
      <c r="B2957"/>
      <c r="C2957"/>
      <c r="D2957"/>
      <c r="E2957"/>
      <c r="F2957"/>
      <c r="G2957"/>
      <c r="U2957"/>
      <c r="V2957"/>
      <c r="W2957"/>
      <c r="X2957"/>
      <c r="Y2957"/>
      <c r="Z2957"/>
      <c r="AA2957"/>
      <c r="AB2957"/>
      <c r="AL2957"/>
      <c r="AM2957"/>
      <c r="AN2957"/>
      <c r="AO2957"/>
    </row>
    <row r="2958" spans="1:41" s="2" customFormat="1" x14ac:dyDescent="0.2">
      <c r="A2958"/>
      <c r="B2958"/>
      <c r="C2958"/>
      <c r="D2958"/>
      <c r="E2958"/>
      <c r="F2958"/>
      <c r="G2958"/>
      <c r="U2958"/>
      <c r="V2958"/>
      <c r="W2958"/>
      <c r="X2958"/>
      <c r="Y2958"/>
      <c r="Z2958"/>
      <c r="AA2958"/>
      <c r="AB2958"/>
      <c r="AL2958"/>
      <c r="AM2958"/>
      <c r="AN2958"/>
      <c r="AO2958"/>
    </row>
    <row r="2959" spans="1:41" s="2" customFormat="1" x14ac:dyDescent="0.2">
      <c r="A2959"/>
      <c r="B2959"/>
      <c r="C2959"/>
      <c r="D2959"/>
      <c r="E2959"/>
      <c r="F2959"/>
      <c r="G2959"/>
      <c r="U2959"/>
      <c r="V2959"/>
      <c r="W2959"/>
      <c r="X2959"/>
      <c r="Y2959"/>
      <c r="Z2959"/>
      <c r="AA2959"/>
      <c r="AB2959"/>
      <c r="AL2959"/>
      <c r="AM2959"/>
      <c r="AN2959"/>
      <c r="AO2959"/>
    </row>
    <row r="2960" spans="1:41" s="2" customFormat="1" x14ac:dyDescent="0.2">
      <c r="A2960"/>
      <c r="B2960"/>
      <c r="C2960"/>
      <c r="D2960"/>
      <c r="E2960"/>
      <c r="F2960"/>
      <c r="G2960"/>
      <c r="U2960"/>
      <c r="V2960"/>
      <c r="W2960"/>
      <c r="X2960"/>
      <c r="Y2960"/>
      <c r="Z2960"/>
      <c r="AA2960"/>
      <c r="AB2960"/>
      <c r="AL2960"/>
      <c r="AM2960"/>
      <c r="AN2960"/>
      <c r="AO2960"/>
    </row>
    <row r="2961" spans="1:41" s="2" customFormat="1" x14ac:dyDescent="0.2">
      <c r="A2961"/>
      <c r="B2961"/>
      <c r="C2961"/>
      <c r="D2961"/>
      <c r="E2961"/>
      <c r="F2961"/>
      <c r="G2961"/>
      <c r="U2961"/>
      <c r="V2961"/>
      <c r="W2961"/>
      <c r="X2961"/>
      <c r="Y2961"/>
      <c r="Z2961"/>
      <c r="AA2961"/>
      <c r="AB2961"/>
      <c r="AL2961"/>
      <c r="AM2961"/>
      <c r="AN2961"/>
      <c r="AO2961"/>
    </row>
    <row r="2962" spans="1:41" s="2" customFormat="1" x14ac:dyDescent="0.2">
      <c r="A2962"/>
      <c r="B2962"/>
      <c r="C2962"/>
      <c r="D2962"/>
      <c r="E2962"/>
      <c r="F2962"/>
      <c r="G2962"/>
      <c r="U2962"/>
      <c r="V2962"/>
      <c r="W2962"/>
      <c r="X2962"/>
      <c r="Y2962"/>
      <c r="Z2962"/>
      <c r="AA2962"/>
      <c r="AB2962"/>
      <c r="AL2962"/>
      <c r="AM2962"/>
      <c r="AN2962"/>
      <c r="AO2962"/>
    </row>
    <row r="2963" spans="1:41" s="2" customFormat="1" x14ac:dyDescent="0.2">
      <c r="A2963"/>
      <c r="B2963"/>
      <c r="C2963"/>
      <c r="D2963"/>
      <c r="E2963"/>
      <c r="F2963"/>
      <c r="G2963"/>
      <c r="U2963"/>
      <c r="V2963"/>
      <c r="W2963"/>
      <c r="X2963"/>
      <c r="Y2963"/>
      <c r="Z2963"/>
      <c r="AA2963"/>
      <c r="AB2963"/>
      <c r="AL2963"/>
      <c r="AM2963"/>
      <c r="AN2963"/>
      <c r="AO2963"/>
    </row>
    <row r="2964" spans="1:41" s="2" customFormat="1" x14ac:dyDescent="0.2">
      <c r="A2964"/>
      <c r="B2964"/>
      <c r="C2964"/>
      <c r="D2964"/>
      <c r="E2964"/>
      <c r="F2964"/>
      <c r="G2964"/>
      <c r="U2964"/>
      <c r="V2964"/>
      <c r="W2964"/>
      <c r="X2964"/>
      <c r="Y2964"/>
      <c r="Z2964"/>
      <c r="AA2964"/>
      <c r="AB2964"/>
      <c r="AL2964"/>
      <c r="AM2964"/>
      <c r="AN2964"/>
      <c r="AO2964"/>
    </row>
    <row r="2965" spans="1:41" s="2" customFormat="1" x14ac:dyDescent="0.2">
      <c r="A2965"/>
      <c r="B2965"/>
      <c r="C2965"/>
      <c r="D2965"/>
      <c r="E2965"/>
      <c r="F2965"/>
      <c r="G2965"/>
      <c r="U2965"/>
      <c r="V2965"/>
      <c r="W2965"/>
      <c r="X2965"/>
      <c r="Y2965"/>
      <c r="Z2965"/>
      <c r="AA2965"/>
      <c r="AB2965"/>
      <c r="AL2965"/>
      <c r="AM2965"/>
      <c r="AN2965"/>
      <c r="AO2965"/>
    </row>
    <row r="2966" spans="1:41" s="2" customFormat="1" x14ac:dyDescent="0.2">
      <c r="A2966"/>
      <c r="B2966"/>
      <c r="C2966"/>
      <c r="D2966"/>
      <c r="E2966"/>
      <c r="F2966"/>
      <c r="G2966"/>
      <c r="U2966"/>
      <c r="V2966"/>
      <c r="W2966"/>
      <c r="X2966"/>
      <c r="Y2966"/>
      <c r="Z2966"/>
      <c r="AA2966"/>
      <c r="AB2966"/>
      <c r="AL2966"/>
      <c r="AM2966"/>
      <c r="AN2966"/>
      <c r="AO2966"/>
    </row>
    <row r="2967" spans="1:41" s="2" customFormat="1" x14ac:dyDescent="0.2">
      <c r="A2967"/>
      <c r="B2967"/>
      <c r="C2967"/>
      <c r="D2967"/>
      <c r="E2967"/>
      <c r="F2967"/>
      <c r="G2967"/>
      <c r="U2967"/>
      <c r="V2967"/>
      <c r="W2967"/>
      <c r="X2967"/>
      <c r="Y2967"/>
      <c r="Z2967"/>
      <c r="AA2967"/>
      <c r="AB2967"/>
      <c r="AL2967"/>
      <c r="AM2967"/>
      <c r="AN2967"/>
      <c r="AO2967"/>
    </row>
    <row r="2968" spans="1:41" s="2" customFormat="1" x14ac:dyDescent="0.2">
      <c r="A2968"/>
      <c r="B2968"/>
      <c r="C2968"/>
      <c r="D2968"/>
      <c r="E2968"/>
      <c r="F2968"/>
      <c r="G2968"/>
      <c r="U2968"/>
      <c r="V2968"/>
      <c r="W2968"/>
      <c r="X2968"/>
      <c r="Y2968"/>
      <c r="Z2968"/>
      <c r="AA2968"/>
      <c r="AB2968"/>
      <c r="AL2968"/>
      <c r="AM2968"/>
      <c r="AN2968"/>
      <c r="AO2968"/>
    </row>
    <row r="2969" spans="1:41" s="2" customFormat="1" x14ac:dyDescent="0.2">
      <c r="A2969"/>
      <c r="B2969"/>
      <c r="C2969"/>
      <c r="D2969"/>
      <c r="E2969"/>
      <c r="F2969"/>
      <c r="G2969"/>
      <c r="U2969"/>
      <c r="V2969"/>
      <c r="W2969"/>
      <c r="X2969"/>
      <c r="Y2969"/>
      <c r="Z2969"/>
      <c r="AA2969"/>
      <c r="AB2969"/>
      <c r="AL2969"/>
      <c r="AM2969"/>
      <c r="AN2969"/>
      <c r="AO2969"/>
    </row>
    <row r="2970" spans="1:41" s="2" customFormat="1" x14ac:dyDescent="0.2">
      <c r="A2970"/>
      <c r="B2970"/>
      <c r="C2970"/>
      <c r="D2970"/>
      <c r="E2970"/>
      <c r="F2970"/>
      <c r="G2970"/>
      <c r="U2970"/>
      <c r="V2970"/>
      <c r="W2970"/>
      <c r="X2970"/>
      <c r="Y2970"/>
      <c r="Z2970"/>
      <c r="AA2970"/>
      <c r="AB2970"/>
      <c r="AL2970"/>
      <c r="AM2970"/>
      <c r="AN2970"/>
      <c r="AO2970"/>
    </row>
    <row r="2971" spans="1:41" s="2" customFormat="1" x14ac:dyDescent="0.2">
      <c r="A2971"/>
      <c r="B2971"/>
      <c r="C2971"/>
      <c r="D2971"/>
      <c r="E2971"/>
      <c r="F2971"/>
      <c r="G2971"/>
      <c r="U2971"/>
      <c r="V2971"/>
      <c r="W2971"/>
      <c r="X2971"/>
      <c r="Y2971"/>
      <c r="Z2971"/>
      <c r="AA2971"/>
      <c r="AB2971"/>
      <c r="AL2971"/>
      <c r="AM2971"/>
      <c r="AN2971"/>
      <c r="AO2971"/>
    </row>
    <row r="2972" spans="1:41" s="2" customFormat="1" x14ac:dyDescent="0.2">
      <c r="A2972"/>
      <c r="B2972"/>
      <c r="C2972"/>
      <c r="D2972"/>
      <c r="E2972"/>
      <c r="F2972"/>
      <c r="G2972"/>
      <c r="U2972"/>
      <c r="V2972"/>
      <c r="W2972"/>
      <c r="X2972"/>
      <c r="Y2972"/>
      <c r="Z2972"/>
      <c r="AA2972"/>
      <c r="AB2972"/>
      <c r="AL2972"/>
      <c r="AM2972"/>
      <c r="AN2972"/>
      <c r="AO2972"/>
    </row>
    <row r="2973" spans="1:41" s="2" customFormat="1" x14ac:dyDescent="0.2">
      <c r="A2973"/>
      <c r="B2973"/>
      <c r="C2973"/>
      <c r="D2973"/>
      <c r="E2973"/>
      <c r="F2973"/>
      <c r="G2973"/>
      <c r="U2973"/>
      <c r="V2973"/>
      <c r="W2973"/>
      <c r="X2973"/>
      <c r="Y2973"/>
      <c r="Z2973"/>
      <c r="AA2973"/>
      <c r="AB2973"/>
      <c r="AL2973"/>
      <c r="AM2973"/>
      <c r="AN2973"/>
      <c r="AO2973"/>
    </row>
    <row r="2974" spans="1:41" s="2" customFormat="1" x14ac:dyDescent="0.2">
      <c r="A2974"/>
      <c r="B2974"/>
      <c r="C2974"/>
      <c r="D2974"/>
      <c r="E2974"/>
      <c r="F2974"/>
      <c r="G2974"/>
      <c r="U2974"/>
      <c r="V2974"/>
      <c r="W2974"/>
      <c r="X2974"/>
      <c r="Y2974"/>
      <c r="Z2974"/>
      <c r="AA2974"/>
      <c r="AB2974"/>
      <c r="AL2974"/>
      <c r="AM2974"/>
      <c r="AN2974"/>
      <c r="AO2974"/>
    </row>
    <row r="2975" spans="1:41" s="2" customFormat="1" x14ac:dyDescent="0.2">
      <c r="A2975"/>
      <c r="B2975"/>
      <c r="C2975"/>
      <c r="D2975"/>
      <c r="E2975"/>
      <c r="F2975"/>
      <c r="G2975"/>
      <c r="U2975"/>
      <c r="V2975"/>
      <c r="W2975"/>
      <c r="X2975"/>
      <c r="Y2975"/>
      <c r="Z2975"/>
      <c r="AA2975"/>
      <c r="AB2975"/>
      <c r="AL2975"/>
      <c r="AM2975"/>
      <c r="AN2975"/>
      <c r="AO2975"/>
    </row>
    <row r="2976" spans="1:41" s="2" customFormat="1" x14ac:dyDescent="0.2">
      <c r="A2976"/>
      <c r="B2976"/>
      <c r="C2976"/>
      <c r="D2976"/>
      <c r="E2976"/>
      <c r="F2976"/>
      <c r="G2976"/>
      <c r="U2976"/>
      <c r="V2976"/>
      <c r="W2976"/>
      <c r="X2976"/>
      <c r="Y2976"/>
      <c r="Z2976"/>
      <c r="AA2976"/>
      <c r="AB2976"/>
      <c r="AL2976"/>
      <c r="AM2976"/>
      <c r="AN2976"/>
      <c r="AO2976"/>
    </row>
    <row r="2977" spans="1:41" s="2" customFormat="1" x14ac:dyDescent="0.2">
      <c r="A2977"/>
      <c r="B2977"/>
      <c r="C2977"/>
      <c r="D2977"/>
      <c r="E2977"/>
      <c r="F2977"/>
      <c r="G2977"/>
      <c r="U2977"/>
      <c r="V2977"/>
      <c r="W2977"/>
      <c r="X2977"/>
      <c r="Y2977"/>
      <c r="Z2977"/>
      <c r="AA2977"/>
      <c r="AB2977"/>
      <c r="AL2977"/>
      <c r="AM2977"/>
      <c r="AN2977"/>
      <c r="AO2977"/>
    </row>
    <row r="2978" spans="1:41" s="2" customFormat="1" x14ac:dyDescent="0.2">
      <c r="A2978"/>
      <c r="B2978"/>
      <c r="C2978"/>
      <c r="D2978"/>
      <c r="E2978"/>
      <c r="F2978"/>
      <c r="G2978"/>
      <c r="U2978"/>
      <c r="V2978"/>
      <c r="W2978"/>
      <c r="X2978"/>
      <c r="Y2978"/>
      <c r="Z2978"/>
      <c r="AA2978"/>
      <c r="AB2978"/>
      <c r="AL2978"/>
      <c r="AM2978"/>
      <c r="AN2978"/>
      <c r="AO2978"/>
    </row>
    <row r="2979" spans="1:41" s="2" customFormat="1" x14ac:dyDescent="0.2">
      <c r="A2979"/>
      <c r="B2979"/>
      <c r="C2979"/>
      <c r="D2979"/>
      <c r="E2979"/>
      <c r="F2979"/>
      <c r="G2979"/>
      <c r="U2979"/>
      <c r="V2979"/>
      <c r="W2979"/>
      <c r="X2979"/>
      <c r="Y2979"/>
      <c r="Z2979"/>
      <c r="AA2979"/>
      <c r="AB2979"/>
      <c r="AL2979"/>
      <c r="AM2979"/>
      <c r="AN2979"/>
      <c r="AO2979"/>
    </row>
    <row r="2980" spans="1:41" s="2" customFormat="1" x14ac:dyDescent="0.2">
      <c r="A2980"/>
      <c r="B2980"/>
      <c r="C2980"/>
      <c r="D2980"/>
      <c r="E2980"/>
      <c r="F2980"/>
      <c r="G2980"/>
      <c r="U2980"/>
      <c r="V2980"/>
      <c r="W2980"/>
      <c r="X2980"/>
      <c r="Y2980"/>
      <c r="Z2980"/>
      <c r="AA2980"/>
      <c r="AB2980"/>
      <c r="AL2980"/>
      <c r="AM2980"/>
      <c r="AN2980"/>
      <c r="AO2980"/>
    </row>
    <row r="2981" spans="1:41" s="2" customFormat="1" x14ac:dyDescent="0.2">
      <c r="A2981"/>
      <c r="B2981"/>
      <c r="C2981"/>
      <c r="D2981"/>
      <c r="E2981"/>
      <c r="F2981"/>
      <c r="G2981"/>
      <c r="U2981"/>
      <c r="V2981"/>
      <c r="W2981"/>
      <c r="X2981"/>
      <c r="Y2981"/>
      <c r="Z2981"/>
      <c r="AA2981"/>
      <c r="AB2981"/>
      <c r="AL2981"/>
      <c r="AM2981"/>
      <c r="AN2981"/>
      <c r="AO2981"/>
    </row>
    <row r="2982" spans="1:41" s="2" customFormat="1" x14ac:dyDescent="0.2">
      <c r="A2982"/>
      <c r="B2982"/>
      <c r="C2982"/>
      <c r="D2982"/>
      <c r="E2982"/>
      <c r="F2982"/>
      <c r="G2982"/>
      <c r="U2982"/>
      <c r="V2982"/>
      <c r="W2982"/>
      <c r="X2982"/>
      <c r="Y2982"/>
      <c r="Z2982"/>
      <c r="AA2982"/>
      <c r="AB2982"/>
      <c r="AL2982"/>
      <c r="AM2982"/>
      <c r="AN2982"/>
      <c r="AO2982"/>
    </row>
    <row r="2983" spans="1:41" s="2" customFormat="1" x14ac:dyDescent="0.2">
      <c r="A2983"/>
      <c r="B2983"/>
      <c r="C2983"/>
      <c r="D2983"/>
      <c r="E2983"/>
      <c r="F2983"/>
      <c r="G2983"/>
      <c r="U2983"/>
      <c r="V2983"/>
      <c r="W2983"/>
      <c r="X2983"/>
      <c r="Y2983"/>
      <c r="Z2983"/>
      <c r="AA2983"/>
      <c r="AB2983"/>
      <c r="AL2983"/>
      <c r="AM2983"/>
      <c r="AN2983"/>
      <c r="AO2983"/>
    </row>
    <row r="2984" spans="1:41" s="2" customFormat="1" x14ac:dyDescent="0.2">
      <c r="A2984"/>
      <c r="B2984"/>
      <c r="C2984"/>
      <c r="D2984"/>
      <c r="E2984"/>
      <c r="F2984"/>
      <c r="G2984"/>
      <c r="U2984"/>
      <c r="V2984"/>
      <c r="W2984"/>
      <c r="X2984"/>
      <c r="Y2984"/>
      <c r="Z2984"/>
      <c r="AA2984"/>
      <c r="AB2984"/>
      <c r="AL2984"/>
      <c r="AM2984"/>
      <c r="AN2984"/>
      <c r="AO2984"/>
    </row>
    <row r="2985" spans="1:41" s="2" customFormat="1" x14ac:dyDescent="0.2">
      <c r="A2985"/>
      <c r="B2985"/>
      <c r="C2985"/>
      <c r="D2985"/>
      <c r="E2985"/>
      <c r="F2985"/>
      <c r="G2985"/>
      <c r="U2985"/>
      <c r="V2985"/>
      <c r="W2985"/>
      <c r="X2985"/>
      <c r="Y2985"/>
      <c r="Z2985"/>
      <c r="AA2985"/>
      <c r="AB2985"/>
      <c r="AL2985"/>
      <c r="AM2985"/>
      <c r="AN2985"/>
      <c r="AO2985"/>
    </row>
    <row r="2986" spans="1:41" s="2" customFormat="1" x14ac:dyDescent="0.2">
      <c r="A2986"/>
      <c r="B2986"/>
      <c r="C2986"/>
      <c r="D2986"/>
      <c r="E2986"/>
      <c r="F2986"/>
      <c r="G2986"/>
      <c r="U2986"/>
      <c r="V2986"/>
      <c r="W2986"/>
      <c r="X2986"/>
      <c r="Y2986"/>
      <c r="Z2986"/>
      <c r="AA2986"/>
      <c r="AB2986"/>
      <c r="AL2986"/>
      <c r="AM2986"/>
      <c r="AN2986"/>
      <c r="AO2986"/>
    </row>
    <row r="2987" spans="1:41" s="2" customFormat="1" x14ac:dyDescent="0.2">
      <c r="A2987"/>
      <c r="B2987"/>
      <c r="C2987"/>
      <c r="D2987"/>
      <c r="E2987"/>
      <c r="F2987"/>
      <c r="G2987"/>
      <c r="U2987"/>
      <c r="V2987"/>
      <c r="W2987"/>
      <c r="X2987"/>
      <c r="Y2987"/>
      <c r="Z2987"/>
      <c r="AA2987"/>
      <c r="AB2987"/>
      <c r="AL2987"/>
      <c r="AM2987"/>
      <c r="AN2987"/>
      <c r="AO2987"/>
    </row>
    <row r="2988" spans="1:41" s="2" customFormat="1" x14ac:dyDescent="0.2">
      <c r="A2988"/>
      <c r="B2988"/>
      <c r="C2988"/>
      <c r="D2988"/>
      <c r="E2988"/>
      <c r="F2988"/>
      <c r="G2988"/>
      <c r="U2988"/>
      <c r="V2988"/>
      <c r="W2988"/>
      <c r="X2988"/>
      <c r="Y2988"/>
      <c r="Z2988"/>
      <c r="AA2988"/>
      <c r="AB2988"/>
      <c r="AL2988"/>
      <c r="AM2988"/>
      <c r="AN2988"/>
      <c r="AO2988"/>
    </row>
    <row r="2989" spans="1:41" s="2" customFormat="1" x14ac:dyDescent="0.2">
      <c r="A2989"/>
      <c r="B2989"/>
      <c r="C2989"/>
      <c r="D2989"/>
      <c r="E2989"/>
      <c r="F2989"/>
      <c r="G2989"/>
      <c r="U2989"/>
      <c r="V2989"/>
      <c r="W2989"/>
      <c r="X2989"/>
      <c r="Y2989"/>
      <c r="Z2989"/>
      <c r="AA2989"/>
      <c r="AB2989"/>
      <c r="AL2989"/>
      <c r="AM2989"/>
      <c r="AN2989"/>
      <c r="AO2989"/>
    </row>
    <row r="2990" spans="1:41" s="2" customFormat="1" x14ac:dyDescent="0.2">
      <c r="A2990"/>
      <c r="B2990"/>
      <c r="C2990"/>
      <c r="D2990"/>
      <c r="E2990"/>
      <c r="F2990"/>
      <c r="G2990"/>
      <c r="U2990"/>
      <c r="V2990"/>
      <c r="W2990"/>
      <c r="X2990"/>
      <c r="Y2990"/>
      <c r="Z2990"/>
      <c r="AA2990"/>
      <c r="AB2990"/>
      <c r="AL2990"/>
      <c r="AM2990"/>
      <c r="AN2990"/>
      <c r="AO2990"/>
    </row>
    <row r="2991" spans="1:41" s="2" customFormat="1" x14ac:dyDescent="0.2">
      <c r="A2991"/>
      <c r="B2991"/>
      <c r="C2991"/>
      <c r="D2991"/>
      <c r="E2991"/>
      <c r="F2991"/>
      <c r="G2991"/>
      <c r="U2991"/>
      <c r="V2991"/>
      <c r="W2991"/>
      <c r="X2991"/>
      <c r="Y2991"/>
      <c r="Z2991"/>
      <c r="AA2991"/>
      <c r="AB2991"/>
      <c r="AL2991"/>
      <c r="AM2991"/>
      <c r="AN2991"/>
      <c r="AO2991"/>
    </row>
    <row r="2992" spans="1:41" s="2" customFormat="1" x14ac:dyDescent="0.2">
      <c r="A2992"/>
      <c r="B2992"/>
      <c r="C2992"/>
      <c r="D2992"/>
      <c r="E2992"/>
      <c r="F2992"/>
      <c r="G2992"/>
      <c r="U2992"/>
      <c r="V2992"/>
      <c r="W2992"/>
      <c r="X2992"/>
      <c r="Y2992"/>
      <c r="Z2992"/>
      <c r="AA2992"/>
      <c r="AB2992"/>
      <c r="AL2992"/>
      <c r="AM2992"/>
      <c r="AN2992"/>
      <c r="AO2992"/>
    </row>
    <row r="2993" spans="1:41" s="2" customFormat="1" x14ac:dyDescent="0.2">
      <c r="A2993"/>
      <c r="B2993"/>
      <c r="C2993"/>
      <c r="D2993"/>
      <c r="E2993"/>
      <c r="F2993"/>
      <c r="G2993"/>
      <c r="U2993"/>
      <c r="V2993"/>
      <c r="W2993"/>
      <c r="X2993"/>
      <c r="Y2993"/>
      <c r="Z2993"/>
      <c r="AA2993"/>
      <c r="AB2993"/>
      <c r="AL2993"/>
      <c r="AM2993"/>
      <c r="AN2993"/>
      <c r="AO2993"/>
    </row>
    <row r="2994" spans="1:41" s="2" customFormat="1" x14ac:dyDescent="0.2">
      <c r="A2994"/>
      <c r="B2994"/>
      <c r="C2994"/>
      <c r="D2994"/>
      <c r="E2994"/>
      <c r="F2994"/>
      <c r="G2994"/>
      <c r="U2994"/>
      <c r="V2994"/>
      <c r="W2994"/>
      <c r="X2994"/>
      <c r="Y2994"/>
      <c r="Z2994"/>
      <c r="AA2994"/>
      <c r="AB2994"/>
      <c r="AL2994"/>
      <c r="AM2994"/>
      <c r="AN2994"/>
      <c r="AO2994"/>
    </row>
    <row r="2995" spans="1:41" s="2" customFormat="1" x14ac:dyDescent="0.2">
      <c r="A2995"/>
      <c r="B2995"/>
      <c r="C2995"/>
      <c r="D2995"/>
      <c r="E2995"/>
      <c r="F2995"/>
      <c r="G2995"/>
      <c r="U2995"/>
      <c r="V2995"/>
      <c r="W2995"/>
      <c r="X2995"/>
      <c r="Y2995"/>
      <c r="Z2995"/>
      <c r="AA2995"/>
      <c r="AB2995"/>
      <c r="AL2995"/>
      <c r="AM2995"/>
      <c r="AN2995"/>
      <c r="AO2995"/>
    </row>
    <row r="2996" spans="1:41" s="2" customFormat="1" x14ac:dyDescent="0.2">
      <c r="A2996"/>
      <c r="B2996"/>
      <c r="C2996"/>
      <c r="D2996"/>
      <c r="E2996"/>
      <c r="F2996"/>
      <c r="G2996"/>
      <c r="U2996"/>
      <c r="V2996"/>
      <c r="W2996"/>
      <c r="X2996"/>
      <c r="Y2996"/>
      <c r="Z2996"/>
      <c r="AA2996"/>
      <c r="AB2996"/>
      <c r="AL2996"/>
      <c r="AM2996"/>
      <c r="AN2996"/>
      <c r="AO2996"/>
    </row>
    <row r="2997" spans="1:41" s="2" customFormat="1" x14ac:dyDescent="0.2">
      <c r="A2997"/>
      <c r="B2997"/>
      <c r="C2997"/>
      <c r="D2997"/>
      <c r="E2997"/>
      <c r="F2997"/>
      <c r="G2997"/>
      <c r="U2997"/>
      <c r="V2997"/>
      <c r="W2997"/>
      <c r="X2997"/>
      <c r="Y2997"/>
      <c r="Z2997"/>
      <c r="AA2997"/>
      <c r="AB2997"/>
      <c r="AL2997"/>
      <c r="AM2997"/>
      <c r="AN2997"/>
      <c r="AO2997"/>
    </row>
    <row r="2998" spans="1:41" s="2" customFormat="1" x14ac:dyDescent="0.2">
      <c r="A2998"/>
      <c r="B2998"/>
      <c r="C2998"/>
      <c r="D2998"/>
      <c r="E2998"/>
      <c r="F2998"/>
      <c r="G2998"/>
      <c r="U2998"/>
      <c r="V2998"/>
      <c r="W2998"/>
      <c r="X2998"/>
      <c r="Y2998"/>
      <c r="Z2998"/>
      <c r="AA2998"/>
      <c r="AB2998"/>
      <c r="AL2998"/>
      <c r="AM2998"/>
      <c r="AN2998"/>
      <c r="AO2998"/>
    </row>
    <row r="2999" spans="1:41" s="2" customFormat="1" x14ac:dyDescent="0.2">
      <c r="A2999"/>
      <c r="B2999"/>
      <c r="C2999"/>
      <c r="D2999"/>
      <c r="E2999"/>
      <c r="F2999"/>
      <c r="G2999"/>
      <c r="U2999"/>
      <c r="V2999"/>
      <c r="W2999"/>
      <c r="X2999"/>
      <c r="Y2999"/>
      <c r="Z2999"/>
      <c r="AA2999"/>
      <c r="AB2999"/>
      <c r="AL2999"/>
      <c r="AM2999"/>
      <c r="AN2999"/>
      <c r="AO2999"/>
    </row>
    <row r="3000" spans="1:41" s="2" customFormat="1" x14ac:dyDescent="0.2">
      <c r="A3000"/>
      <c r="B3000"/>
      <c r="C3000"/>
      <c r="D3000"/>
      <c r="E3000"/>
      <c r="F3000"/>
      <c r="G3000"/>
      <c r="U3000"/>
      <c r="V3000"/>
      <c r="W3000"/>
      <c r="X3000"/>
      <c r="Y3000"/>
      <c r="Z3000"/>
      <c r="AA3000"/>
      <c r="AB3000"/>
      <c r="AL3000"/>
      <c r="AM3000"/>
      <c r="AN3000"/>
      <c r="AO3000"/>
    </row>
    <row r="3001" spans="1:41" s="2" customFormat="1" x14ac:dyDescent="0.2">
      <c r="A3001"/>
      <c r="B3001"/>
      <c r="C3001"/>
      <c r="D3001"/>
      <c r="E3001"/>
      <c r="F3001"/>
      <c r="G3001"/>
      <c r="U3001"/>
      <c r="V3001"/>
      <c r="W3001"/>
      <c r="X3001"/>
      <c r="Y3001"/>
      <c r="Z3001"/>
      <c r="AA3001"/>
      <c r="AB3001"/>
      <c r="AL3001"/>
      <c r="AM3001"/>
      <c r="AN3001"/>
      <c r="AO3001"/>
    </row>
    <row r="3002" spans="1:41" s="2" customFormat="1" x14ac:dyDescent="0.2">
      <c r="A3002"/>
      <c r="B3002"/>
      <c r="C3002"/>
      <c r="D3002"/>
      <c r="E3002"/>
      <c r="F3002"/>
      <c r="G3002"/>
      <c r="U3002"/>
      <c r="V3002"/>
      <c r="W3002"/>
      <c r="X3002"/>
      <c r="Y3002"/>
      <c r="Z3002"/>
      <c r="AA3002"/>
      <c r="AB3002"/>
      <c r="AL3002"/>
      <c r="AM3002"/>
      <c r="AN3002"/>
      <c r="AO3002"/>
    </row>
    <row r="3003" spans="1:41" s="2" customFormat="1" x14ac:dyDescent="0.2">
      <c r="A3003"/>
      <c r="B3003"/>
      <c r="C3003"/>
      <c r="D3003"/>
      <c r="E3003"/>
      <c r="F3003"/>
      <c r="G3003"/>
      <c r="U3003"/>
      <c r="V3003"/>
      <c r="W3003"/>
      <c r="X3003"/>
      <c r="Y3003"/>
      <c r="Z3003"/>
      <c r="AA3003"/>
      <c r="AB3003"/>
      <c r="AL3003"/>
      <c r="AM3003"/>
      <c r="AN3003"/>
      <c r="AO3003"/>
    </row>
    <row r="3004" spans="1:41" s="2" customFormat="1" x14ac:dyDescent="0.2">
      <c r="A3004"/>
      <c r="B3004"/>
      <c r="C3004"/>
      <c r="D3004"/>
      <c r="E3004"/>
      <c r="F3004"/>
      <c r="G3004"/>
      <c r="U3004"/>
      <c r="V3004"/>
      <c r="W3004"/>
      <c r="X3004"/>
      <c r="Y3004"/>
      <c r="Z3004"/>
      <c r="AA3004"/>
      <c r="AB3004"/>
      <c r="AL3004"/>
      <c r="AM3004"/>
      <c r="AN3004"/>
      <c r="AO3004"/>
    </row>
    <row r="3005" spans="1:41" s="2" customFormat="1" x14ac:dyDescent="0.2">
      <c r="A3005"/>
      <c r="B3005"/>
      <c r="C3005"/>
      <c r="D3005"/>
      <c r="E3005"/>
      <c r="F3005"/>
      <c r="G3005"/>
      <c r="U3005"/>
      <c r="V3005"/>
      <c r="W3005"/>
      <c r="X3005"/>
      <c r="Y3005"/>
      <c r="Z3005"/>
      <c r="AA3005"/>
      <c r="AB3005"/>
      <c r="AL3005"/>
      <c r="AM3005"/>
      <c r="AN3005"/>
      <c r="AO3005"/>
    </row>
    <row r="3006" spans="1:41" s="2" customFormat="1" x14ac:dyDescent="0.2">
      <c r="A3006"/>
      <c r="B3006"/>
      <c r="C3006"/>
      <c r="D3006"/>
      <c r="E3006"/>
      <c r="F3006"/>
      <c r="G3006"/>
      <c r="U3006"/>
      <c r="V3006"/>
      <c r="W3006"/>
      <c r="X3006"/>
      <c r="Y3006"/>
      <c r="Z3006"/>
      <c r="AA3006"/>
      <c r="AB3006"/>
      <c r="AL3006"/>
      <c r="AM3006"/>
      <c r="AN3006"/>
      <c r="AO3006"/>
    </row>
    <row r="3007" spans="1:41" s="2" customFormat="1" x14ac:dyDescent="0.2">
      <c r="A3007"/>
      <c r="B3007"/>
      <c r="C3007"/>
      <c r="D3007"/>
      <c r="E3007"/>
      <c r="F3007"/>
      <c r="G3007"/>
      <c r="U3007"/>
      <c r="V3007"/>
      <c r="W3007"/>
      <c r="X3007"/>
      <c r="Y3007"/>
      <c r="Z3007"/>
      <c r="AA3007"/>
      <c r="AB3007"/>
      <c r="AL3007"/>
      <c r="AM3007"/>
      <c r="AN3007"/>
      <c r="AO3007"/>
    </row>
    <row r="3008" spans="1:41" s="2" customFormat="1" x14ac:dyDescent="0.2">
      <c r="A3008"/>
      <c r="B3008"/>
      <c r="C3008"/>
      <c r="D3008"/>
      <c r="E3008"/>
      <c r="F3008"/>
      <c r="G3008"/>
      <c r="U3008"/>
      <c r="V3008"/>
      <c r="W3008"/>
      <c r="X3008"/>
      <c r="Y3008"/>
      <c r="Z3008"/>
      <c r="AA3008"/>
      <c r="AB3008"/>
      <c r="AL3008"/>
      <c r="AM3008"/>
      <c r="AN3008"/>
      <c r="AO3008"/>
    </row>
    <row r="3009" spans="1:41" s="2" customFormat="1" x14ac:dyDescent="0.2">
      <c r="A3009"/>
      <c r="B3009"/>
      <c r="C3009"/>
      <c r="D3009"/>
      <c r="E3009"/>
      <c r="F3009"/>
      <c r="G3009"/>
      <c r="U3009"/>
      <c r="V3009"/>
      <c r="W3009"/>
      <c r="X3009"/>
      <c r="Y3009"/>
      <c r="Z3009"/>
      <c r="AA3009"/>
      <c r="AB3009"/>
      <c r="AL3009"/>
      <c r="AM3009"/>
      <c r="AN3009"/>
      <c r="AO3009"/>
    </row>
    <row r="3010" spans="1:41" s="2" customFormat="1" x14ac:dyDescent="0.2">
      <c r="A3010"/>
      <c r="B3010"/>
      <c r="C3010"/>
      <c r="D3010"/>
      <c r="E3010"/>
      <c r="F3010"/>
      <c r="G3010"/>
      <c r="U3010"/>
      <c r="V3010"/>
      <c r="W3010"/>
      <c r="X3010"/>
      <c r="Y3010"/>
      <c r="Z3010"/>
      <c r="AA3010"/>
      <c r="AB3010"/>
      <c r="AL3010"/>
      <c r="AM3010"/>
      <c r="AN3010"/>
      <c r="AO3010"/>
    </row>
    <row r="3011" spans="1:41" s="2" customFormat="1" x14ac:dyDescent="0.2">
      <c r="A3011"/>
      <c r="B3011"/>
      <c r="C3011"/>
      <c r="D3011"/>
      <c r="E3011"/>
      <c r="F3011"/>
      <c r="G3011"/>
      <c r="U3011"/>
      <c r="V3011"/>
      <c r="W3011"/>
      <c r="X3011"/>
      <c r="Y3011"/>
      <c r="Z3011"/>
      <c r="AA3011"/>
      <c r="AB3011"/>
      <c r="AL3011"/>
      <c r="AM3011"/>
      <c r="AN3011"/>
      <c r="AO3011"/>
    </row>
    <row r="3012" spans="1:41" s="2" customFormat="1" x14ac:dyDescent="0.2">
      <c r="A3012"/>
      <c r="B3012"/>
      <c r="C3012"/>
      <c r="D3012"/>
      <c r="E3012"/>
      <c r="F3012"/>
      <c r="G3012"/>
      <c r="U3012"/>
      <c r="V3012"/>
      <c r="W3012"/>
      <c r="X3012"/>
      <c r="Y3012"/>
      <c r="Z3012"/>
      <c r="AA3012"/>
      <c r="AB3012"/>
      <c r="AL3012"/>
      <c r="AM3012"/>
      <c r="AN3012"/>
      <c r="AO3012"/>
    </row>
    <row r="3013" spans="1:41" s="2" customFormat="1" x14ac:dyDescent="0.2">
      <c r="A3013"/>
      <c r="B3013"/>
      <c r="C3013"/>
      <c r="D3013"/>
      <c r="E3013"/>
      <c r="F3013"/>
      <c r="G3013"/>
      <c r="U3013"/>
      <c r="V3013"/>
      <c r="W3013"/>
      <c r="X3013"/>
      <c r="Y3013"/>
      <c r="Z3013"/>
      <c r="AA3013"/>
      <c r="AB3013"/>
      <c r="AL3013"/>
      <c r="AM3013"/>
      <c r="AN3013"/>
      <c r="AO3013"/>
    </row>
    <row r="3014" spans="1:41" s="2" customFormat="1" x14ac:dyDescent="0.2">
      <c r="A3014"/>
      <c r="B3014"/>
      <c r="C3014"/>
      <c r="D3014"/>
      <c r="E3014"/>
      <c r="F3014"/>
      <c r="G3014"/>
      <c r="U3014"/>
      <c r="V3014"/>
      <c r="W3014"/>
      <c r="X3014"/>
      <c r="Y3014"/>
      <c r="Z3014"/>
      <c r="AA3014"/>
      <c r="AB3014"/>
      <c r="AL3014"/>
      <c r="AM3014"/>
      <c r="AN3014"/>
      <c r="AO3014"/>
    </row>
    <row r="3015" spans="1:41" s="2" customFormat="1" x14ac:dyDescent="0.2">
      <c r="A3015"/>
      <c r="B3015"/>
      <c r="C3015"/>
      <c r="D3015"/>
      <c r="E3015"/>
      <c r="F3015"/>
      <c r="G3015"/>
      <c r="U3015"/>
      <c r="V3015"/>
      <c r="W3015"/>
      <c r="X3015"/>
      <c r="Y3015"/>
      <c r="Z3015"/>
      <c r="AA3015"/>
      <c r="AB3015"/>
      <c r="AL3015"/>
      <c r="AM3015"/>
      <c r="AN3015"/>
      <c r="AO3015"/>
    </row>
    <row r="3016" spans="1:41" s="2" customFormat="1" x14ac:dyDescent="0.2">
      <c r="A3016"/>
      <c r="B3016"/>
      <c r="C3016"/>
      <c r="D3016"/>
      <c r="E3016"/>
      <c r="F3016"/>
      <c r="G3016"/>
      <c r="U3016"/>
      <c r="V3016"/>
      <c r="W3016"/>
      <c r="X3016"/>
      <c r="Y3016"/>
      <c r="Z3016"/>
      <c r="AA3016"/>
      <c r="AB3016"/>
      <c r="AL3016"/>
      <c r="AM3016"/>
      <c r="AN3016"/>
      <c r="AO3016"/>
    </row>
    <row r="3017" spans="1:41" s="2" customFormat="1" x14ac:dyDescent="0.2">
      <c r="A3017"/>
      <c r="B3017"/>
      <c r="C3017"/>
      <c r="D3017"/>
      <c r="E3017"/>
      <c r="F3017"/>
      <c r="G3017"/>
      <c r="U3017"/>
      <c r="V3017"/>
      <c r="W3017"/>
      <c r="X3017"/>
      <c r="Y3017"/>
      <c r="Z3017"/>
      <c r="AA3017"/>
      <c r="AB3017"/>
      <c r="AL3017"/>
      <c r="AM3017"/>
      <c r="AN3017"/>
      <c r="AO3017"/>
    </row>
    <row r="3018" spans="1:41" s="2" customFormat="1" x14ac:dyDescent="0.2">
      <c r="A3018"/>
      <c r="B3018"/>
      <c r="C3018"/>
      <c r="D3018"/>
      <c r="E3018"/>
      <c r="F3018"/>
      <c r="G3018"/>
      <c r="U3018"/>
      <c r="V3018"/>
      <c r="W3018"/>
      <c r="X3018"/>
      <c r="Y3018"/>
      <c r="Z3018"/>
      <c r="AA3018"/>
      <c r="AB3018"/>
      <c r="AL3018"/>
      <c r="AM3018"/>
      <c r="AN3018"/>
      <c r="AO3018"/>
    </row>
    <row r="3019" spans="1:41" s="2" customFormat="1" x14ac:dyDescent="0.2">
      <c r="A3019"/>
      <c r="B3019"/>
      <c r="C3019"/>
      <c r="D3019"/>
      <c r="E3019"/>
      <c r="F3019"/>
      <c r="G3019"/>
      <c r="U3019"/>
      <c r="V3019"/>
      <c r="W3019"/>
      <c r="X3019"/>
      <c r="Y3019"/>
      <c r="Z3019"/>
      <c r="AA3019"/>
      <c r="AB3019"/>
      <c r="AL3019"/>
      <c r="AM3019"/>
      <c r="AN3019"/>
      <c r="AO3019"/>
    </row>
    <row r="3020" spans="1:41" s="2" customFormat="1" x14ac:dyDescent="0.2">
      <c r="A3020"/>
      <c r="B3020"/>
      <c r="C3020"/>
      <c r="D3020"/>
      <c r="E3020"/>
      <c r="F3020"/>
      <c r="G3020"/>
      <c r="U3020"/>
      <c r="V3020"/>
      <c r="W3020"/>
      <c r="X3020"/>
      <c r="Y3020"/>
      <c r="Z3020"/>
      <c r="AA3020"/>
      <c r="AB3020"/>
      <c r="AL3020"/>
      <c r="AM3020"/>
      <c r="AN3020"/>
      <c r="AO3020"/>
    </row>
    <row r="3021" spans="1:41" s="2" customFormat="1" x14ac:dyDescent="0.2">
      <c r="A3021"/>
      <c r="B3021"/>
      <c r="C3021"/>
      <c r="D3021"/>
      <c r="E3021"/>
      <c r="F3021"/>
      <c r="G3021"/>
      <c r="U3021"/>
      <c r="V3021"/>
      <c r="W3021"/>
      <c r="X3021"/>
      <c r="Y3021"/>
      <c r="Z3021"/>
      <c r="AA3021"/>
      <c r="AB3021"/>
      <c r="AL3021"/>
      <c r="AM3021"/>
      <c r="AN3021"/>
      <c r="AO3021"/>
    </row>
    <row r="3022" spans="1:41" s="2" customFormat="1" x14ac:dyDescent="0.2">
      <c r="A3022"/>
      <c r="B3022"/>
      <c r="C3022"/>
      <c r="D3022"/>
      <c r="E3022"/>
      <c r="F3022"/>
      <c r="G3022"/>
      <c r="U3022"/>
      <c r="V3022"/>
      <c r="W3022"/>
      <c r="X3022"/>
      <c r="Y3022"/>
      <c r="Z3022"/>
      <c r="AA3022"/>
      <c r="AB3022"/>
      <c r="AL3022"/>
      <c r="AM3022"/>
      <c r="AN3022"/>
      <c r="AO3022"/>
    </row>
    <row r="3023" spans="1:41" s="2" customFormat="1" x14ac:dyDescent="0.2">
      <c r="A3023"/>
      <c r="B3023"/>
      <c r="C3023"/>
      <c r="D3023"/>
      <c r="E3023"/>
      <c r="F3023"/>
      <c r="G3023"/>
      <c r="U3023"/>
      <c r="V3023"/>
      <c r="W3023"/>
      <c r="X3023"/>
      <c r="Y3023"/>
      <c r="Z3023"/>
      <c r="AA3023"/>
      <c r="AB3023"/>
      <c r="AL3023"/>
      <c r="AM3023"/>
      <c r="AN3023"/>
      <c r="AO3023"/>
    </row>
    <row r="3024" spans="1:41" s="2" customFormat="1" x14ac:dyDescent="0.2">
      <c r="A3024"/>
      <c r="B3024"/>
      <c r="C3024"/>
      <c r="D3024"/>
      <c r="E3024"/>
      <c r="F3024"/>
      <c r="G3024"/>
      <c r="U3024"/>
      <c r="V3024"/>
      <c r="W3024"/>
      <c r="X3024"/>
      <c r="Y3024"/>
      <c r="Z3024"/>
      <c r="AA3024"/>
      <c r="AB3024"/>
      <c r="AL3024"/>
      <c r="AM3024"/>
      <c r="AN3024"/>
      <c r="AO3024"/>
    </row>
    <row r="3025" spans="1:41" s="2" customFormat="1" x14ac:dyDescent="0.2">
      <c r="A3025"/>
      <c r="B3025"/>
      <c r="C3025"/>
      <c r="D3025"/>
      <c r="E3025"/>
      <c r="F3025"/>
      <c r="G3025"/>
      <c r="U3025"/>
      <c r="V3025"/>
      <c r="W3025"/>
      <c r="X3025"/>
      <c r="Y3025"/>
      <c r="Z3025"/>
      <c r="AA3025"/>
      <c r="AB3025"/>
      <c r="AL3025"/>
      <c r="AM3025"/>
      <c r="AN3025"/>
      <c r="AO3025"/>
    </row>
    <row r="3026" spans="1:41" s="2" customFormat="1" x14ac:dyDescent="0.2">
      <c r="A3026"/>
      <c r="B3026"/>
      <c r="C3026"/>
      <c r="D3026"/>
      <c r="E3026"/>
      <c r="F3026"/>
      <c r="G3026"/>
      <c r="U3026"/>
      <c r="V3026"/>
      <c r="W3026"/>
      <c r="X3026"/>
      <c r="Y3026"/>
      <c r="Z3026"/>
      <c r="AA3026"/>
      <c r="AB3026"/>
      <c r="AL3026"/>
      <c r="AM3026"/>
      <c r="AN3026"/>
      <c r="AO3026"/>
    </row>
    <row r="3027" spans="1:41" s="2" customFormat="1" x14ac:dyDescent="0.2">
      <c r="A3027"/>
      <c r="B3027"/>
      <c r="C3027"/>
      <c r="D3027"/>
      <c r="E3027"/>
      <c r="F3027"/>
      <c r="G3027"/>
      <c r="U3027"/>
      <c r="V3027"/>
      <c r="W3027"/>
      <c r="X3027"/>
      <c r="Y3027"/>
      <c r="Z3027"/>
      <c r="AA3027"/>
      <c r="AB3027"/>
      <c r="AL3027"/>
      <c r="AM3027"/>
      <c r="AN3027"/>
      <c r="AO3027"/>
    </row>
    <row r="3028" spans="1:41" s="2" customFormat="1" x14ac:dyDescent="0.2">
      <c r="A3028"/>
      <c r="B3028"/>
      <c r="C3028"/>
      <c r="D3028"/>
      <c r="E3028"/>
      <c r="F3028"/>
      <c r="G3028"/>
      <c r="U3028"/>
      <c r="V3028"/>
      <c r="W3028"/>
      <c r="X3028"/>
      <c r="Y3028"/>
      <c r="Z3028"/>
      <c r="AA3028"/>
      <c r="AB3028"/>
      <c r="AL3028"/>
      <c r="AM3028"/>
      <c r="AN3028"/>
      <c r="AO3028"/>
    </row>
    <row r="3029" spans="1:41" s="2" customFormat="1" x14ac:dyDescent="0.2">
      <c r="A3029"/>
      <c r="B3029"/>
      <c r="C3029"/>
      <c r="D3029"/>
      <c r="E3029"/>
      <c r="F3029"/>
      <c r="G3029"/>
      <c r="U3029"/>
      <c r="V3029"/>
      <c r="W3029"/>
      <c r="X3029"/>
      <c r="Y3029"/>
      <c r="Z3029"/>
      <c r="AA3029"/>
      <c r="AB3029"/>
      <c r="AL3029"/>
      <c r="AM3029"/>
      <c r="AN3029"/>
      <c r="AO3029"/>
    </row>
    <row r="3030" spans="1:41" s="2" customFormat="1" x14ac:dyDescent="0.2">
      <c r="A3030"/>
      <c r="B3030"/>
      <c r="C3030"/>
      <c r="D3030"/>
      <c r="E3030"/>
      <c r="F3030"/>
      <c r="G3030"/>
      <c r="U3030"/>
      <c r="V3030"/>
      <c r="W3030"/>
      <c r="X3030"/>
      <c r="Y3030"/>
      <c r="Z3030"/>
      <c r="AA3030"/>
      <c r="AB3030"/>
      <c r="AL3030"/>
      <c r="AM3030"/>
      <c r="AN3030"/>
      <c r="AO3030"/>
    </row>
    <row r="3031" spans="1:41" s="2" customFormat="1" x14ac:dyDescent="0.2">
      <c r="A3031"/>
      <c r="B3031"/>
      <c r="C3031"/>
      <c r="D3031"/>
      <c r="E3031"/>
      <c r="F3031"/>
      <c r="G3031"/>
      <c r="U3031"/>
      <c r="V3031"/>
      <c r="W3031"/>
      <c r="X3031"/>
      <c r="Y3031"/>
      <c r="Z3031"/>
      <c r="AA3031"/>
      <c r="AB3031"/>
      <c r="AL3031"/>
      <c r="AM3031"/>
      <c r="AN3031"/>
      <c r="AO3031"/>
    </row>
    <row r="3032" spans="1:41" s="2" customFormat="1" x14ac:dyDescent="0.2">
      <c r="A3032"/>
      <c r="B3032"/>
      <c r="C3032"/>
      <c r="D3032"/>
      <c r="E3032"/>
      <c r="F3032"/>
      <c r="G3032"/>
      <c r="U3032"/>
      <c r="V3032"/>
      <c r="W3032"/>
      <c r="X3032"/>
      <c r="Y3032"/>
      <c r="Z3032"/>
      <c r="AA3032"/>
      <c r="AB3032"/>
      <c r="AL3032"/>
      <c r="AM3032"/>
      <c r="AN3032"/>
      <c r="AO3032"/>
    </row>
    <row r="3033" spans="1:41" s="2" customFormat="1" x14ac:dyDescent="0.2">
      <c r="A3033"/>
      <c r="B3033"/>
      <c r="C3033"/>
      <c r="D3033"/>
      <c r="E3033"/>
      <c r="F3033"/>
      <c r="G3033"/>
      <c r="U3033"/>
      <c r="V3033"/>
      <c r="W3033"/>
      <c r="X3033"/>
      <c r="Y3033"/>
      <c r="Z3033"/>
      <c r="AA3033"/>
      <c r="AB3033"/>
      <c r="AL3033"/>
      <c r="AM3033"/>
      <c r="AN3033"/>
      <c r="AO3033"/>
    </row>
    <row r="3034" spans="1:41" s="2" customFormat="1" x14ac:dyDescent="0.2">
      <c r="A3034"/>
      <c r="B3034"/>
      <c r="C3034"/>
      <c r="D3034"/>
      <c r="E3034"/>
      <c r="F3034"/>
      <c r="G3034"/>
      <c r="U3034"/>
      <c r="V3034"/>
      <c r="W3034"/>
      <c r="X3034"/>
      <c r="Y3034"/>
      <c r="Z3034"/>
      <c r="AA3034"/>
      <c r="AB3034"/>
      <c r="AL3034"/>
      <c r="AM3034"/>
      <c r="AN3034"/>
      <c r="AO3034"/>
    </row>
    <row r="3035" spans="1:41" s="2" customFormat="1" x14ac:dyDescent="0.2">
      <c r="A3035"/>
      <c r="B3035"/>
      <c r="C3035"/>
      <c r="D3035"/>
      <c r="E3035"/>
      <c r="F3035"/>
      <c r="G3035"/>
      <c r="U3035"/>
      <c r="V3035"/>
      <c r="W3035"/>
      <c r="X3035"/>
      <c r="Y3035"/>
      <c r="Z3035"/>
      <c r="AA3035"/>
      <c r="AB3035"/>
      <c r="AL3035"/>
      <c r="AM3035"/>
      <c r="AN3035"/>
      <c r="AO3035"/>
    </row>
    <row r="3036" spans="1:41" s="2" customFormat="1" x14ac:dyDescent="0.2">
      <c r="A3036"/>
      <c r="B3036"/>
      <c r="C3036"/>
      <c r="D3036"/>
      <c r="E3036"/>
      <c r="F3036"/>
      <c r="G3036"/>
      <c r="U3036"/>
      <c r="V3036"/>
      <c r="W3036"/>
      <c r="X3036"/>
      <c r="Y3036"/>
      <c r="Z3036"/>
      <c r="AA3036"/>
      <c r="AB3036"/>
      <c r="AL3036"/>
      <c r="AM3036"/>
      <c r="AN3036"/>
      <c r="AO3036"/>
    </row>
    <row r="3037" spans="1:41" s="2" customFormat="1" x14ac:dyDescent="0.2">
      <c r="A3037"/>
      <c r="B3037"/>
      <c r="C3037"/>
      <c r="D3037"/>
      <c r="E3037"/>
      <c r="F3037"/>
      <c r="G3037"/>
      <c r="U3037"/>
      <c r="V3037"/>
      <c r="W3037"/>
      <c r="X3037"/>
      <c r="Y3037"/>
      <c r="Z3037"/>
      <c r="AA3037"/>
      <c r="AB3037"/>
      <c r="AL3037"/>
      <c r="AM3037"/>
      <c r="AN3037"/>
      <c r="AO3037"/>
    </row>
    <row r="3038" spans="1:41" s="2" customFormat="1" x14ac:dyDescent="0.2">
      <c r="A3038"/>
      <c r="B3038"/>
      <c r="C3038"/>
      <c r="D3038"/>
      <c r="E3038"/>
      <c r="F3038"/>
      <c r="G3038"/>
      <c r="U3038"/>
      <c r="V3038"/>
      <c r="W3038"/>
      <c r="X3038"/>
      <c r="Y3038"/>
      <c r="Z3038"/>
      <c r="AA3038"/>
      <c r="AB3038"/>
      <c r="AL3038"/>
      <c r="AM3038"/>
      <c r="AN3038"/>
      <c r="AO3038"/>
    </row>
    <row r="3039" spans="1:41" s="2" customFormat="1" x14ac:dyDescent="0.2">
      <c r="A3039"/>
      <c r="B3039"/>
      <c r="C3039"/>
      <c r="D3039"/>
      <c r="E3039"/>
      <c r="F3039"/>
      <c r="G3039"/>
      <c r="U3039"/>
      <c r="V3039"/>
      <c r="W3039"/>
      <c r="X3039"/>
      <c r="Y3039"/>
      <c r="Z3039"/>
      <c r="AA3039"/>
      <c r="AB3039"/>
      <c r="AL3039"/>
      <c r="AM3039"/>
      <c r="AN3039"/>
      <c r="AO3039"/>
    </row>
    <row r="3040" spans="1:41" s="2" customFormat="1" x14ac:dyDescent="0.2">
      <c r="A3040"/>
      <c r="B3040"/>
      <c r="C3040"/>
      <c r="D3040"/>
      <c r="E3040"/>
      <c r="F3040"/>
      <c r="G3040"/>
      <c r="U3040"/>
      <c r="V3040"/>
      <c r="W3040"/>
      <c r="X3040"/>
      <c r="Y3040"/>
      <c r="Z3040"/>
      <c r="AA3040"/>
      <c r="AB3040"/>
      <c r="AL3040"/>
      <c r="AM3040"/>
      <c r="AN3040"/>
      <c r="AO3040"/>
    </row>
    <row r="3041" spans="1:41" s="2" customFormat="1" x14ac:dyDescent="0.2">
      <c r="A3041"/>
      <c r="B3041"/>
      <c r="C3041"/>
      <c r="D3041"/>
      <c r="E3041"/>
      <c r="F3041"/>
      <c r="G3041"/>
      <c r="U3041"/>
      <c r="V3041"/>
      <c r="W3041"/>
      <c r="X3041"/>
      <c r="Y3041"/>
      <c r="Z3041"/>
      <c r="AA3041"/>
      <c r="AB3041"/>
      <c r="AL3041"/>
      <c r="AM3041"/>
      <c r="AN3041"/>
      <c r="AO3041"/>
    </row>
    <row r="3042" spans="1:41" s="2" customFormat="1" x14ac:dyDescent="0.2">
      <c r="A3042"/>
      <c r="B3042"/>
      <c r="C3042"/>
      <c r="D3042"/>
      <c r="E3042"/>
      <c r="F3042"/>
      <c r="G3042"/>
      <c r="U3042"/>
      <c r="V3042"/>
      <c r="W3042"/>
      <c r="X3042"/>
      <c r="Y3042"/>
      <c r="Z3042"/>
      <c r="AA3042"/>
      <c r="AB3042"/>
      <c r="AL3042"/>
      <c r="AM3042"/>
      <c r="AN3042"/>
      <c r="AO3042"/>
    </row>
    <row r="3043" spans="1:41" s="2" customFormat="1" x14ac:dyDescent="0.2">
      <c r="A3043"/>
      <c r="B3043"/>
      <c r="C3043"/>
      <c r="D3043"/>
      <c r="E3043"/>
      <c r="F3043"/>
      <c r="G3043"/>
      <c r="U3043"/>
      <c r="V3043"/>
      <c r="W3043"/>
      <c r="X3043"/>
      <c r="Y3043"/>
      <c r="Z3043"/>
      <c r="AA3043"/>
      <c r="AB3043"/>
      <c r="AL3043"/>
      <c r="AM3043"/>
      <c r="AN3043"/>
      <c r="AO3043"/>
    </row>
    <row r="3044" spans="1:41" s="2" customFormat="1" x14ac:dyDescent="0.2">
      <c r="A3044"/>
      <c r="B3044"/>
      <c r="C3044"/>
      <c r="D3044"/>
      <c r="E3044"/>
      <c r="F3044"/>
      <c r="G3044"/>
      <c r="U3044"/>
      <c r="V3044"/>
      <c r="W3044"/>
      <c r="X3044"/>
      <c r="Y3044"/>
      <c r="Z3044"/>
      <c r="AA3044"/>
      <c r="AB3044"/>
      <c r="AL3044"/>
      <c r="AM3044"/>
      <c r="AN3044"/>
      <c r="AO3044"/>
    </row>
    <row r="3045" spans="1:41" s="2" customFormat="1" x14ac:dyDescent="0.2">
      <c r="A3045"/>
      <c r="B3045"/>
      <c r="C3045"/>
      <c r="D3045"/>
      <c r="E3045"/>
      <c r="F3045"/>
      <c r="G3045"/>
      <c r="U3045"/>
      <c r="V3045"/>
      <c r="W3045"/>
      <c r="X3045"/>
      <c r="Y3045"/>
      <c r="Z3045"/>
      <c r="AA3045"/>
      <c r="AB3045"/>
      <c r="AL3045"/>
      <c r="AM3045"/>
      <c r="AN3045"/>
      <c r="AO3045"/>
    </row>
    <row r="3046" spans="1:41" s="2" customFormat="1" x14ac:dyDescent="0.2">
      <c r="A3046"/>
      <c r="B3046"/>
      <c r="C3046"/>
      <c r="D3046"/>
      <c r="E3046"/>
      <c r="F3046"/>
      <c r="G3046"/>
      <c r="U3046"/>
      <c r="V3046"/>
      <c r="W3046"/>
      <c r="X3046"/>
      <c r="Y3046"/>
      <c r="Z3046"/>
      <c r="AA3046"/>
      <c r="AB3046"/>
      <c r="AL3046"/>
      <c r="AM3046"/>
      <c r="AN3046"/>
      <c r="AO3046"/>
    </row>
    <row r="3047" spans="1:41" s="2" customFormat="1" x14ac:dyDescent="0.2">
      <c r="A3047"/>
      <c r="B3047"/>
      <c r="C3047"/>
      <c r="D3047"/>
      <c r="E3047"/>
      <c r="F3047"/>
      <c r="G3047"/>
      <c r="U3047"/>
      <c r="V3047"/>
      <c r="W3047"/>
      <c r="X3047"/>
      <c r="Y3047"/>
      <c r="Z3047"/>
      <c r="AA3047"/>
      <c r="AB3047"/>
      <c r="AL3047"/>
      <c r="AM3047"/>
      <c r="AN3047"/>
      <c r="AO3047"/>
    </row>
    <row r="3048" spans="1:41" s="2" customFormat="1" x14ac:dyDescent="0.2">
      <c r="A3048"/>
      <c r="B3048"/>
      <c r="C3048"/>
      <c r="D3048"/>
      <c r="E3048"/>
      <c r="F3048"/>
      <c r="G3048"/>
      <c r="U3048"/>
      <c r="V3048"/>
      <c r="W3048"/>
      <c r="X3048"/>
      <c r="Y3048"/>
      <c r="Z3048"/>
      <c r="AA3048"/>
      <c r="AB3048"/>
      <c r="AL3048"/>
      <c r="AM3048"/>
      <c r="AN3048"/>
      <c r="AO3048"/>
    </row>
    <row r="3049" spans="1:41" s="2" customFormat="1" x14ac:dyDescent="0.2">
      <c r="A3049"/>
      <c r="B3049"/>
      <c r="C3049"/>
      <c r="D3049"/>
      <c r="E3049"/>
      <c r="F3049"/>
      <c r="G3049"/>
      <c r="U3049"/>
      <c r="V3049"/>
      <c r="W3049"/>
      <c r="X3049"/>
      <c r="Y3049"/>
      <c r="Z3049"/>
      <c r="AA3049"/>
      <c r="AB3049"/>
      <c r="AL3049"/>
      <c r="AM3049"/>
      <c r="AN3049"/>
      <c r="AO3049"/>
    </row>
    <row r="3050" spans="1:41" s="2" customFormat="1" x14ac:dyDescent="0.2">
      <c r="A3050"/>
      <c r="B3050"/>
      <c r="C3050"/>
      <c r="D3050"/>
      <c r="E3050"/>
      <c r="F3050"/>
      <c r="G3050"/>
      <c r="U3050"/>
      <c r="V3050"/>
      <c r="W3050"/>
      <c r="X3050"/>
      <c r="Y3050"/>
      <c r="Z3050"/>
      <c r="AA3050"/>
      <c r="AB3050"/>
      <c r="AL3050"/>
      <c r="AM3050"/>
      <c r="AN3050"/>
      <c r="AO3050"/>
    </row>
    <row r="3051" spans="1:41" s="2" customFormat="1" x14ac:dyDescent="0.2">
      <c r="A3051"/>
      <c r="B3051"/>
      <c r="C3051"/>
      <c r="D3051"/>
      <c r="E3051"/>
      <c r="F3051"/>
      <c r="G3051"/>
      <c r="U3051"/>
      <c r="V3051"/>
      <c r="W3051"/>
      <c r="X3051"/>
      <c r="Y3051"/>
      <c r="Z3051"/>
      <c r="AA3051"/>
      <c r="AB3051"/>
      <c r="AL3051"/>
      <c r="AM3051"/>
      <c r="AN3051"/>
      <c r="AO3051"/>
    </row>
    <row r="3052" spans="1:41" s="2" customFormat="1" x14ac:dyDescent="0.2">
      <c r="A3052"/>
      <c r="B3052"/>
      <c r="C3052"/>
      <c r="D3052"/>
      <c r="E3052"/>
      <c r="F3052"/>
      <c r="G3052"/>
      <c r="U3052"/>
      <c r="V3052"/>
      <c r="W3052"/>
      <c r="X3052"/>
      <c r="Y3052"/>
      <c r="Z3052"/>
      <c r="AA3052"/>
      <c r="AB3052"/>
      <c r="AL3052"/>
      <c r="AM3052"/>
      <c r="AN3052"/>
      <c r="AO3052"/>
    </row>
    <row r="3053" spans="1:41" s="2" customFormat="1" x14ac:dyDescent="0.2">
      <c r="A3053"/>
      <c r="B3053"/>
      <c r="C3053"/>
      <c r="D3053"/>
      <c r="E3053"/>
      <c r="F3053"/>
      <c r="G3053"/>
      <c r="U3053"/>
      <c r="V3053"/>
      <c r="W3053"/>
      <c r="X3053"/>
      <c r="Y3053"/>
      <c r="Z3053"/>
      <c r="AA3053"/>
      <c r="AB3053"/>
      <c r="AL3053"/>
      <c r="AM3053"/>
      <c r="AN3053"/>
      <c r="AO3053"/>
    </row>
    <row r="3054" spans="1:41" s="2" customFormat="1" x14ac:dyDescent="0.2">
      <c r="A3054"/>
      <c r="B3054"/>
      <c r="C3054"/>
      <c r="D3054"/>
      <c r="E3054"/>
      <c r="F3054"/>
      <c r="G3054"/>
      <c r="U3054"/>
      <c r="V3054"/>
      <c r="W3054"/>
      <c r="X3054"/>
      <c r="Y3054"/>
      <c r="Z3054"/>
      <c r="AA3054"/>
      <c r="AB3054"/>
      <c r="AL3054"/>
      <c r="AM3054"/>
      <c r="AN3054"/>
      <c r="AO3054"/>
    </row>
    <row r="3055" spans="1:41" s="2" customFormat="1" x14ac:dyDescent="0.2">
      <c r="A3055"/>
      <c r="B3055"/>
      <c r="C3055"/>
      <c r="D3055"/>
      <c r="E3055"/>
      <c r="F3055"/>
      <c r="G3055"/>
      <c r="U3055"/>
      <c r="V3055"/>
      <c r="W3055"/>
      <c r="X3055"/>
      <c r="Y3055"/>
      <c r="Z3055"/>
      <c r="AA3055"/>
      <c r="AB3055"/>
      <c r="AL3055"/>
      <c r="AM3055"/>
      <c r="AN3055"/>
      <c r="AO3055"/>
    </row>
    <row r="3056" spans="1:41" s="2" customFormat="1" x14ac:dyDescent="0.2">
      <c r="A3056"/>
      <c r="B3056"/>
      <c r="C3056"/>
      <c r="D3056"/>
      <c r="E3056"/>
      <c r="F3056"/>
      <c r="G3056"/>
      <c r="U3056"/>
      <c r="V3056"/>
      <c r="W3056"/>
      <c r="X3056"/>
      <c r="Y3056"/>
      <c r="Z3056"/>
      <c r="AA3056"/>
      <c r="AB3056"/>
      <c r="AL3056"/>
      <c r="AM3056"/>
      <c r="AN3056"/>
      <c r="AO3056"/>
    </row>
    <row r="3057" spans="1:41" s="2" customFormat="1" x14ac:dyDescent="0.2">
      <c r="A3057"/>
      <c r="B3057"/>
      <c r="C3057"/>
      <c r="D3057"/>
      <c r="E3057"/>
      <c r="F3057"/>
      <c r="G3057"/>
      <c r="U3057"/>
      <c r="V3057"/>
      <c r="W3057"/>
      <c r="X3057"/>
      <c r="Y3057"/>
      <c r="Z3057"/>
      <c r="AA3057"/>
      <c r="AB3057"/>
      <c r="AL3057"/>
      <c r="AM3057"/>
      <c r="AN3057"/>
      <c r="AO3057"/>
    </row>
    <row r="3058" spans="1:41" s="2" customFormat="1" x14ac:dyDescent="0.2">
      <c r="A3058"/>
      <c r="B3058"/>
      <c r="C3058"/>
      <c r="D3058"/>
      <c r="E3058"/>
      <c r="F3058"/>
      <c r="G3058"/>
      <c r="U3058"/>
      <c r="V3058"/>
      <c r="W3058"/>
      <c r="X3058"/>
      <c r="Y3058"/>
      <c r="Z3058"/>
      <c r="AA3058"/>
      <c r="AB3058"/>
      <c r="AL3058"/>
      <c r="AM3058"/>
      <c r="AN3058"/>
      <c r="AO3058"/>
    </row>
    <row r="3059" spans="1:41" s="2" customFormat="1" x14ac:dyDescent="0.2">
      <c r="A3059"/>
      <c r="B3059"/>
      <c r="C3059"/>
      <c r="D3059"/>
      <c r="E3059"/>
      <c r="F3059"/>
      <c r="G3059"/>
      <c r="U3059"/>
      <c r="V3059"/>
      <c r="W3059"/>
      <c r="X3059"/>
      <c r="Y3059"/>
      <c r="Z3059"/>
      <c r="AA3059"/>
      <c r="AB3059"/>
      <c r="AL3059"/>
      <c r="AM3059"/>
      <c r="AN3059"/>
      <c r="AO3059"/>
    </row>
    <row r="3060" spans="1:41" s="2" customFormat="1" x14ac:dyDescent="0.2">
      <c r="A3060"/>
      <c r="B3060"/>
      <c r="C3060"/>
      <c r="D3060"/>
      <c r="E3060"/>
      <c r="F3060"/>
      <c r="G3060"/>
      <c r="U3060"/>
      <c r="V3060"/>
      <c r="W3060"/>
      <c r="X3060"/>
      <c r="Y3060"/>
      <c r="Z3060"/>
      <c r="AA3060"/>
      <c r="AB3060"/>
      <c r="AL3060"/>
      <c r="AM3060"/>
      <c r="AN3060"/>
      <c r="AO3060"/>
    </row>
    <row r="3061" spans="1:41" s="2" customFormat="1" x14ac:dyDescent="0.2">
      <c r="A3061"/>
      <c r="B3061"/>
      <c r="C3061"/>
      <c r="D3061"/>
      <c r="E3061"/>
      <c r="F3061"/>
      <c r="G3061"/>
      <c r="U3061"/>
      <c r="V3061"/>
      <c r="W3061"/>
      <c r="X3061"/>
      <c r="Y3061"/>
      <c r="Z3061"/>
      <c r="AA3061"/>
      <c r="AB3061"/>
      <c r="AL3061"/>
      <c r="AM3061"/>
      <c r="AN3061"/>
      <c r="AO3061"/>
    </row>
    <row r="3062" spans="1:41" s="2" customFormat="1" x14ac:dyDescent="0.2">
      <c r="A3062"/>
      <c r="B3062"/>
      <c r="C3062"/>
      <c r="D3062"/>
      <c r="E3062"/>
      <c r="F3062"/>
      <c r="G3062"/>
      <c r="U3062"/>
      <c r="V3062"/>
      <c r="W3062"/>
      <c r="X3062"/>
      <c r="Y3062"/>
      <c r="Z3062"/>
      <c r="AA3062"/>
      <c r="AB3062"/>
      <c r="AL3062"/>
      <c r="AM3062"/>
      <c r="AN3062"/>
      <c r="AO3062"/>
    </row>
    <row r="3063" spans="1:41" s="2" customFormat="1" x14ac:dyDescent="0.2">
      <c r="A3063"/>
      <c r="B3063"/>
      <c r="C3063"/>
      <c r="D3063"/>
      <c r="E3063"/>
      <c r="F3063"/>
      <c r="G3063"/>
      <c r="U3063"/>
      <c r="V3063"/>
      <c r="W3063"/>
      <c r="X3063"/>
      <c r="Y3063"/>
      <c r="Z3063"/>
      <c r="AA3063"/>
      <c r="AB3063"/>
      <c r="AL3063"/>
      <c r="AM3063"/>
      <c r="AN3063"/>
      <c r="AO3063"/>
    </row>
    <row r="3064" spans="1:41" s="2" customFormat="1" x14ac:dyDescent="0.2">
      <c r="A3064"/>
      <c r="B3064"/>
      <c r="C3064"/>
      <c r="D3064"/>
      <c r="E3064"/>
      <c r="F3064"/>
      <c r="G3064"/>
      <c r="U3064"/>
      <c r="V3064"/>
      <c r="W3064"/>
      <c r="X3064"/>
      <c r="Y3064"/>
      <c r="Z3064"/>
      <c r="AA3064"/>
      <c r="AB3064"/>
      <c r="AL3064"/>
      <c r="AM3064"/>
      <c r="AN3064"/>
      <c r="AO3064"/>
    </row>
    <row r="3065" spans="1:41" s="2" customFormat="1" x14ac:dyDescent="0.2">
      <c r="A3065"/>
      <c r="B3065"/>
      <c r="C3065"/>
      <c r="D3065"/>
      <c r="E3065"/>
      <c r="F3065"/>
      <c r="G3065"/>
      <c r="U3065"/>
      <c r="V3065"/>
      <c r="W3065"/>
      <c r="X3065"/>
      <c r="Y3065"/>
      <c r="Z3065"/>
      <c r="AA3065"/>
      <c r="AB3065"/>
      <c r="AL3065"/>
      <c r="AM3065"/>
      <c r="AN3065"/>
      <c r="AO3065"/>
    </row>
    <row r="3066" spans="1:41" s="2" customFormat="1" x14ac:dyDescent="0.2">
      <c r="A3066"/>
      <c r="B3066"/>
      <c r="C3066"/>
      <c r="D3066"/>
      <c r="E3066"/>
      <c r="F3066"/>
      <c r="G3066"/>
      <c r="U3066"/>
      <c r="V3066"/>
      <c r="W3066"/>
      <c r="X3066"/>
      <c r="Y3066"/>
      <c r="Z3066"/>
      <c r="AA3066"/>
      <c r="AB3066"/>
      <c r="AL3066"/>
      <c r="AM3066"/>
      <c r="AN3066"/>
      <c r="AO3066"/>
    </row>
    <row r="3067" spans="1:41" s="2" customFormat="1" x14ac:dyDescent="0.2">
      <c r="A3067"/>
      <c r="B3067"/>
      <c r="C3067"/>
      <c r="D3067"/>
      <c r="E3067"/>
      <c r="F3067"/>
      <c r="G3067"/>
      <c r="U3067"/>
      <c r="V3067"/>
      <c r="W3067"/>
      <c r="X3067"/>
      <c r="Y3067"/>
      <c r="Z3067"/>
      <c r="AA3067"/>
      <c r="AB3067"/>
      <c r="AL3067"/>
      <c r="AM3067"/>
      <c r="AN3067"/>
      <c r="AO3067"/>
    </row>
    <row r="3068" spans="1:41" s="2" customFormat="1" x14ac:dyDescent="0.2">
      <c r="A3068"/>
      <c r="B3068"/>
      <c r="C3068"/>
      <c r="D3068"/>
      <c r="E3068"/>
      <c r="F3068"/>
      <c r="G3068"/>
      <c r="U3068"/>
      <c r="V3068"/>
      <c r="W3068"/>
      <c r="X3068"/>
      <c r="Y3068"/>
      <c r="Z3068"/>
      <c r="AA3068"/>
      <c r="AB3068"/>
      <c r="AL3068"/>
      <c r="AM3068"/>
      <c r="AN3068"/>
      <c r="AO3068"/>
    </row>
    <row r="3069" spans="1:41" s="2" customFormat="1" x14ac:dyDescent="0.2">
      <c r="A3069"/>
      <c r="B3069"/>
      <c r="C3069"/>
      <c r="D3069"/>
      <c r="E3069"/>
      <c r="F3069"/>
      <c r="G3069"/>
      <c r="U3069"/>
      <c r="V3069"/>
      <c r="W3069"/>
      <c r="X3069"/>
      <c r="Y3069"/>
      <c r="Z3069"/>
      <c r="AA3069"/>
      <c r="AB3069"/>
      <c r="AL3069"/>
      <c r="AM3069"/>
      <c r="AN3069"/>
      <c r="AO3069"/>
    </row>
    <row r="3070" spans="1:41" s="2" customFormat="1" x14ac:dyDescent="0.2">
      <c r="A3070"/>
      <c r="B3070"/>
      <c r="C3070"/>
      <c r="D3070"/>
      <c r="E3070"/>
      <c r="F3070"/>
      <c r="G3070"/>
      <c r="U3070"/>
      <c r="V3070"/>
      <c r="W3070"/>
      <c r="X3070"/>
      <c r="Y3070"/>
      <c r="Z3070"/>
      <c r="AA3070"/>
      <c r="AB3070"/>
      <c r="AL3070"/>
      <c r="AM3070"/>
      <c r="AN3070"/>
      <c r="AO3070"/>
    </row>
    <row r="3071" spans="1:41" s="2" customFormat="1" x14ac:dyDescent="0.2">
      <c r="A3071"/>
      <c r="B3071"/>
      <c r="C3071"/>
      <c r="D3071"/>
      <c r="E3071"/>
      <c r="F3071"/>
      <c r="G3071"/>
      <c r="U3071"/>
      <c r="V3071"/>
      <c r="W3071"/>
      <c r="X3071"/>
      <c r="Y3071"/>
      <c r="Z3071"/>
      <c r="AA3071"/>
      <c r="AB3071"/>
      <c r="AL3071"/>
      <c r="AM3071"/>
      <c r="AN3071"/>
      <c r="AO3071"/>
    </row>
    <row r="3072" spans="1:41" s="2" customFormat="1" x14ac:dyDescent="0.2">
      <c r="A3072"/>
      <c r="B3072"/>
      <c r="C3072"/>
      <c r="D3072"/>
      <c r="E3072"/>
      <c r="F3072"/>
      <c r="G3072"/>
      <c r="U3072"/>
      <c r="V3072"/>
      <c r="W3072"/>
      <c r="X3072"/>
      <c r="Y3072"/>
      <c r="Z3072"/>
      <c r="AA3072"/>
      <c r="AB3072"/>
      <c r="AL3072"/>
      <c r="AM3072"/>
      <c r="AN3072"/>
      <c r="AO3072"/>
    </row>
    <row r="3073" spans="1:41" s="2" customFormat="1" x14ac:dyDescent="0.2">
      <c r="A3073"/>
      <c r="B3073"/>
      <c r="C3073"/>
      <c r="D3073"/>
      <c r="E3073"/>
      <c r="F3073"/>
      <c r="G3073"/>
      <c r="U3073"/>
      <c r="V3073"/>
      <c r="W3073"/>
      <c r="X3073"/>
      <c r="Y3073"/>
      <c r="Z3073"/>
      <c r="AA3073"/>
      <c r="AB3073"/>
      <c r="AL3073"/>
      <c r="AM3073"/>
      <c r="AN3073"/>
      <c r="AO3073"/>
    </row>
    <row r="3074" spans="1:41" s="2" customFormat="1" x14ac:dyDescent="0.2">
      <c r="A3074"/>
      <c r="B3074"/>
      <c r="C3074"/>
      <c r="D3074"/>
      <c r="E3074"/>
      <c r="F3074"/>
      <c r="G3074"/>
      <c r="U3074"/>
      <c r="V3074"/>
      <c r="W3074"/>
      <c r="X3074"/>
      <c r="Y3074"/>
      <c r="Z3074"/>
      <c r="AA3074"/>
      <c r="AB3074"/>
      <c r="AL3074"/>
      <c r="AM3074"/>
      <c r="AN3074"/>
      <c r="AO3074"/>
    </row>
    <row r="3075" spans="1:41" s="2" customFormat="1" x14ac:dyDescent="0.2">
      <c r="A3075"/>
      <c r="B3075"/>
      <c r="C3075"/>
      <c r="D3075"/>
      <c r="E3075"/>
      <c r="F3075"/>
      <c r="G3075"/>
      <c r="U3075"/>
      <c r="V3075"/>
      <c r="W3075"/>
      <c r="X3075"/>
      <c r="Y3075"/>
      <c r="Z3075"/>
      <c r="AA3075"/>
      <c r="AB3075"/>
      <c r="AL3075"/>
      <c r="AM3075"/>
      <c r="AN3075"/>
      <c r="AO3075"/>
    </row>
    <row r="3076" spans="1:41" s="2" customFormat="1" x14ac:dyDescent="0.2">
      <c r="A3076"/>
      <c r="B3076"/>
      <c r="C3076"/>
      <c r="D3076"/>
      <c r="E3076"/>
      <c r="F3076"/>
      <c r="G3076"/>
      <c r="U3076"/>
      <c r="V3076"/>
      <c r="W3076"/>
      <c r="X3076"/>
      <c r="Y3076"/>
      <c r="Z3076"/>
      <c r="AA3076"/>
      <c r="AB3076"/>
      <c r="AL3076"/>
      <c r="AM3076"/>
      <c r="AN3076"/>
      <c r="AO3076"/>
    </row>
    <row r="3077" spans="1:41" s="2" customFormat="1" x14ac:dyDescent="0.2">
      <c r="A3077"/>
      <c r="B3077"/>
      <c r="C3077"/>
      <c r="D3077"/>
      <c r="E3077"/>
      <c r="F3077"/>
      <c r="G3077"/>
      <c r="U3077"/>
      <c r="V3077"/>
      <c r="W3077"/>
      <c r="X3077"/>
      <c r="Y3077"/>
      <c r="Z3077"/>
      <c r="AA3077"/>
      <c r="AB3077"/>
      <c r="AL3077"/>
      <c r="AM3077"/>
      <c r="AN3077"/>
      <c r="AO3077"/>
    </row>
    <row r="3078" spans="1:41" s="2" customFormat="1" x14ac:dyDescent="0.2">
      <c r="A3078"/>
      <c r="B3078"/>
      <c r="C3078"/>
      <c r="D3078"/>
      <c r="E3078"/>
      <c r="F3078"/>
      <c r="G3078"/>
      <c r="U3078"/>
      <c r="V3078"/>
      <c r="W3078"/>
      <c r="X3078"/>
      <c r="Y3078"/>
      <c r="Z3078"/>
      <c r="AA3078"/>
      <c r="AB3078"/>
      <c r="AL3078"/>
      <c r="AM3078"/>
      <c r="AN3078"/>
      <c r="AO3078"/>
    </row>
    <row r="3079" spans="1:41" s="2" customFormat="1" x14ac:dyDescent="0.2">
      <c r="A3079"/>
      <c r="B3079"/>
      <c r="C3079"/>
      <c r="D3079"/>
      <c r="E3079"/>
      <c r="F3079"/>
      <c r="G3079"/>
      <c r="U3079"/>
      <c r="V3079"/>
      <c r="W3079"/>
      <c r="X3079"/>
      <c r="Y3079"/>
      <c r="Z3079"/>
      <c r="AA3079"/>
      <c r="AB3079"/>
      <c r="AL3079"/>
      <c r="AM3079"/>
      <c r="AN3079"/>
      <c r="AO3079"/>
    </row>
    <row r="3080" spans="1:41" s="2" customFormat="1" x14ac:dyDescent="0.2">
      <c r="A3080"/>
      <c r="B3080"/>
      <c r="C3080"/>
      <c r="D3080"/>
      <c r="E3080"/>
      <c r="F3080"/>
      <c r="G3080"/>
      <c r="U3080"/>
      <c r="V3080"/>
      <c r="W3080"/>
      <c r="X3080"/>
      <c r="Y3080"/>
      <c r="Z3080"/>
      <c r="AA3080"/>
      <c r="AB3080"/>
      <c r="AL3080"/>
      <c r="AM3080"/>
      <c r="AN3080"/>
      <c r="AO3080"/>
    </row>
    <row r="3081" spans="1:41" s="2" customFormat="1" x14ac:dyDescent="0.2">
      <c r="A3081"/>
      <c r="B3081"/>
      <c r="C3081"/>
      <c r="D3081"/>
      <c r="E3081"/>
      <c r="F3081"/>
      <c r="G3081"/>
      <c r="U3081"/>
      <c r="V3081"/>
      <c r="W3081"/>
      <c r="X3081"/>
      <c r="Y3081"/>
      <c r="Z3081"/>
      <c r="AA3081"/>
      <c r="AB3081"/>
      <c r="AL3081"/>
      <c r="AM3081"/>
      <c r="AN3081"/>
      <c r="AO3081"/>
    </row>
    <row r="3082" spans="1:41" s="2" customFormat="1" x14ac:dyDescent="0.2">
      <c r="A3082"/>
      <c r="B3082"/>
      <c r="C3082"/>
      <c r="D3082"/>
      <c r="E3082"/>
      <c r="F3082"/>
      <c r="G3082"/>
      <c r="U3082"/>
      <c r="V3082"/>
      <c r="W3082"/>
      <c r="X3082"/>
      <c r="Y3082"/>
      <c r="Z3082"/>
      <c r="AA3082"/>
      <c r="AB3082"/>
      <c r="AL3082"/>
      <c r="AM3082"/>
      <c r="AN3082"/>
      <c r="AO3082"/>
    </row>
    <row r="3083" spans="1:41" s="2" customFormat="1" x14ac:dyDescent="0.2">
      <c r="A3083"/>
      <c r="B3083"/>
      <c r="C3083"/>
      <c r="D3083"/>
      <c r="E3083"/>
      <c r="F3083"/>
      <c r="G3083"/>
      <c r="U3083"/>
      <c r="V3083"/>
      <c r="W3083"/>
      <c r="X3083"/>
      <c r="Y3083"/>
      <c r="Z3083"/>
      <c r="AA3083"/>
      <c r="AB3083"/>
      <c r="AL3083"/>
      <c r="AM3083"/>
      <c r="AN3083"/>
      <c r="AO3083"/>
    </row>
    <row r="3084" spans="1:41" s="2" customFormat="1" x14ac:dyDescent="0.2">
      <c r="A3084"/>
      <c r="B3084"/>
      <c r="C3084"/>
      <c r="D3084"/>
      <c r="E3084"/>
      <c r="F3084"/>
      <c r="G3084"/>
      <c r="U3084"/>
      <c r="V3084"/>
      <c r="W3084"/>
      <c r="X3084"/>
      <c r="Y3084"/>
      <c r="Z3084"/>
      <c r="AA3084"/>
      <c r="AB3084"/>
      <c r="AL3084"/>
      <c r="AM3084"/>
      <c r="AN3084"/>
      <c r="AO3084"/>
    </row>
    <row r="3085" spans="1:41" s="2" customFormat="1" x14ac:dyDescent="0.2">
      <c r="A3085"/>
      <c r="B3085"/>
      <c r="C3085"/>
      <c r="D3085"/>
      <c r="E3085"/>
      <c r="F3085"/>
      <c r="G3085"/>
      <c r="U3085"/>
      <c r="V3085"/>
      <c r="W3085"/>
      <c r="X3085"/>
      <c r="Y3085"/>
      <c r="Z3085"/>
      <c r="AA3085"/>
      <c r="AB3085"/>
      <c r="AL3085"/>
      <c r="AM3085"/>
      <c r="AN3085"/>
      <c r="AO3085"/>
    </row>
    <row r="3086" spans="1:41" s="2" customFormat="1" x14ac:dyDescent="0.2">
      <c r="A3086"/>
      <c r="B3086"/>
      <c r="C3086"/>
      <c r="D3086"/>
      <c r="E3086"/>
      <c r="F3086"/>
      <c r="G3086"/>
      <c r="U3086"/>
      <c r="V3086"/>
      <c r="W3086"/>
      <c r="X3086"/>
      <c r="Y3086"/>
      <c r="Z3086"/>
      <c r="AA3086"/>
      <c r="AB3086"/>
      <c r="AL3086"/>
      <c r="AM3086"/>
      <c r="AN3086"/>
      <c r="AO3086"/>
    </row>
    <row r="3087" spans="1:41" s="2" customFormat="1" x14ac:dyDescent="0.2">
      <c r="A3087"/>
      <c r="B3087"/>
      <c r="C3087"/>
      <c r="D3087"/>
      <c r="E3087"/>
      <c r="F3087"/>
      <c r="G3087"/>
      <c r="U3087"/>
      <c r="V3087"/>
      <c r="W3087"/>
      <c r="X3087"/>
      <c r="Y3087"/>
      <c r="Z3087"/>
      <c r="AA3087"/>
      <c r="AB3087"/>
      <c r="AL3087"/>
      <c r="AM3087"/>
      <c r="AN3087"/>
      <c r="AO3087"/>
    </row>
    <row r="3088" spans="1:41" s="2" customFormat="1" x14ac:dyDescent="0.2">
      <c r="A3088"/>
      <c r="B3088"/>
      <c r="C3088"/>
      <c r="D3088"/>
      <c r="E3088"/>
      <c r="F3088"/>
      <c r="G3088"/>
      <c r="U3088"/>
      <c r="V3088"/>
      <c r="W3088"/>
      <c r="X3088"/>
      <c r="Y3088"/>
      <c r="Z3088"/>
      <c r="AA3088"/>
      <c r="AB3088"/>
      <c r="AL3088"/>
      <c r="AM3088"/>
      <c r="AN3088"/>
      <c r="AO3088"/>
    </row>
    <row r="3089" spans="1:41" s="2" customFormat="1" x14ac:dyDescent="0.2">
      <c r="A3089"/>
      <c r="B3089"/>
      <c r="C3089"/>
      <c r="D3089"/>
      <c r="E3089"/>
      <c r="F3089"/>
      <c r="G3089"/>
      <c r="U3089"/>
      <c r="V3089"/>
      <c r="W3089"/>
      <c r="X3089"/>
      <c r="Y3089"/>
      <c r="Z3089"/>
      <c r="AA3089"/>
      <c r="AB3089"/>
      <c r="AL3089"/>
      <c r="AM3089"/>
      <c r="AN3089"/>
      <c r="AO3089"/>
    </row>
    <row r="3090" spans="1:41" s="2" customFormat="1" x14ac:dyDescent="0.2">
      <c r="A3090"/>
      <c r="B3090"/>
      <c r="C3090"/>
      <c r="D3090"/>
      <c r="E3090"/>
      <c r="F3090"/>
      <c r="G3090"/>
      <c r="U3090"/>
      <c r="V3090"/>
      <c r="W3090"/>
      <c r="X3090"/>
      <c r="Y3090"/>
      <c r="Z3090"/>
      <c r="AA3090"/>
      <c r="AB3090"/>
      <c r="AL3090"/>
      <c r="AM3090"/>
      <c r="AN3090"/>
      <c r="AO3090"/>
    </row>
    <row r="3091" spans="1:41" s="2" customFormat="1" x14ac:dyDescent="0.2">
      <c r="A3091"/>
      <c r="B3091"/>
      <c r="C3091"/>
      <c r="D3091"/>
      <c r="E3091"/>
      <c r="F3091"/>
      <c r="G3091"/>
      <c r="U3091"/>
      <c r="V3091"/>
      <c r="W3091"/>
      <c r="X3091"/>
      <c r="Y3091"/>
      <c r="Z3091"/>
      <c r="AA3091"/>
      <c r="AB3091"/>
      <c r="AL3091"/>
      <c r="AM3091"/>
      <c r="AN3091"/>
      <c r="AO3091"/>
    </row>
    <row r="3092" spans="1:41" s="2" customFormat="1" x14ac:dyDescent="0.2">
      <c r="A3092"/>
      <c r="B3092"/>
      <c r="C3092"/>
      <c r="D3092"/>
      <c r="E3092"/>
      <c r="F3092"/>
      <c r="G3092"/>
      <c r="U3092"/>
      <c r="V3092"/>
      <c r="W3092"/>
      <c r="X3092"/>
      <c r="Y3092"/>
      <c r="Z3092"/>
      <c r="AA3092"/>
      <c r="AB3092"/>
      <c r="AL3092"/>
      <c r="AM3092"/>
      <c r="AN3092"/>
      <c r="AO3092"/>
    </row>
    <row r="3093" spans="1:41" s="2" customFormat="1" x14ac:dyDescent="0.2">
      <c r="A3093"/>
      <c r="B3093"/>
      <c r="C3093"/>
      <c r="D3093"/>
      <c r="E3093"/>
      <c r="F3093"/>
      <c r="G3093"/>
      <c r="U3093"/>
      <c r="V3093"/>
      <c r="W3093"/>
      <c r="X3093"/>
      <c r="Y3093"/>
      <c r="Z3093"/>
      <c r="AA3093"/>
      <c r="AB3093"/>
      <c r="AL3093"/>
      <c r="AM3093"/>
      <c r="AN3093"/>
      <c r="AO3093"/>
    </row>
    <row r="3094" spans="1:41" s="2" customFormat="1" x14ac:dyDescent="0.2">
      <c r="A3094"/>
      <c r="B3094"/>
      <c r="C3094"/>
      <c r="D3094"/>
      <c r="E3094"/>
      <c r="F3094"/>
      <c r="G3094"/>
      <c r="U3094"/>
      <c r="V3094"/>
      <c r="W3094"/>
      <c r="X3094"/>
      <c r="Y3094"/>
      <c r="Z3094"/>
      <c r="AA3094"/>
      <c r="AB3094"/>
      <c r="AL3094"/>
      <c r="AM3094"/>
      <c r="AN3094"/>
      <c r="AO3094"/>
    </row>
    <row r="3095" spans="1:41" s="2" customFormat="1" x14ac:dyDescent="0.2">
      <c r="A3095"/>
      <c r="B3095"/>
      <c r="C3095"/>
      <c r="D3095"/>
      <c r="E3095"/>
      <c r="F3095"/>
      <c r="G3095"/>
      <c r="U3095"/>
      <c r="V3095"/>
      <c r="W3095"/>
      <c r="X3095"/>
      <c r="Y3095"/>
      <c r="Z3095"/>
      <c r="AA3095"/>
      <c r="AB3095"/>
      <c r="AL3095"/>
      <c r="AM3095"/>
      <c r="AN3095"/>
      <c r="AO3095"/>
    </row>
    <row r="3096" spans="1:41" s="2" customFormat="1" x14ac:dyDescent="0.2">
      <c r="A3096"/>
      <c r="B3096"/>
      <c r="C3096"/>
      <c r="D3096"/>
      <c r="E3096"/>
      <c r="F3096"/>
      <c r="G3096"/>
      <c r="U3096"/>
      <c r="V3096"/>
      <c r="W3096"/>
      <c r="X3096"/>
      <c r="Y3096"/>
      <c r="Z3096"/>
      <c r="AA3096"/>
      <c r="AB3096"/>
      <c r="AL3096"/>
      <c r="AM3096"/>
      <c r="AN3096"/>
      <c r="AO3096"/>
    </row>
    <row r="3097" spans="1:41" s="2" customFormat="1" x14ac:dyDescent="0.2">
      <c r="A3097"/>
      <c r="B3097"/>
      <c r="C3097"/>
      <c r="D3097"/>
      <c r="E3097"/>
      <c r="F3097"/>
      <c r="G3097"/>
      <c r="U3097"/>
      <c r="V3097"/>
      <c r="W3097"/>
      <c r="X3097"/>
      <c r="Y3097"/>
      <c r="Z3097"/>
      <c r="AA3097"/>
      <c r="AB3097"/>
      <c r="AL3097"/>
      <c r="AM3097"/>
      <c r="AN3097"/>
      <c r="AO3097"/>
    </row>
    <row r="3098" spans="1:41" s="2" customFormat="1" x14ac:dyDescent="0.2">
      <c r="A3098"/>
      <c r="B3098"/>
      <c r="C3098"/>
      <c r="D3098"/>
      <c r="E3098"/>
      <c r="F3098"/>
      <c r="G3098"/>
      <c r="U3098"/>
      <c r="V3098"/>
      <c r="W3098"/>
      <c r="X3098"/>
      <c r="Y3098"/>
      <c r="Z3098"/>
      <c r="AA3098"/>
      <c r="AB3098"/>
      <c r="AL3098"/>
      <c r="AM3098"/>
      <c r="AN3098"/>
      <c r="AO3098"/>
    </row>
    <row r="3099" spans="1:41" s="2" customFormat="1" x14ac:dyDescent="0.2">
      <c r="A3099"/>
      <c r="B3099"/>
      <c r="C3099"/>
      <c r="D3099"/>
      <c r="E3099"/>
      <c r="F3099"/>
      <c r="G3099"/>
      <c r="U3099"/>
      <c r="V3099"/>
      <c r="W3099"/>
      <c r="X3099"/>
      <c r="Y3099"/>
      <c r="Z3099"/>
      <c r="AA3099"/>
      <c r="AB3099"/>
      <c r="AL3099"/>
      <c r="AM3099"/>
      <c r="AN3099"/>
      <c r="AO3099"/>
    </row>
    <row r="3100" spans="1:41" s="2" customFormat="1" x14ac:dyDescent="0.2">
      <c r="A3100"/>
      <c r="B3100"/>
      <c r="C3100"/>
      <c r="D3100"/>
      <c r="E3100"/>
      <c r="F3100"/>
      <c r="G3100"/>
      <c r="U3100"/>
      <c r="V3100"/>
      <c r="W3100"/>
      <c r="X3100"/>
      <c r="Y3100"/>
      <c r="Z3100"/>
      <c r="AA3100"/>
      <c r="AB3100"/>
      <c r="AL3100"/>
      <c r="AM3100"/>
      <c r="AN3100"/>
      <c r="AO3100"/>
    </row>
    <row r="3101" spans="1:41" s="2" customFormat="1" x14ac:dyDescent="0.2">
      <c r="A3101"/>
      <c r="B3101"/>
      <c r="C3101"/>
      <c r="D3101"/>
      <c r="E3101"/>
      <c r="F3101"/>
      <c r="G3101"/>
      <c r="U3101"/>
      <c r="V3101"/>
      <c r="W3101"/>
      <c r="X3101"/>
      <c r="Y3101"/>
      <c r="Z3101"/>
      <c r="AA3101"/>
      <c r="AB3101"/>
      <c r="AL3101"/>
      <c r="AM3101"/>
      <c r="AN3101"/>
      <c r="AO3101"/>
    </row>
    <row r="3102" spans="1:41" s="2" customFormat="1" x14ac:dyDescent="0.2">
      <c r="A3102"/>
      <c r="B3102"/>
      <c r="C3102"/>
      <c r="D3102"/>
      <c r="E3102"/>
      <c r="F3102"/>
      <c r="G3102"/>
      <c r="U3102"/>
      <c r="V3102"/>
      <c r="W3102"/>
      <c r="X3102"/>
      <c r="Y3102"/>
      <c r="Z3102"/>
      <c r="AA3102"/>
      <c r="AB3102"/>
      <c r="AL3102"/>
      <c r="AM3102"/>
      <c r="AN3102"/>
      <c r="AO3102"/>
    </row>
    <row r="3103" spans="1:41" s="2" customFormat="1" x14ac:dyDescent="0.2">
      <c r="A3103"/>
      <c r="B3103"/>
      <c r="C3103"/>
      <c r="D3103"/>
      <c r="E3103"/>
      <c r="F3103"/>
      <c r="G3103"/>
      <c r="U3103"/>
      <c r="V3103"/>
      <c r="W3103"/>
      <c r="X3103"/>
      <c r="Y3103"/>
      <c r="Z3103"/>
      <c r="AA3103"/>
      <c r="AB3103"/>
      <c r="AL3103"/>
      <c r="AM3103"/>
      <c r="AN3103"/>
      <c r="AO3103"/>
    </row>
    <row r="3104" spans="1:41" s="2" customFormat="1" x14ac:dyDescent="0.2">
      <c r="A3104"/>
      <c r="B3104"/>
      <c r="C3104"/>
      <c r="D3104"/>
      <c r="E3104"/>
      <c r="F3104"/>
      <c r="G3104"/>
      <c r="U3104"/>
      <c r="V3104"/>
      <c r="W3104"/>
      <c r="X3104"/>
      <c r="Y3104"/>
      <c r="Z3104"/>
      <c r="AA3104"/>
      <c r="AB3104"/>
      <c r="AL3104"/>
      <c r="AM3104"/>
      <c r="AN3104"/>
      <c r="AO3104"/>
    </row>
    <row r="3105" spans="1:41" s="2" customFormat="1" x14ac:dyDescent="0.2">
      <c r="A3105"/>
      <c r="B3105"/>
      <c r="C3105"/>
      <c r="D3105"/>
      <c r="E3105"/>
      <c r="F3105"/>
      <c r="G3105"/>
      <c r="U3105"/>
      <c r="V3105"/>
      <c r="W3105"/>
      <c r="X3105"/>
      <c r="Y3105"/>
      <c r="Z3105"/>
      <c r="AA3105"/>
      <c r="AB3105"/>
      <c r="AL3105"/>
      <c r="AM3105"/>
      <c r="AN3105"/>
      <c r="AO3105"/>
    </row>
    <row r="3106" spans="1:41" s="2" customFormat="1" x14ac:dyDescent="0.2">
      <c r="A3106"/>
      <c r="B3106"/>
      <c r="C3106"/>
      <c r="D3106"/>
      <c r="E3106"/>
      <c r="F3106"/>
      <c r="G3106"/>
      <c r="U3106"/>
      <c r="V3106"/>
      <c r="W3106"/>
      <c r="X3106"/>
      <c r="Y3106"/>
      <c r="Z3106"/>
      <c r="AA3106"/>
      <c r="AB3106"/>
      <c r="AL3106"/>
      <c r="AM3106"/>
      <c r="AN3106"/>
      <c r="AO3106"/>
    </row>
    <row r="3107" spans="1:41" s="2" customFormat="1" x14ac:dyDescent="0.2">
      <c r="A3107"/>
      <c r="B3107"/>
      <c r="C3107"/>
      <c r="D3107"/>
      <c r="E3107"/>
      <c r="F3107"/>
      <c r="G3107"/>
      <c r="U3107"/>
      <c r="V3107"/>
      <c r="W3107"/>
      <c r="X3107"/>
      <c r="Y3107"/>
      <c r="Z3107"/>
      <c r="AA3107"/>
      <c r="AB3107"/>
      <c r="AL3107"/>
      <c r="AM3107"/>
      <c r="AN3107"/>
      <c r="AO3107"/>
    </row>
    <row r="3108" spans="1:41" s="2" customFormat="1" x14ac:dyDescent="0.2">
      <c r="A3108"/>
      <c r="B3108"/>
      <c r="C3108"/>
      <c r="D3108"/>
      <c r="E3108"/>
      <c r="F3108"/>
      <c r="G3108"/>
      <c r="U3108"/>
      <c r="V3108"/>
      <c r="W3108"/>
      <c r="X3108"/>
      <c r="Y3108"/>
      <c r="Z3108"/>
      <c r="AA3108"/>
      <c r="AB3108"/>
      <c r="AL3108"/>
      <c r="AM3108"/>
      <c r="AN3108"/>
      <c r="AO3108"/>
    </row>
    <row r="3109" spans="1:41" s="2" customFormat="1" x14ac:dyDescent="0.2">
      <c r="A3109"/>
      <c r="B3109"/>
      <c r="C3109"/>
      <c r="D3109"/>
      <c r="E3109"/>
      <c r="F3109"/>
      <c r="G3109"/>
      <c r="U3109"/>
      <c r="V3109"/>
      <c r="W3109"/>
      <c r="X3109"/>
      <c r="Y3109"/>
      <c r="Z3109"/>
      <c r="AA3109"/>
      <c r="AB3109"/>
      <c r="AL3109"/>
      <c r="AM3109"/>
      <c r="AN3109"/>
      <c r="AO3109"/>
    </row>
    <row r="3110" spans="1:41" s="2" customFormat="1" x14ac:dyDescent="0.2">
      <c r="A3110"/>
      <c r="B3110"/>
      <c r="C3110"/>
      <c r="D3110"/>
      <c r="E3110"/>
      <c r="F3110"/>
      <c r="G3110"/>
      <c r="U3110"/>
      <c r="V3110"/>
      <c r="W3110"/>
      <c r="X3110"/>
      <c r="Y3110"/>
      <c r="Z3110"/>
      <c r="AA3110"/>
      <c r="AB3110"/>
      <c r="AL3110"/>
      <c r="AM3110"/>
      <c r="AN3110"/>
      <c r="AO3110"/>
    </row>
    <row r="3111" spans="1:41" s="2" customFormat="1" x14ac:dyDescent="0.2">
      <c r="A3111"/>
      <c r="B3111"/>
      <c r="C3111"/>
      <c r="D3111"/>
      <c r="E3111"/>
      <c r="F3111"/>
      <c r="G3111"/>
      <c r="U3111"/>
      <c r="V3111"/>
      <c r="W3111"/>
      <c r="X3111"/>
      <c r="Y3111"/>
      <c r="Z3111"/>
      <c r="AA3111"/>
      <c r="AB3111"/>
      <c r="AL3111"/>
      <c r="AM3111"/>
      <c r="AN3111"/>
      <c r="AO3111"/>
    </row>
    <row r="3112" spans="1:41" s="2" customFormat="1" x14ac:dyDescent="0.2">
      <c r="A3112"/>
      <c r="B3112"/>
      <c r="C3112"/>
      <c r="D3112"/>
      <c r="E3112"/>
      <c r="F3112"/>
      <c r="G3112"/>
      <c r="U3112"/>
      <c r="V3112"/>
      <c r="W3112"/>
      <c r="X3112"/>
      <c r="Y3112"/>
      <c r="Z3112"/>
      <c r="AA3112"/>
      <c r="AB3112"/>
      <c r="AL3112"/>
      <c r="AM3112"/>
      <c r="AN3112"/>
      <c r="AO3112"/>
    </row>
    <row r="3113" spans="1:41" s="2" customFormat="1" x14ac:dyDescent="0.2">
      <c r="A3113"/>
      <c r="B3113"/>
      <c r="C3113"/>
      <c r="D3113"/>
      <c r="E3113"/>
      <c r="F3113"/>
      <c r="G3113"/>
      <c r="U3113"/>
      <c r="V3113"/>
      <c r="W3113"/>
      <c r="X3113"/>
      <c r="Y3113"/>
      <c r="Z3113"/>
      <c r="AA3113"/>
      <c r="AB3113"/>
      <c r="AL3113"/>
      <c r="AM3113"/>
      <c r="AN3113"/>
      <c r="AO3113"/>
    </row>
    <row r="3114" spans="1:41" s="2" customFormat="1" x14ac:dyDescent="0.2">
      <c r="A3114"/>
      <c r="B3114"/>
      <c r="C3114"/>
      <c r="D3114"/>
      <c r="E3114"/>
      <c r="F3114"/>
      <c r="G3114"/>
      <c r="U3114"/>
      <c r="V3114"/>
      <c r="W3114"/>
      <c r="X3114"/>
      <c r="Y3114"/>
      <c r="Z3114"/>
      <c r="AA3114"/>
      <c r="AB3114"/>
      <c r="AL3114"/>
      <c r="AM3114"/>
      <c r="AN3114"/>
      <c r="AO3114"/>
    </row>
    <row r="3115" spans="1:41" s="2" customFormat="1" x14ac:dyDescent="0.2">
      <c r="A3115"/>
      <c r="B3115"/>
      <c r="C3115"/>
      <c r="D3115"/>
      <c r="E3115"/>
      <c r="F3115"/>
      <c r="G3115"/>
      <c r="U3115"/>
      <c r="V3115"/>
      <c r="W3115"/>
      <c r="X3115"/>
      <c r="Y3115"/>
      <c r="Z3115"/>
      <c r="AA3115"/>
      <c r="AB3115"/>
      <c r="AL3115"/>
      <c r="AM3115"/>
      <c r="AN3115"/>
      <c r="AO3115"/>
    </row>
    <row r="3116" spans="1:41" s="2" customFormat="1" x14ac:dyDescent="0.2">
      <c r="A3116"/>
      <c r="B3116"/>
      <c r="C3116"/>
      <c r="D3116"/>
      <c r="E3116"/>
      <c r="F3116"/>
      <c r="G3116"/>
      <c r="U3116"/>
      <c r="V3116"/>
      <c r="W3116"/>
      <c r="X3116"/>
      <c r="Y3116"/>
      <c r="Z3116"/>
      <c r="AA3116"/>
      <c r="AB3116"/>
      <c r="AL3116"/>
      <c r="AM3116"/>
      <c r="AN3116"/>
      <c r="AO3116"/>
    </row>
    <row r="3117" spans="1:41" s="2" customFormat="1" x14ac:dyDescent="0.2">
      <c r="A3117"/>
      <c r="B3117"/>
      <c r="C3117"/>
      <c r="D3117"/>
      <c r="E3117"/>
      <c r="F3117"/>
      <c r="G3117"/>
      <c r="U3117"/>
      <c r="V3117"/>
      <c r="W3117"/>
      <c r="X3117"/>
      <c r="Y3117"/>
      <c r="Z3117"/>
      <c r="AA3117"/>
      <c r="AB3117"/>
      <c r="AL3117"/>
      <c r="AM3117"/>
      <c r="AN3117"/>
      <c r="AO3117"/>
    </row>
    <row r="3118" spans="1:41" s="2" customFormat="1" x14ac:dyDescent="0.2">
      <c r="A3118"/>
      <c r="B3118"/>
      <c r="C3118"/>
      <c r="D3118"/>
      <c r="E3118"/>
      <c r="F3118"/>
      <c r="G3118"/>
      <c r="U3118"/>
      <c r="V3118"/>
      <c r="W3118"/>
      <c r="X3118"/>
      <c r="Y3118"/>
      <c r="Z3118"/>
      <c r="AA3118"/>
      <c r="AB3118"/>
      <c r="AL3118"/>
      <c r="AM3118"/>
      <c r="AN3118"/>
      <c r="AO3118"/>
    </row>
    <row r="3119" spans="1:41" s="2" customFormat="1" x14ac:dyDescent="0.2">
      <c r="A3119"/>
      <c r="B3119"/>
      <c r="C3119"/>
      <c r="D3119"/>
      <c r="E3119"/>
      <c r="F3119"/>
      <c r="G3119"/>
      <c r="U3119"/>
      <c r="V3119"/>
      <c r="W3119"/>
      <c r="X3119"/>
      <c r="Y3119"/>
      <c r="Z3119"/>
      <c r="AA3119"/>
      <c r="AB3119"/>
      <c r="AL3119"/>
      <c r="AM3119"/>
      <c r="AN3119"/>
      <c r="AO3119"/>
    </row>
    <row r="3120" spans="1:41" s="2" customFormat="1" x14ac:dyDescent="0.2">
      <c r="A3120"/>
      <c r="B3120"/>
      <c r="C3120"/>
      <c r="D3120"/>
      <c r="E3120"/>
      <c r="F3120"/>
      <c r="G3120"/>
      <c r="U3120"/>
      <c r="V3120"/>
      <c r="W3120"/>
      <c r="X3120"/>
      <c r="Y3120"/>
      <c r="Z3120"/>
      <c r="AA3120"/>
      <c r="AB3120"/>
      <c r="AL3120"/>
      <c r="AM3120"/>
      <c r="AN3120"/>
      <c r="AO3120"/>
    </row>
    <row r="3121" spans="1:41" s="2" customFormat="1" x14ac:dyDescent="0.2">
      <c r="A3121"/>
      <c r="B3121"/>
      <c r="C3121"/>
      <c r="D3121"/>
      <c r="E3121"/>
      <c r="F3121"/>
      <c r="G3121"/>
      <c r="U3121"/>
      <c r="V3121"/>
      <c r="W3121"/>
      <c r="X3121"/>
      <c r="Y3121"/>
      <c r="Z3121"/>
      <c r="AA3121"/>
      <c r="AB3121"/>
      <c r="AL3121"/>
      <c r="AM3121"/>
      <c r="AN3121"/>
      <c r="AO3121"/>
    </row>
    <row r="3122" spans="1:41" s="2" customFormat="1" x14ac:dyDescent="0.2">
      <c r="A3122"/>
      <c r="B3122"/>
      <c r="C3122"/>
      <c r="D3122"/>
      <c r="E3122"/>
      <c r="F3122"/>
      <c r="G3122"/>
      <c r="U3122"/>
      <c r="V3122"/>
      <c r="W3122"/>
      <c r="X3122"/>
      <c r="Y3122"/>
      <c r="Z3122"/>
      <c r="AA3122"/>
      <c r="AB3122"/>
      <c r="AL3122"/>
      <c r="AM3122"/>
      <c r="AN3122"/>
      <c r="AO3122"/>
    </row>
    <row r="3123" spans="1:41" s="2" customFormat="1" x14ac:dyDescent="0.2">
      <c r="A3123"/>
      <c r="B3123"/>
      <c r="C3123"/>
      <c r="D3123"/>
      <c r="E3123"/>
      <c r="F3123"/>
      <c r="G3123"/>
      <c r="U3123"/>
      <c r="V3123"/>
      <c r="W3123"/>
      <c r="X3123"/>
      <c r="Y3123"/>
      <c r="Z3123"/>
      <c r="AA3123"/>
      <c r="AB3123"/>
      <c r="AL3123"/>
      <c r="AM3123"/>
      <c r="AN3123"/>
      <c r="AO3123"/>
    </row>
    <row r="3124" spans="1:41" s="2" customFormat="1" x14ac:dyDescent="0.2">
      <c r="A3124"/>
      <c r="B3124"/>
      <c r="C3124"/>
      <c r="D3124"/>
      <c r="E3124"/>
      <c r="F3124"/>
      <c r="G3124"/>
      <c r="U3124"/>
      <c r="V3124"/>
      <c r="W3124"/>
      <c r="X3124"/>
      <c r="Y3124"/>
      <c r="Z3124"/>
      <c r="AA3124"/>
      <c r="AB3124"/>
      <c r="AL3124"/>
      <c r="AM3124"/>
      <c r="AN3124"/>
      <c r="AO3124"/>
    </row>
    <row r="3125" spans="1:41" s="2" customFormat="1" x14ac:dyDescent="0.2">
      <c r="A3125"/>
      <c r="B3125"/>
      <c r="C3125"/>
      <c r="D3125"/>
      <c r="E3125"/>
      <c r="F3125"/>
      <c r="G3125"/>
      <c r="U3125"/>
      <c r="V3125"/>
      <c r="W3125"/>
      <c r="X3125"/>
      <c r="Y3125"/>
      <c r="Z3125"/>
      <c r="AA3125"/>
      <c r="AB3125"/>
      <c r="AL3125"/>
      <c r="AM3125"/>
      <c r="AN3125"/>
      <c r="AO3125"/>
    </row>
    <row r="3126" spans="1:41" s="2" customFormat="1" x14ac:dyDescent="0.2">
      <c r="A3126"/>
      <c r="B3126"/>
      <c r="C3126"/>
      <c r="D3126"/>
      <c r="E3126"/>
      <c r="F3126"/>
      <c r="G3126"/>
      <c r="U3126"/>
      <c r="V3126"/>
      <c r="W3126"/>
      <c r="X3126"/>
      <c r="Y3126"/>
      <c r="Z3126"/>
      <c r="AA3126"/>
      <c r="AB3126"/>
      <c r="AL3126"/>
      <c r="AM3126"/>
      <c r="AN3126"/>
      <c r="AO3126"/>
    </row>
    <row r="3127" spans="1:41" s="2" customFormat="1" x14ac:dyDescent="0.2">
      <c r="A3127"/>
      <c r="B3127"/>
      <c r="C3127"/>
      <c r="D3127"/>
      <c r="E3127"/>
      <c r="F3127"/>
      <c r="G3127"/>
      <c r="U3127"/>
      <c r="V3127"/>
      <c r="W3127"/>
      <c r="X3127"/>
      <c r="Y3127"/>
      <c r="Z3127"/>
      <c r="AA3127"/>
      <c r="AB3127"/>
      <c r="AL3127"/>
      <c r="AM3127"/>
      <c r="AN3127"/>
      <c r="AO3127"/>
    </row>
    <row r="3128" spans="1:41" s="2" customFormat="1" x14ac:dyDescent="0.2">
      <c r="A3128"/>
      <c r="B3128"/>
      <c r="C3128"/>
      <c r="D3128"/>
      <c r="E3128"/>
      <c r="F3128"/>
      <c r="G3128"/>
      <c r="U3128"/>
      <c r="V3128"/>
      <c r="W3128"/>
      <c r="X3128"/>
      <c r="Y3128"/>
      <c r="Z3128"/>
      <c r="AA3128"/>
      <c r="AB3128"/>
      <c r="AL3128"/>
      <c r="AM3128"/>
      <c r="AN3128"/>
      <c r="AO3128"/>
    </row>
    <row r="3129" spans="1:41" s="2" customFormat="1" x14ac:dyDescent="0.2">
      <c r="A3129"/>
      <c r="B3129"/>
      <c r="C3129"/>
      <c r="D3129"/>
      <c r="E3129"/>
      <c r="F3129"/>
      <c r="G3129"/>
      <c r="U3129"/>
      <c r="V3129"/>
      <c r="W3129"/>
      <c r="X3129"/>
      <c r="Y3129"/>
      <c r="Z3129"/>
      <c r="AA3129"/>
      <c r="AB3129"/>
      <c r="AL3129"/>
      <c r="AM3129"/>
      <c r="AN3129"/>
      <c r="AO3129"/>
    </row>
    <row r="3130" spans="1:41" s="2" customFormat="1" x14ac:dyDescent="0.2">
      <c r="A3130"/>
      <c r="B3130"/>
      <c r="C3130"/>
      <c r="D3130"/>
      <c r="E3130"/>
      <c r="F3130"/>
      <c r="G3130"/>
      <c r="U3130"/>
      <c r="V3130"/>
      <c r="W3130"/>
      <c r="X3130"/>
      <c r="Y3130"/>
      <c r="Z3130"/>
      <c r="AA3130"/>
      <c r="AB3130"/>
      <c r="AL3130"/>
      <c r="AM3130"/>
      <c r="AN3130"/>
      <c r="AO3130"/>
    </row>
    <row r="3131" spans="1:41" s="2" customFormat="1" x14ac:dyDescent="0.2">
      <c r="A3131"/>
      <c r="B3131"/>
      <c r="C3131"/>
      <c r="D3131"/>
      <c r="E3131"/>
      <c r="F3131"/>
      <c r="G3131"/>
      <c r="U3131"/>
      <c r="V3131"/>
      <c r="W3131"/>
      <c r="X3131"/>
      <c r="Y3131"/>
      <c r="Z3131"/>
      <c r="AA3131"/>
      <c r="AB3131"/>
      <c r="AL3131"/>
      <c r="AM3131"/>
      <c r="AN3131"/>
      <c r="AO3131"/>
    </row>
    <row r="3132" spans="1:41" s="2" customFormat="1" x14ac:dyDescent="0.2">
      <c r="A3132"/>
      <c r="B3132"/>
      <c r="C3132"/>
      <c r="D3132"/>
      <c r="E3132"/>
      <c r="F3132"/>
      <c r="G3132"/>
      <c r="U3132"/>
      <c r="V3132"/>
      <c r="W3132"/>
      <c r="X3132"/>
      <c r="Y3132"/>
      <c r="Z3132"/>
      <c r="AA3132"/>
      <c r="AB3132"/>
      <c r="AL3132"/>
      <c r="AM3132"/>
      <c r="AN3132"/>
      <c r="AO3132"/>
    </row>
    <row r="3133" spans="1:41" s="2" customFormat="1" x14ac:dyDescent="0.2">
      <c r="A3133"/>
      <c r="B3133"/>
      <c r="C3133"/>
      <c r="D3133"/>
      <c r="E3133"/>
      <c r="F3133"/>
      <c r="G3133"/>
      <c r="U3133"/>
      <c r="V3133"/>
      <c r="W3133"/>
      <c r="X3133"/>
      <c r="Y3133"/>
      <c r="Z3133"/>
      <c r="AA3133"/>
      <c r="AB3133"/>
      <c r="AL3133"/>
      <c r="AM3133"/>
      <c r="AN3133"/>
      <c r="AO3133"/>
    </row>
    <row r="3134" spans="1:41" s="2" customFormat="1" x14ac:dyDescent="0.2">
      <c r="A3134"/>
      <c r="B3134"/>
      <c r="C3134"/>
      <c r="D3134"/>
      <c r="E3134"/>
      <c r="F3134"/>
      <c r="G3134"/>
      <c r="U3134"/>
      <c r="V3134"/>
      <c r="W3134"/>
      <c r="X3134"/>
      <c r="Y3134"/>
      <c r="Z3134"/>
      <c r="AA3134"/>
      <c r="AB3134"/>
      <c r="AL3134"/>
      <c r="AM3134"/>
      <c r="AN3134"/>
      <c r="AO3134"/>
    </row>
    <row r="3135" spans="1:41" s="2" customFormat="1" x14ac:dyDescent="0.2">
      <c r="A3135"/>
      <c r="B3135"/>
      <c r="C3135"/>
      <c r="D3135"/>
      <c r="E3135"/>
      <c r="F3135"/>
      <c r="G3135"/>
      <c r="U3135"/>
      <c r="V3135"/>
      <c r="W3135"/>
      <c r="X3135"/>
      <c r="Y3135"/>
      <c r="Z3135"/>
      <c r="AA3135"/>
      <c r="AB3135"/>
      <c r="AL3135"/>
      <c r="AM3135"/>
      <c r="AN3135"/>
      <c r="AO3135"/>
    </row>
    <row r="3136" spans="1:41" s="2" customFormat="1" x14ac:dyDescent="0.2">
      <c r="A3136"/>
      <c r="B3136"/>
      <c r="C3136"/>
      <c r="D3136"/>
      <c r="E3136"/>
      <c r="F3136"/>
      <c r="G3136"/>
      <c r="U3136"/>
      <c r="V3136"/>
      <c r="W3136"/>
      <c r="X3136"/>
      <c r="Y3136"/>
      <c r="Z3136"/>
      <c r="AA3136"/>
      <c r="AB3136"/>
      <c r="AL3136"/>
      <c r="AM3136"/>
      <c r="AN3136"/>
      <c r="AO3136"/>
    </row>
    <row r="3137" spans="1:41" s="2" customFormat="1" x14ac:dyDescent="0.2">
      <c r="A3137"/>
      <c r="B3137"/>
      <c r="C3137"/>
      <c r="D3137"/>
      <c r="E3137"/>
      <c r="F3137"/>
      <c r="G3137"/>
      <c r="U3137"/>
      <c r="V3137"/>
      <c r="W3137"/>
      <c r="X3137"/>
      <c r="Y3137"/>
      <c r="Z3137"/>
      <c r="AA3137"/>
      <c r="AB3137"/>
      <c r="AL3137"/>
      <c r="AM3137"/>
      <c r="AN3137"/>
      <c r="AO3137"/>
    </row>
    <row r="3138" spans="1:41" s="2" customFormat="1" x14ac:dyDescent="0.2">
      <c r="A3138"/>
      <c r="B3138"/>
      <c r="C3138"/>
      <c r="D3138"/>
      <c r="E3138"/>
      <c r="F3138"/>
      <c r="G3138"/>
      <c r="U3138"/>
      <c r="V3138"/>
      <c r="W3138"/>
      <c r="X3138"/>
      <c r="Y3138"/>
      <c r="Z3138"/>
      <c r="AA3138"/>
      <c r="AB3138"/>
      <c r="AL3138"/>
      <c r="AM3138"/>
      <c r="AN3138"/>
      <c r="AO3138"/>
    </row>
    <row r="3139" spans="1:41" s="2" customFormat="1" x14ac:dyDescent="0.2">
      <c r="A3139"/>
      <c r="B3139"/>
      <c r="C3139"/>
      <c r="D3139"/>
      <c r="E3139"/>
      <c r="F3139"/>
      <c r="G3139"/>
      <c r="U3139"/>
      <c r="V3139"/>
      <c r="W3139"/>
      <c r="X3139"/>
      <c r="Y3139"/>
      <c r="Z3139"/>
      <c r="AA3139"/>
      <c r="AB3139"/>
      <c r="AL3139"/>
      <c r="AM3139"/>
      <c r="AN3139"/>
      <c r="AO3139"/>
    </row>
    <row r="3140" spans="1:41" s="2" customFormat="1" x14ac:dyDescent="0.2">
      <c r="A3140"/>
      <c r="B3140"/>
      <c r="C3140"/>
      <c r="D3140"/>
      <c r="E3140"/>
      <c r="F3140"/>
      <c r="G3140"/>
      <c r="U3140"/>
      <c r="V3140"/>
      <c r="W3140"/>
      <c r="X3140"/>
      <c r="Y3140"/>
      <c r="Z3140"/>
      <c r="AA3140"/>
      <c r="AB3140"/>
      <c r="AL3140"/>
      <c r="AM3140"/>
      <c r="AN3140"/>
      <c r="AO3140"/>
    </row>
    <row r="3141" spans="1:41" s="2" customFormat="1" x14ac:dyDescent="0.2">
      <c r="A3141"/>
      <c r="B3141"/>
      <c r="C3141"/>
      <c r="D3141"/>
      <c r="E3141"/>
      <c r="F3141"/>
      <c r="G3141"/>
      <c r="U3141"/>
      <c r="V3141"/>
      <c r="W3141"/>
      <c r="X3141"/>
      <c r="Y3141"/>
      <c r="Z3141"/>
      <c r="AA3141"/>
      <c r="AB3141"/>
      <c r="AL3141"/>
      <c r="AM3141"/>
      <c r="AN3141"/>
      <c r="AO3141"/>
    </row>
    <row r="3142" spans="1:41" s="2" customFormat="1" x14ac:dyDescent="0.2">
      <c r="A3142"/>
      <c r="B3142"/>
      <c r="C3142"/>
      <c r="D3142"/>
      <c r="E3142"/>
      <c r="F3142"/>
      <c r="G3142"/>
      <c r="U3142"/>
      <c r="V3142"/>
      <c r="W3142"/>
      <c r="X3142"/>
      <c r="Y3142"/>
      <c r="Z3142"/>
      <c r="AA3142"/>
      <c r="AB3142"/>
      <c r="AL3142"/>
      <c r="AM3142"/>
      <c r="AN3142"/>
      <c r="AO3142"/>
    </row>
    <row r="3143" spans="1:41" s="2" customFormat="1" x14ac:dyDescent="0.2">
      <c r="A3143"/>
      <c r="B3143"/>
      <c r="C3143"/>
      <c r="D3143"/>
      <c r="E3143"/>
      <c r="F3143"/>
      <c r="G3143"/>
      <c r="U3143"/>
      <c r="V3143"/>
      <c r="W3143"/>
      <c r="X3143"/>
      <c r="Y3143"/>
      <c r="Z3143"/>
      <c r="AA3143"/>
      <c r="AB3143"/>
      <c r="AL3143"/>
      <c r="AM3143"/>
      <c r="AN3143"/>
      <c r="AO3143"/>
    </row>
    <row r="3144" spans="1:41" s="2" customFormat="1" x14ac:dyDescent="0.2">
      <c r="A3144"/>
      <c r="B3144"/>
      <c r="C3144"/>
      <c r="D3144"/>
      <c r="E3144"/>
      <c r="F3144"/>
      <c r="G3144"/>
      <c r="U3144"/>
      <c r="V3144"/>
      <c r="W3144"/>
      <c r="X3144"/>
      <c r="Y3144"/>
      <c r="Z3144"/>
      <c r="AA3144"/>
      <c r="AB3144"/>
      <c r="AL3144"/>
      <c r="AM3144"/>
      <c r="AN3144"/>
      <c r="AO3144"/>
    </row>
    <row r="3145" spans="1:41" s="2" customFormat="1" x14ac:dyDescent="0.2">
      <c r="A3145"/>
      <c r="B3145"/>
      <c r="C3145"/>
      <c r="D3145"/>
      <c r="E3145"/>
      <c r="F3145"/>
      <c r="G3145"/>
      <c r="U3145"/>
      <c r="V3145"/>
      <c r="W3145"/>
      <c r="X3145"/>
      <c r="Y3145"/>
      <c r="Z3145"/>
      <c r="AA3145"/>
      <c r="AB3145"/>
      <c r="AL3145"/>
      <c r="AM3145"/>
      <c r="AN3145"/>
      <c r="AO3145"/>
    </row>
    <row r="3146" spans="1:41" s="2" customFormat="1" x14ac:dyDescent="0.2">
      <c r="A3146"/>
      <c r="B3146"/>
      <c r="C3146"/>
      <c r="D3146"/>
      <c r="E3146"/>
      <c r="F3146"/>
      <c r="G3146"/>
      <c r="U3146"/>
      <c r="V3146"/>
      <c r="W3146"/>
      <c r="X3146"/>
      <c r="Y3146"/>
      <c r="Z3146"/>
      <c r="AA3146"/>
      <c r="AB3146"/>
      <c r="AL3146"/>
      <c r="AM3146"/>
      <c r="AN3146"/>
      <c r="AO3146"/>
    </row>
    <row r="3147" spans="1:41" s="2" customFormat="1" x14ac:dyDescent="0.2">
      <c r="A3147"/>
      <c r="B3147"/>
      <c r="C3147"/>
      <c r="D3147"/>
      <c r="E3147"/>
      <c r="F3147"/>
      <c r="G3147"/>
      <c r="U3147"/>
      <c r="V3147"/>
      <c r="W3147"/>
      <c r="X3147"/>
      <c r="Y3147"/>
      <c r="Z3147"/>
      <c r="AA3147"/>
      <c r="AB3147"/>
      <c r="AL3147"/>
      <c r="AM3147"/>
      <c r="AN3147"/>
      <c r="AO3147"/>
    </row>
    <row r="3148" spans="1:41" s="2" customFormat="1" x14ac:dyDescent="0.2">
      <c r="A3148"/>
      <c r="B3148"/>
      <c r="C3148"/>
      <c r="D3148"/>
      <c r="E3148"/>
      <c r="F3148"/>
      <c r="G3148"/>
      <c r="U3148"/>
      <c r="V3148"/>
      <c r="W3148"/>
      <c r="X3148"/>
      <c r="Y3148"/>
      <c r="Z3148"/>
      <c r="AA3148"/>
      <c r="AB3148"/>
      <c r="AL3148"/>
      <c r="AM3148"/>
      <c r="AN3148"/>
      <c r="AO3148"/>
    </row>
    <row r="3149" spans="1:41" s="2" customFormat="1" x14ac:dyDescent="0.2">
      <c r="A3149"/>
      <c r="B3149"/>
      <c r="C3149"/>
      <c r="D3149"/>
      <c r="E3149"/>
      <c r="F3149"/>
      <c r="G3149"/>
      <c r="U3149"/>
      <c r="V3149"/>
      <c r="W3149"/>
      <c r="X3149"/>
      <c r="Y3149"/>
      <c r="Z3149"/>
      <c r="AA3149"/>
      <c r="AB3149"/>
      <c r="AL3149"/>
      <c r="AM3149"/>
      <c r="AN3149"/>
      <c r="AO3149"/>
    </row>
    <row r="3150" spans="1:41" s="2" customFormat="1" x14ac:dyDescent="0.2">
      <c r="A3150"/>
      <c r="B3150"/>
      <c r="C3150"/>
      <c r="D3150"/>
      <c r="E3150"/>
      <c r="F3150"/>
      <c r="G3150"/>
      <c r="U3150"/>
      <c r="V3150"/>
      <c r="W3150"/>
      <c r="X3150"/>
      <c r="Y3150"/>
      <c r="Z3150"/>
      <c r="AA3150"/>
      <c r="AB3150"/>
      <c r="AL3150"/>
      <c r="AM3150"/>
      <c r="AN3150"/>
      <c r="AO3150"/>
    </row>
    <row r="3151" spans="1:41" s="2" customFormat="1" x14ac:dyDescent="0.2">
      <c r="A3151"/>
      <c r="B3151"/>
      <c r="C3151"/>
      <c r="D3151"/>
      <c r="E3151"/>
      <c r="F3151"/>
      <c r="G3151"/>
      <c r="U3151"/>
      <c r="V3151"/>
      <c r="W3151"/>
      <c r="X3151"/>
      <c r="Y3151"/>
      <c r="Z3151"/>
      <c r="AA3151"/>
      <c r="AB3151"/>
      <c r="AL3151"/>
      <c r="AM3151"/>
      <c r="AN3151"/>
      <c r="AO3151"/>
    </row>
    <row r="3152" spans="1:41" s="2" customFormat="1" x14ac:dyDescent="0.2">
      <c r="A3152"/>
      <c r="B3152"/>
      <c r="C3152"/>
      <c r="D3152"/>
      <c r="E3152"/>
      <c r="F3152"/>
      <c r="G3152"/>
      <c r="U3152"/>
      <c r="V3152"/>
      <c r="W3152"/>
      <c r="X3152"/>
      <c r="Y3152"/>
      <c r="Z3152"/>
      <c r="AA3152"/>
      <c r="AB3152"/>
      <c r="AL3152"/>
      <c r="AM3152"/>
      <c r="AN3152"/>
      <c r="AO3152"/>
    </row>
    <row r="3153" spans="1:41" s="2" customFormat="1" x14ac:dyDescent="0.2">
      <c r="A3153"/>
      <c r="B3153"/>
      <c r="C3153"/>
      <c r="D3153"/>
      <c r="E3153"/>
      <c r="F3153"/>
      <c r="G3153"/>
      <c r="U3153"/>
      <c r="V3153"/>
      <c r="W3153"/>
      <c r="X3153"/>
      <c r="Y3153"/>
      <c r="Z3153"/>
      <c r="AA3153"/>
      <c r="AB3153"/>
      <c r="AL3153"/>
      <c r="AM3153"/>
      <c r="AN3153"/>
      <c r="AO3153"/>
    </row>
    <row r="3154" spans="1:41" s="2" customFormat="1" x14ac:dyDescent="0.2">
      <c r="A3154"/>
      <c r="B3154"/>
      <c r="C3154"/>
      <c r="D3154"/>
      <c r="E3154"/>
      <c r="F3154"/>
      <c r="G3154"/>
      <c r="U3154"/>
      <c r="V3154"/>
      <c r="W3154"/>
      <c r="X3154"/>
      <c r="Y3154"/>
      <c r="Z3154"/>
      <c r="AA3154"/>
      <c r="AB3154"/>
      <c r="AL3154"/>
      <c r="AM3154"/>
      <c r="AN3154"/>
      <c r="AO3154"/>
    </row>
    <row r="3155" spans="1:41" s="2" customFormat="1" x14ac:dyDescent="0.2">
      <c r="A3155"/>
      <c r="B3155"/>
      <c r="C3155"/>
      <c r="D3155"/>
      <c r="E3155"/>
      <c r="F3155"/>
      <c r="G3155"/>
      <c r="U3155"/>
      <c r="V3155"/>
      <c r="W3155"/>
      <c r="X3155"/>
      <c r="Y3155"/>
      <c r="Z3155"/>
      <c r="AA3155"/>
      <c r="AB3155"/>
      <c r="AL3155"/>
      <c r="AM3155"/>
      <c r="AN3155"/>
      <c r="AO3155"/>
    </row>
    <row r="3156" spans="1:41" s="2" customFormat="1" x14ac:dyDescent="0.2">
      <c r="A3156"/>
      <c r="B3156"/>
      <c r="C3156"/>
      <c r="D3156"/>
      <c r="E3156"/>
      <c r="F3156"/>
      <c r="G3156"/>
      <c r="U3156"/>
      <c r="V3156"/>
      <c r="W3156"/>
      <c r="X3156"/>
      <c r="Y3156"/>
      <c r="Z3156"/>
      <c r="AA3156"/>
      <c r="AB3156"/>
      <c r="AL3156"/>
      <c r="AM3156"/>
      <c r="AN3156"/>
      <c r="AO3156"/>
    </row>
    <row r="3157" spans="1:41" s="2" customFormat="1" x14ac:dyDescent="0.2">
      <c r="A3157"/>
      <c r="B3157"/>
      <c r="C3157"/>
      <c r="D3157"/>
      <c r="E3157"/>
      <c r="F3157"/>
      <c r="G3157"/>
      <c r="U3157"/>
      <c r="V3157"/>
      <c r="W3157"/>
      <c r="X3157"/>
      <c r="Y3157"/>
      <c r="Z3157"/>
      <c r="AA3157"/>
      <c r="AB3157"/>
      <c r="AL3157"/>
      <c r="AM3157"/>
      <c r="AN3157"/>
      <c r="AO3157"/>
    </row>
    <row r="3158" spans="1:41" s="2" customFormat="1" x14ac:dyDescent="0.2">
      <c r="A3158"/>
      <c r="B3158"/>
      <c r="C3158"/>
      <c r="D3158"/>
      <c r="E3158"/>
      <c r="F3158"/>
      <c r="G3158"/>
      <c r="U3158"/>
      <c r="V3158"/>
      <c r="W3158"/>
      <c r="X3158"/>
      <c r="Y3158"/>
      <c r="Z3158"/>
      <c r="AA3158"/>
      <c r="AB3158"/>
      <c r="AL3158"/>
      <c r="AM3158"/>
      <c r="AN3158"/>
      <c r="AO3158"/>
    </row>
    <row r="3159" spans="1:41" s="2" customFormat="1" x14ac:dyDescent="0.2">
      <c r="A3159"/>
      <c r="B3159"/>
      <c r="C3159"/>
      <c r="D3159"/>
      <c r="E3159"/>
      <c r="F3159"/>
      <c r="G3159"/>
      <c r="U3159"/>
      <c r="V3159"/>
      <c r="W3159"/>
      <c r="X3159"/>
      <c r="Y3159"/>
      <c r="Z3159"/>
      <c r="AA3159"/>
      <c r="AB3159"/>
      <c r="AL3159"/>
      <c r="AM3159"/>
      <c r="AN3159"/>
      <c r="AO3159"/>
    </row>
    <row r="3160" spans="1:41" s="2" customFormat="1" x14ac:dyDescent="0.2">
      <c r="A3160"/>
      <c r="B3160"/>
      <c r="C3160"/>
      <c r="D3160"/>
      <c r="E3160"/>
      <c r="F3160"/>
      <c r="G3160"/>
      <c r="U3160"/>
      <c r="V3160"/>
      <c r="W3160"/>
      <c r="X3160"/>
      <c r="Y3160"/>
      <c r="Z3160"/>
      <c r="AA3160"/>
      <c r="AB3160"/>
      <c r="AL3160"/>
      <c r="AM3160"/>
      <c r="AN3160"/>
      <c r="AO3160"/>
    </row>
    <row r="3161" spans="1:41" s="2" customFormat="1" x14ac:dyDescent="0.2">
      <c r="A3161"/>
      <c r="B3161"/>
      <c r="C3161"/>
      <c r="D3161"/>
      <c r="E3161"/>
      <c r="F3161"/>
      <c r="G3161"/>
      <c r="U3161"/>
      <c r="V3161"/>
      <c r="W3161"/>
      <c r="X3161"/>
      <c r="Y3161"/>
      <c r="Z3161"/>
      <c r="AA3161"/>
      <c r="AB3161"/>
      <c r="AL3161"/>
      <c r="AM3161"/>
      <c r="AN3161"/>
      <c r="AO3161"/>
    </row>
    <row r="3162" spans="1:41" s="2" customFormat="1" x14ac:dyDescent="0.2">
      <c r="A3162"/>
      <c r="B3162"/>
      <c r="C3162"/>
      <c r="D3162"/>
      <c r="E3162"/>
      <c r="F3162"/>
      <c r="G3162"/>
      <c r="U3162"/>
      <c r="V3162"/>
      <c r="W3162"/>
      <c r="X3162"/>
      <c r="Y3162"/>
      <c r="Z3162"/>
      <c r="AA3162"/>
      <c r="AB3162"/>
      <c r="AL3162"/>
      <c r="AM3162"/>
      <c r="AN3162"/>
      <c r="AO3162"/>
    </row>
    <row r="3163" spans="1:41" s="2" customFormat="1" x14ac:dyDescent="0.2">
      <c r="A3163"/>
      <c r="B3163"/>
      <c r="C3163"/>
      <c r="D3163"/>
      <c r="E3163"/>
      <c r="F3163"/>
      <c r="G3163"/>
      <c r="U3163"/>
      <c r="V3163"/>
      <c r="W3163"/>
      <c r="X3163"/>
      <c r="Y3163"/>
      <c r="Z3163"/>
      <c r="AA3163"/>
      <c r="AB3163"/>
      <c r="AL3163"/>
      <c r="AM3163"/>
      <c r="AN3163"/>
      <c r="AO3163"/>
    </row>
    <row r="3164" spans="1:41" s="2" customFormat="1" x14ac:dyDescent="0.2">
      <c r="A3164"/>
      <c r="B3164"/>
      <c r="C3164"/>
      <c r="D3164"/>
      <c r="E3164"/>
      <c r="F3164"/>
      <c r="G3164"/>
      <c r="U3164"/>
      <c r="V3164"/>
      <c r="W3164"/>
      <c r="X3164"/>
      <c r="Y3164"/>
      <c r="Z3164"/>
      <c r="AA3164"/>
      <c r="AB3164"/>
      <c r="AL3164"/>
      <c r="AM3164"/>
      <c r="AN3164"/>
      <c r="AO3164"/>
    </row>
    <row r="3165" spans="1:41" s="2" customFormat="1" x14ac:dyDescent="0.2">
      <c r="A3165"/>
      <c r="B3165"/>
      <c r="C3165"/>
      <c r="D3165"/>
      <c r="E3165"/>
      <c r="F3165"/>
      <c r="G3165"/>
      <c r="U3165"/>
      <c r="V3165"/>
      <c r="W3165"/>
      <c r="X3165"/>
      <c r="Y3165"/>
      <c r="Z3165"/>
      <c r="AA3165"/>
      <c r="AB3165"/>
      <c r="AL3165"/>
      <c r="AM3165"/>
      <c r="AN3165"/>
      <c r="AO3165"/>
    </row>
    <row r="3166" spans="1:41" s="2" customFormat="1" x14ac:dyDescent="0.2">
      <c r="A3166"/>
      <c r="B3166"/>
      <c r="C3166"/>
      <c r="D3166"/>
      <c r="E3166"/>
      <c r="F3166"/>
      <c r="G3166"/>
      <c r="U3166"/>
      <c r="V3166"/>
      <c r="W3166"/>
      <c r="X3166"/>
      <c r="Y3166"/>
      <c r="Z3166"/>
      <c r="AA3166"/>
      <c r="AB3166"/>
      <c r="AL3166"/>
      <c r="AM3166"/>
      <c r="AN3166"/>
      <c r="AO3166"/>
    </row>
    <row r="3167" spans="1:41" s="2" customFormat="1" x14ac:dyDescent="0.2">
      <c r="A3167"/>
      <c r="B3167"/>
      <c r="C3167"/>
      <c r="D3167"/>
      <c r="E3167"/>
      <c r="F3167"/>
      <c r="G3167"/>
      <c r="U3167"/>
      <c r="V3167"/>
      <c r="W3167"/>
      <c r="X3167"/>
      <c r="Y3167"/>
      <c r="Z3167"/>
      <c r="AA3167"/>
      <c r="AB3167"/>
      <c r="AL3167"/>
      <c r="AM3167"/>
      <c r="AN3167"/>
      <c r="AO3167"/>
    </row>
    <row r="3168" spans="1:41" s="2" customFormat="1" x14ac:dyDescent="0.2">
      <c r="A3168"/>
      <c r="B3168"/>
      <c r="C3168"/>
      <c r="D3168"/>
      <c r="E3168"/>
      <c r="F3168"/>
      <c r="G3168"/>
      <c r="U3168"/>
      <c r="V3168"/>
      <c r="W3168"/>
      <c r="X3168"/>
      <c r="Y3168"/>
      <c r="Z3168"/>
      <c r="AA3168"/>
      <c r="AB3168"/>
      <c r="AL3168"/>
      <c r="AM3168"/>
      <c r="AN3168"/>
      <c r="AO3168"/>
    </row>
    <row r="3169" spans="1:41" s="2" customFormat="1" x14ac:dyDescent="0.2">
      <c r="A3169"/>
      <c r="B3169"/>
      <c r="C3169"/>
      <c r="D3169"/>
      <c r="E3169"/>
      <c r="F3169"/>
      <c r="G3169"/>
      <c r="U3169"/>
      <c r="V3169"/>
      <c r="W3169"/>
      <c r="X3169"/>
      <c r="Y3169"/>
      <c r="Z3169"/>
      <c r="AA3169"/>
      <c r="AB3169"/>
      <c r="AL3169"/>
      <c r="AM3169"/>
      <c r="AN3169"/>
      <c r="AO3169"/>
    </row>
    <row r="3170" spans="1:41" s="2" customFormat="1" x14ac:dyDescent="0.2">
      <c r="A3170"/>
      <c r="B3170"/>
      <c r="C3170"/>
      <c r="D3170"/>
      <c r="E3170"/>
      <c r="F3170"/>
      <c r="G3170"/>
      <c r="U3170"/>
      <c r="V3170"/>
      <c r="W3170"/>
      <c r="X3170"/>
      <c r="Y3170"/>
      <c r="Z3170"/>
      <c r="AA3170"/>
      <c r="AB3170"/>
      <c r="AL3170"/>
      <c r="AM3170"/>
      <c r="AN3170"/>
      <c r="AO3170"/>
    </row>
    <row r="3171" spans="1:41" s="2" customFormat="1" x14ac:dyDescent="0.2">
      <c r="A3171"/>
      <c r="B3171"/>
      <c r="C3171"/>
      <c r="D3171"/>
      <c r="E3171"/>
      <c r="F3171"/>
      <c r="G3171"/>
      <c r="U3171"/>
      <c r="V3171"/>
      <c r="W3171"/>
      <c r="X3171"/>
      <c r="Y3171"/>
      <c r="Z3171"/>
      <c r="AA3171"/>
      <c r="AB3171"/>
      <c r="AL3171"/>
      <c r="AM3171"/>
      <c r="AN3171"/>
      <c r="AO3171"/>
    </row>
    <row r="3172" spans="1:41" s="2" customFormat="1" x14ac:dyDescent="0.2">
      <c r="A3172"/>
      <c r="B3172"/>
      <c r="C3172"/>
      <c r="D3172"/>
      <c r="E3172"/>
      <c r="F3172"/>
      <c r="G3172"/>
      <c r="U3172"/>
      <c r="V3172"/>
      <c r="W3172"/>
      <c r="X3172"/>
      <c r="Y3172"/>
      <c r="Z3172"/>
      <c r="AA3172"/>
      <c r="AB3172"/>
      <c r="AL3172"/>
      <c r="AM3172"/>
      <c r="AN3172"/>
      <c r="AO3172"/>
    </row>
    <row r="3173" spans="1:41" s="2" customFormat="1" x14ac:dyDescent="0.2">
      <c r="A3173"/>
      <c r="B3173"/>
      <c r="C3173"/>
      <c r="D3173"/>
      <c r="E3173"/>
      <c r="F3173"/>
      <c r="G3173"/>
      <c r="U3173"/>
      <c r="V3173"/>
      <c r="W3173"/>
      <c r="X3173"/>
      <c r="Y3173"/>
      <c r="Z3173"/>
      <c r="AA3173"/>
      <c r="AB3173"/>
      <c r="AL3173"/>
      <c r="AM3173"/>
      <c r="AN3173"/>
      <c r="AO3173"/>
    </row>
    <row r="3174" spans="1:41" s="2" customFormat="1" x14ac:dyDescent="0.2">
      <c r="A3174"/>
      <c r="B3174"/>
      <c r="C3174"/>
      <c r="D3174"/>
      <c r="E3174"/>
      <c r="F3174"/>
      <c r="G3174"/>
      <c r="U3174"/>
      <c r="V3174"/>
      <c r="W3174"/>
      <c r="X3174"/>
      <c r="Y3174"/>
      <c r="Z3174"/>
      <c r="AA3174"/>
      <c r="AB3174"/>
      <c r="AL3174"/>
      <c r="AM3174"/>
      <c r="AN3174"/>
      <c r="AO3174"/>
    </row>
    <row r="3175" spans="1:41" s="2" customFormat="1" x14ac:dyDescent="0.2">
      <c r="A3175"/>
      <c r="B3175"/>
      <c r="C3175"/>
      <c r="D3175"/>
      <c r="E3175"/>
      <c r="F3175"/>
      <c r="G3175"/>
      <c r="U3175"/>
      <c r="V3175"/>
      <c r="W3175"/>
      <c r="X3175"/>
      <c r="Y3175"/>
      <c r="Z3175"/>
      <c r="AA3175"/>
      <c r="AB3175"/>
      <c r="AL3175"/>
      <c r="AM3175"/>
      <c r="AN3175"/>
      <c r="AO3175"/>
    </row>
    <row r="3176" spans="1:41" s="2" customFormat="1" x14ac:dyDescent="0.2">
      <c r="A3176"/>
      <c r="B3176"/>
      <c r="C3176"/>
      <c r="D3176"/>
      <c r="E3176"/>
      <c r="F3176"/>
      <c r="G3176"/>
      <c r="U3176"/>
      <c r="V3176"/>
      <c r="W3176"/>
      <c r="X3176"/>
      <c r="Y3176"/>
      <c r="Z3176"/>
      <c r="AA3176"/>
      <c r="AB3176"/>
      <c r="AL3176"/>
      <c r="AM3176"/>
      <c r="AN3176"/>
      <c r="AO3176"/>
    </row>
    <row r="3177" spans="1:41" s="2" customFormat="1" x14ac:dyDescent="0.2">
      <c r="A3177"/>
      <c r="B3177"/>
      <c r="C3177"/>
      <c r="D3177"/>
      <c r="E3177"/>
      <c r="F3177"/>
      <c r="G3177"/>
      <c r="U3177"/>
      <c r="V3177"/>
      <c r="W3177"/>
      <c r="X3177"/>
      <c r="Y3177"/>
      <c r="Z3177"/>
      <c r="AA3177"/>
      <c r="AB3177"/>
      <c r="AL3177"/>
      <c r="AM3177"/>
      <c r="AN3177"/>
      <c r="AO3177"/>
    </row>
    <row r="3178" spans="1:41" s="2" customFormat="1" x14ac:dyDescent="0.2">
      <c r="A3178"/>
      <c r="B3178"/>
      <c r="C3178"/>
      <c r="D3178"/>
      <c r="E3178"/>
      <c r="F3178"/>
      <c r="G3178"/>
      <c r="U3178"/>
      <c r="V3178"/>
      <c r="W3178"/>
      <c r="X3178"/>
      <c r="Y3178"/>
      <c r="Z3178"/>
      <c r="AA3178"/>
      <c r="AB3178"/>
      <c r="AL3178"/>
      <c r="AM3178"/>
      <c r="AN3178"/>
      <c r="AO3178"/>
    </row>
    <row r="3179" spans="1:41" s="2" customFormat="1" x14ac:dyDescent="0.2">
      <c r="A3179"/>
      <c r="B3179"/>
      <c r="C3179"/>
      <c r="D3179"/>
      <c r="E3179"/>
      <c r="F3179"/>
      <c r="G3179"/>
      <c r="U3179"/>
      <c r="V3179"/>
      <c r="W3179"/>
      <c r="X3179"/>
      <c r="Y3179"/>
      <c r="Z3179"/>
      <c r="AA3179"/>
      <c r="AB3179"/>
      <c r="AL3179"/>
      <c r="AM3179"/>
      <c r="AN3179"/>
      <c r="AO3179"/>
    </row>
    <row r="3180" spans="1:41" s="2" customFormat="1" x14ac:dyDescent="0.2">
      <c r="A3180"/>
      <c r="B3180"/>
      <c r="C3180"/>
      <c r="D3180"/>
      <c r="E3180"/>
      <c r="F3180"/>
      <c r="G3180"/>
      <c r="U3180"/>
      <c r="V3180"/>
      <c r="W3180"/>
      <c r="X3180"/>
      <c r="Y3180"/>
      <c r="Z3180"/>
      <c r="AA3180"/>
      <c r="AB3180"/>
      <c r="AL3180"/>
      <c r="AM3180"/>
      <c r="AN3180"/>
      <c r="AO3180"/>
    </row>
    <row r="3181" spans="1:41" s="2" customFormat="1" x14ac:dyDescent="0.2">
      <c r="A3181"/>
      <c r="B3181"/>
      <c r="C3181"/>
      <c r="D3181"/>
      <c r="E3181"/>
      <c r="F3181"/>
      <c r="G3181"/>
      <c r="U3181"/>
      <c r="V3181"/>
      <c r="W3181"/>
      <c r="X3181"/>
      <c r="Y3181"/>
      <c r="Z3181"/>
      <c r="AA3181"/>
      <c r="AB3181"/>
      <c r="AL3181"/>
      <c r="AM3181"/>
      <c r="AN3181"/>
      <c r="AO3181"/>
    </row>
    <row r="3182" spans="1:41" s="2" customFormat="1" x14ac:dyDescent="0.2">
      <c r="A3182"/>
      <c r="B3182"/>
      <c r="C3182"/>
      <c r="D3182"/>
      <c r="E3182"/>
      <c r="F3182"/>
      <c r="G3182"/>
      <c r="U3182"/>
      <c r="V3182"/>
      <c r="W3182"/>
      <c r="X3182"/>
      <c r="Y3182"/>
      <c r="Z3182"/>
      <c r="AA3182"/>
      <c r="AB3182"/>
      <c r="AL3182"/>
      <c r="AM3182"/>
      <c r="AN3182"/>
      <c r="AO3182"/>
    </row>
    <row r="3183" spans="1:41" s="2" customFormat="1" x14ac:dyDescent="0.2">
      <c r="A3183"/>
      <c r="B3183"/>
      <c r="C3183"/>
      <c r="D3183"/>
      <c r="E3183"/>
      <c r="F3183"/>
      <c r="G3183"/>
      <c r="U3183"/>
      <c r="V3183"/>
      <c r="W3183"/>
      <c r="X3183"/>
      <c r="Y3183"/>
      <c r="Z3183"/>
      <c r="AA3183"/>
      <c r="AB3183"/>
      <c r="AL3183"/>
      <c r="AM3183"/>
      <c r="AN3183"/>
      <c r="AO3183"/>
    </row>
    <row r="3184" spans="1:41" s="2" customFormat="1" x14ac:dyDescent="0.2">
      <c r="A3184"/>
      <c r="B3184"/>
      <c r="C3184"/>
      <c r="D3184"/>
      <c r="E3184"/>
      <c r="F3184"/>
      <c r="G3184"/>
      <c r="U3184"/>
      <c r="V3184"/>
      <c r="W3184"/>
      <c r="X3184"/>
      <c r="Y3184"/>
      <c r="Z3184"/>
      <c r="AA3184"/>
      <c r="AB3184"/>
      <c r="AL3184"/>
      <c r="AM3184"/>
      <c r="AN3184"/>
      <c r="AO3184"/>
    </row>
    <row r="3185" spans="1:41" s="2" customFormat="1" x14ac:dyDescent="0.2">
      <c r="A3185"/>
      <c r="B3185"/>
      <c r="C3185"/>
      <c r="D3185"/>
      <c r="E3185"/>
      <c r="F3185"/>
      <c r="G3185"/>
      <c r="U3185"/>
      <c r="V3185"/>
      <c r="W3185"/>
      <c r="X3185"/>
      <c r="Y3185"/>
      <c r="Z3185"/>
      <c r="AA3185"/>
      <c r="AB3185"/>
      <c r="AL3185"/>
      <c r="AM3185"/>
      <c r="AN3185"/>
      <c r="AO3185"/>
    </row>
    <row r="3186" spans="1:41" s="2" customFormat="1" x14ac:dyDescent="0.2">
      <c r="A3186"/>
      <c r="B3186"/>
      <c r="C3186"/>
      <c r="D3186"/>
      <c r="E3186"/>
      <c r="F3186"/>
      <c r="G3186"/>
      <c r="U3186"/>
      <c r="V3186"/>
      <c r="W3186"/>
      <c r="X3186"/>
      <c r="Y3186"/>
      <c r="Z3186"/>
      <c r="AA3186"/>
      <c r="AB3186"/>
      <c r="AL3186"/>
      <c r="AM3186"/>
      <c r="AN3186"/>
      <c r="AO3186"/>
    </row>
    <row r="3187" spans="1:41" s="2" customFormat="1" x14ac:dyDescent="0.2">
      <c r="A3187"/>
      <c r="B3187"/>
      <c r="C3187"/>
      <c r="D3187"/>
      <c r="E3187"/>
      <c r="F3187"/>
      <c r="G3187"/>
      <c r="U3187"/>
      <c r="V3187"/>
      <c r="W3187"/>
      <c r="X3187"/>
      <c r="Y3187"/>
      <c r="Z3187"/>
      <c r="AA3187"/>
      <c r="AB3187"/>
      <c r="AL3187"/>
      <c r="AM3187"/>
      <c r="AN3187"/>
      <c r="AO3187"/>
    </row>
    <row r="3188" spans="1:41" s="2" customFormat="1" x14ac:dyDescent="0.2">
      <c r="A3188"/>
      <c r="B3188"/>
      <c r="C3188"/>
      <c r="D3188"/>
      <c r="E3188"/>
      <c r="F3188"/>
      <c r="G3188"/>
      <c r="U3188"/>
      <c r="V3188"/>
      <c r="W3188"/>
      <c r="X3188"/>
      <c r="Y3188"/>
      <c r="Z3188"/>
      <c r="AA3188"/>
      <c r="AB3188"/>
      <c r="AL3188"/>
      <c r="AM3188"/>
      <c r="AN3188"/>
      <c r="AO3188"/>
    </row>
    <row r="3189" spans="1:41" s="2" customFormat="1" x14ac:dyDescent="0.2">
      <c r="A3189"/>
      <c r="B3189"/>
      <c r="C3189"/>
      <c r="D3189"/>
      <c r="E3189"/>
      <c r="F3189"/>
      <c r="G3189"/>
      <c r="U3189"/>
      <c r="V3189"/>
      <c r="W3189"/>
      <c r="X3189"/>
      <c r="Y3189"/>
      <c r="Z3189"/>
      <c r="AA3189"/>
      <c r="AB3189"/>
      <c r="AL3189"/>
      <c r="AM3189"/>
      <c r="AN3189"/>
      <c r="AO3189"/>
    </row>
    <row r="3190" spans="1:41" s="2" customFormat="1" x14ac:dyDescent="0.2">
      <c r="A3190"/>
      <c r="B3190"/>
      <c r="C3190"/>
      <c r="D3190"/>
      <c r="E3190"/>
      <c r="F3190"/>
      <c r="G3190"/>
      <c r="U3190"/>
      <c r="V3190"/>
      <c r="W3190"/>
      <c r="X3190"/>
      <c r="Y3190"/>
      <c r="Z3190"/>
      <c r="AA3190"/>
      <c r="AB3190"/>
      <c r="AL3190"/>
      <c r="AM3190"/>
      <c r="AN3190"/>
      <c r="AO3190"/>
    </row>
    <row r="3191" spans="1:41" s="2" customFormat="1" x14ac:dyDescent="0.2">
      <c r="A3191"/>
      <c r="B3191"/>
      <c r="C3191"/>
      <c r="D3191"/>
      <c r="E3191"/>
      <c r="F3191"/>
      <c r="G3191"/>
      <c r="U3191"/>
      <c r="V3191"/>
      <c r="W3191"/>
      <c r="X3191"/>
      <c r="Y3191"/>
      <c r="Z3191"/>
      <c r="AA3191"/>
      <c r="AB3191"/>
      <c r="AL3191"/>
      <c r="AM3191"/>
      <c r="AN3191"/>
      <c r="AO3191"/>
    </row>
    <row r="3192" spans="1:41" s="2" customFormat="1" x14ac:dyDescent="0.2">
      <c r="A3192"/>
      <c r="B3192"/>
      <c r="C3192"/>
      <c r="D3192"/>
      <c r="E3192"/>
      <c r="F3192"/>
      <c r="G3192"/>
      <c r="U3192"/>
      <c r="V3192"/>
      <c r="W3192"/>
      <c r="X3192"/>
      <c r="Y3192"/>
      <c r="Z3192"/>
      <c r="AA3192"/>
      <c r="AB3192"/>
      <c r="AL3192"/>
      <c r="AM3192"/>
      <c r="AN3192"/>
      <c r="AO3192"/>
    </row>
    <row r="3193" spans="1:41" s="2" customFormat="1" x14ac:dyDescent="0.2">
      <c r="A3193"/>
      <c r="B3193"/>
      <c r="C3193"/>
      <c r="D3193"/>
      <c r="E3193"/>
      <c r="F3193"/>
      <c r="G3193"/>
      <c r="U3193"/>
      <c r="V3193"/>
      <c r="W3193"/>
      <c r="X3193"/>
      <c r="Y3193"/>
      <c r="Z3193"/>
      <c r="AA3193"/>
      <c r="AB3193"/>
      <c r="AL3193"/>
      <c r="AM3193"/>
      <c r="AN3193"/>
      <c r="AO3193"/>
    </row>
    <row r="3194" spans="1:41" s="2" customFormat="1" x14ac:dyDescent="0.2">
      <c r="A3194"/>
      <c r="B3194"/>
      <c r="C3194"/>
      <c r="D3194"/>
      <c r="E3194"/>
      <c r="F3194"/>
      <c r="G3194"/>
      <c r="U3194"/>
      <c r="V3194"/>
      <c r="W3194"/>
      <c r="X3194"/>
      <c r="Y3194"/>
      <c r="Z3194"/>
      <c r="AA3194"/>
      <c r="AB3194"/>
      <c r="AL3194"/>
      <c r="AM3194"/>
      <c r="AN3194"/>
      <c r="AO3194"/>
    </row>
    <row r="3195" spans="1:41" s="2" customFormat="1" x14ac:dyDescent="0.2">
      <c r="A3195"/>
      <c r="B3195"/>
      <c r="C3195"/>
      <c r="D3195"/>
      <c r="E3195"/>
      <c r="F3195"/>
      <c r="G3195"/>
      <c r="U3195"/>
      <c r="V3195"/>
      <c r="W3195"/>
      <c r="X3195"/>
      <c r="Y3195"/>
      <c r="Z3195"/>
      <c r="AA3195"/>
      <c r="AB3195"/>
      <c r="AL3195"/>
      <c r="AM3195"/>
      <c r="AN3195"/>
      <c r="AO3195"/>
    </row>
    <row r="3196" spans="1:41" s="2" customFormat="1" x14ac:dyDescent="0.2">
      <c r="A3196"/>
      <c r="B3196"/>
      <c r="C3196"/>
      <c r="D3196"/>
      <c r="E3196"/>
      <c r="F3196"/>
      <c r="G3196"/>
      <c r="U3196"/>
      <c r="V3196"/>
      <c r="W3196"/>
      <c r="X3196"/>
      <c r="Y3196"/>
      <c r="Z3196"/>
      <c r="AA3196"/>
      <c r="AB3196"/>
      <c r="AL3196"/>
      <c r="AM3196"/>
      <c r="AN3196"/>
      <c r="AO3196"/>
    </row>
    <row r="3197" spans="1:41" s="2" customFormat="1" x14ac:dyDescent="0.2">
      <c r="A3197"/>
      <c r="B3197"/>
      <c r="C3197"/>
      <c r="D3197"/>
      <c r="E3197"/>
      <c r="F3197"/>
      <c r="G3197"/>
      <c r="U3197"/>
      <c r="V3197"/>
      <c r="W3197"/>
      <c r="X3197"/>
      <c r="Y3197"/>
      <c r="Z3197"/>
      <c r="AA3197"/>
      <c r="AB3197"/>
      <c r="AL3197"/>
      <c r="AM3197"/>
      <c r="AN3197"/>
      <c r="AO3197"/>
    </row>
    <row r="3198" spans="1:41" s="2" customFormat="1" x14ac:dyDescent="0.2">
      <c r="A3198"/>
      <c r="B3198"/>
      <c r="C3198"/>
      <c r="D3198"/>
      <c r="E3198"/>
      <c r="F3198"/>
      <c r="G3198"/>
      <c r="U3198"/>
      <c r="V3198"/>
      <c r="W3198"/>
      <c r="X3198"/>
      <c r="Y3198"/>
      <c r="Z3198"/>
      <c r="AA3198"/>
      <c r="AB3198"/>
      <c r="AL3198"/>
      <c r="AM3198"/>
      <c r="AN3198"/>
      <c r="AO3198"/>
    </row>
    <row r="3199" spans="1:41" s="2" customFormat="1" x14ac:dyDescent="0.2">
      <c r="A3199"/>
      <c r="B3199"/>
      <c r="C3199"/>
      <c r="D3199"/>
      <c r="E3199"/>
      <c r="F3199"/>
      <c r="G3199"/>
      <c r="U3199"/>
      <c r="V3199"/>
      <c r="W3199"/>
      <c r="X3199"/>
      <c r="Y3199"/>
      <c r="Z3199"/>
      <c r="AA3199"/>
      <c r="AB3199"/>
      <c r="AL3199"/>
      <c r="AM3199"/>
      <c r="AN3199"/>
      <c r="AO3199"/>
    </row>
    <row r="3200" spans="1:41" s="2" customFormat="1" x14ac:dyDescent="0.2">
      <c r="A3200"/>
      <c r="B3200"/>
      <c r="C3200"/>
      <c r="D3200"/>
      <c r="E3200"/>
      <c r="F3200"/>
      <c r="G3200"/>
      <c r="U3200"/>
      <c r="V3200"/>
      <c r="W3200"/>
      <c r="X3200"/>
      <c r="Y3200"/>
      <c r="Z3200"/>
      <c r="AA3200"/>
      <c r="AB3200"/>
      <c r="AL3200"/>
      <c r="AM3200"/>
      <c r="AN3200"/>
      <c r="AO3200"/>
    </row>
    <row r="3201" spans="1:41" s="2" customFormat="1" x14ac:dyDescent="0.2">
      <c r="A3201"/>
      <c r="B3201"/>
      <c r="C3201"/>
      <c r="D3201"/>
      <c r="E3201"/>
      <c r="F3201"/>
      <c r="G3201"/>
      <c r="U3201"/>
      <c r="V3201"/>
      <c r="W3201"/>
      <c r="X3201"/>
      <c r="Y3201"/>
      <c r="Z3201"/>
      <c r="AA3201"/>
      <c r="AB3201"/>
      <c r="AL3201"/>
      <c r="AM3201"/>
      <c r="AN3201"/>
      <c r="AO3201"/>
    </row>
    <row r="3202" spans="1:41" s="2" customFormat="1" x14ac:dyDescent="0.2">
      <c r="A3202"/>
      <c r="B3202"/>
      <c r="C3202"/>
      <c r="D3202"/>
      <c r="E3202"/>
      <c r="F3202"/>
      <c r="G3202"/>
      <c r="U3202"/>
      <c r="V3202"/>
      <c r="W3202"/>
      <c r="X3202"/>
      <c r="Y3202"/>
      <c r="Z3202"/>
      <c r="AA3202"/>
      <c r="AB3202"/>
      <c r="AL3202"/>
      <c r="AM3202"/>
      <c r="AN3202"/>
      <c r="AO3202"/>
    </row>
    <row r="3203" spans="1:41" s="2" customFormat="1" x14ac:dyDescent="0.2">
      <c r="A3203"/>
      <c r="B3203"/>
      <c r="C3203"/>
      <c r="D3203"/>
      <c r="E3203"/>
      <c r="F3203"/>
      <c r="G3203"/>
      <c r="U3203"/>
      <c r="V3203"/>
      <c r="W3203"/>
      <c r="X3203"/>
      <c r="Y3203"/>
      <c r="Z3203"/>
      <c r="AA3203"/>
      <c r="AB3203"/>
      <c r="AL3203"/>
      <c r="AM3203"/>
      <c r="AN3203"/>
      <c r="AO3203"/>
    </row>
    <row r="3204" spans="1:41" s="2" customFormat="1" x14ac:dyDescent="0.2">
      <c r="A3204"/>
      <c r="B3204"/>
      <c r="C3204"/>
      <c r="D3204"/>
      <c r="E3204"/>
      <c r="F3204"/>
      <c r="G3204"/>
      <c r="U3204"/>
      <c r="V3204"/>
      <c r="W3204"/>
      <c r="X3204"/>
      <c r="Y3204"/>
      <c r="Z3204"/>
      <c r="AA3204"/>
      <c r="AB3204"/>
      <c r="AL3204"/>
      <c r="AM3204"/>
      <c r="AN3204"/>
      <c r="AO3204"/>
    </row>
    <row r="3205" spans="1:41" s="2" customFormat="1" x14ac:dyDescent="0.2">
      <c r="A3205"/>
      <c r="B3205"/>
      <c r="C3205"/>
      <c r="D3205"/>
      <c r="E3205"/>
      <c r="F3205"/>
      <c r="G3205"/>
      <c r="U3205"/>
      <c r="V3205"/>
      <c r="W3205"/>
      <c r="X3205"/>
      <c r="Y3205"/>
      <c r="Z3205"/>
      <c r="AA3205"/>
      <c r="AB3205"/>
      <c r="AL3205"/>
      <c r="AM3205"/>
      <c r="AN3205"/>
      <c r="AO3205"/>
    </row>
    <row r="3206" spans="1:41" s="2" customFormat="1" x14ac:dyDescent="0.2">
      <c r="A3206"/>
      <c r="B3206"/>
      <c r="C3206"/>
      <c r="D3206"/>
      <c r="E3206"/>
      <c r="F3206"/>
      <c r="G3206"/>
      <c r="U3206"/>
      <c r="V3206"/>
      <c r="W3206"/>
      <c r="X3206"/>
      <c r="Y3206"/>
      <c r="Z3206"/>
      <c r="AA3206"/>
      <c r="AB3206"/>
      <c r="AL3206"/>
      <c r="AM3206"/>
      <c r="AN3206"/>
      <c r="AO3206"/>
    </row>
    <row r="3207" spans="1:41" s="2" customFormat="1" x14ac:dyDescent="0.2">
      <c r="A3207"/>
      <c r="B3207"/>
      <c r="C3207"/>
      <c r="D3207"/>
      <c r="E3207"/>
      <c r="F3207"/>
      <c r="G3207"/>
      <c r="U3207"/>
      <c r="V3207"/>
      <c r="W3207"/>
      <c r="X3207"/>
      <c r="Y3207"/>
      <c r="Z3207"/>
      <c r="AA3207"/>
      <c r="AB3207"/>
      <c r="AL3207"/>
      <c r="AM3207"/>
      <c r="AN3207"/>
      <c r="AO3207"/>
    </row>
    <row r="3208" spans="1:41" s="2" customFormat="1" x14ac:dyDescent="0.2">
      <c r="A3208"/>
      <c r="B3208"/>
      <c r="C3208"/>
      <c r="D3208"/>
      <c r="E3208"/>
      <c r="F3208"/>
      <c r="G3208"/>
      <c r="U3208"/>
      <c r="V3208"/>
      <c r="W3208"/>
      <c r="X3208"/>
      <c r="Y3208"/>
      <c r="Z3208"/>
      <c r="AA3208"/>
      <c r="AB3208"/>
      <c r="AL3208"/>
      <c r="AM3208"/>
      <c r="AN3208"/>
      <c r="AO3208"/>
    </row>
    <row r="3209" spans="1:41" s="2" customFormat="1" x14ac:dyDescent="0.2">
      <c r="A3209"/>
      <c r="B3209"/>
      <c r="C3209"/>
      <c r="D3209"/>
      <c r="E3209"/>
      <c r="F3209"/>
      <c r="G3209"/>
      <c r="U3209"/>
      <c r="V3209"/>
      <c r="W3209"/>
      <c r="X3209"/>
      <c r="Y3209"/>
      <c r="Z3209"/>
      <c r="AA3209"/>
      <c r="AB3209"/>
      <c r="AL3209"/>
      <c r="AM3209"/>
      <c r="AN3209"/>
      <c r="AO3209"/>
    </row>
    <row r="3210" spans="1:41" s="2" customFormat="1" x14ac:dyDescent="0.2">
      <c r="A3210"/>
      <c r="B3210"/>
      <c r="C3210"/>
      <c r="D3210"/>
      <c r="E3210"/>
      <c r="F3210"/>
      <c r="G3210"/>
      <c r="U3210"/>
      <c r="V3210"/>
      <c r="W3210"/>
      <c r="X3210"/>
      <c r="Y3210"/>
      <c r="Z3210"/>
      <c r="AA3210"/>
      <c r="AB3210"/>
      <c r="AL3210"/>
      <c r="AM3210"/>
      <c r="AN3210"/>
      <c r="AO3210"/>
    </row>
    <row r="3211" spans="1:41" s="2" customFormat="1" x14ac:dyDescent="0.2">
      <c r="A3211"/>
      <c r="B3211"/>
      <c r="C3211"/>
      <c r="D3211"/>
      <c r="E3211"/>
      <c r="F3211"/>
      <c r="G3211"/>
      <c r="U3211"/>
      <c r="V3211"/>
      <c r="W3211"/>
      <c r="X3211"/>
      <c r="Y3211"/>
      <c r="Z3211"/>
      <c r="AA3211"/>
      <c r="AB3211"/>
      <c r="AL3211"/>
      <c r="AM3211"/>
      <c r="AN3211"/>
      <c r="AO3211"/>
    </row>
    <row r="3212" spans="1:41" s="2" customFormat="1" x14ac:dyDescent="0.2">
      <c r="A3212"/>
      <c r="B3212"/>
      <c r="C3212"/>
      <c r="D3212"/>
      <c r="E3212"/>
      <c r="F3212"/>
      <c r="G3212"/>
      <c r="U3212"/>
      <c r="V3212"/>
      <c r="W3212"/>
      <c r="X3212"/>
      <c r="Y3212"/>
      <c r="Z3212"/>
      <c r="AA3212"/>
      <c r="AB3212"/>
      <c r="AL3212"/>
      <c r="AM3212"/>
      <c r="AN3212"/>
      <c r="AO3212"/>
    </row>
    <row r="3213" spans="1:41" s="2" customFormat="1" x14ac:dyDescent="0.2">
      <c r="A3213"/>
      <c r="B3213"/>
      <c r="C3213"/>
      <c r="D3213"/>
      <c r="E3213"/>
      <c r="F3213"/>
      <c r="G3213"/>
      <c r="U3213"/>
      <c r="V3213"/>
      <c r="W3213"/>
      <c r="X3213"/>
      <c r="Y3213"/>
      <c r="Z3213"/>
      <c r="AA3213"/>
      <c r="AB3213"/>
      <c r="AL3213"/>
      <c r="AM3213"/>
      <c r="AN3213"/>
      <c r="AO3213"/>
    </row>
    <row r="3214" spans="1:41" s="2" customFormat="1" x14ac:dyDescent="0.2">
      <c r="A3214"/>
      <c r="B3214"/>
      <c r="C3214"/>
      <c r="D3214"/>
      <c r="E3214"/>
      <c r="F3214"/>
      <c r="G3214"/>
      <c r="U3214"/>
      <c r="V3214"/>
      <c r="W3214"/>
      <c r="X3214"/>
      <c r="Y3214"/>
      <c r="Z3214"/>
      <c r="AA3214"/>
      <c r="AB3214"/>
      <c r="AL3214"/>
      <c r="AM3214"/>
      <c r="AN3214"/>
      <c r="AO3214"/>
    </row>
    <row r="3215" spans="1:41" s="2" customFormat="1" x14ac:dyDescent="0.2">
      <c r="A3215"/>
      <c r="B3215"/>
      <c r="C3215"/>
      <c r="D3215"/>
      <c r="E3215"/>
      <c r="F3215"/>
      <c r="G3215"/>
      <c r="U3215"/>
      <c r="V3215"/>
      <c r="W3215"/>
      <c r="X3215"/>
      <c r="Y3215"/>
      <c r="Z3215"/>
      <c r="AA3215"/>
      <c r="AB3215"/>
      <c r="AL3215"/>
      <c r="AM3215"/>
      <c r="AN3215"/>
      <c r="AO3215"/>
    </row>
    <row r="3216" spans="1:41" s="2" customFormat="1" x14ac:dyDescent="0.2">
      <c r="A3216"/>
      <c r="B3216"/>
      <c r="C3216"/>
      <c r="D3216"/>
      <c r="E3216"/>
      <c r="F3216"/>
      <c r="G3216"/>
      <c r="U3216"/>
      <c r="V3216"/>
      <c r="W3216"/>
      <c r="X3216"/>
      <c r="Y3216"/>
      <c r="Z3216"/>
      <c r="AA3216"/>
      <c r="AB3216"/>
      <c r="AL3216"/>
      <c r="AM3216"/>
      <c r="AN3216"/>
      <c r="AO3216"/>
    </row>
    <row r="3217" spans="1:41" s="2" customFormat="1" x14ac:dyDescent="0.2">
      <c r="A3217"/>
      <c r="B3217"/>
      <c r="C3217"/>
      <c r="D3217"/>
      <c r="E3217"/>
      <c r="F3217"/>
      <c r="G3217"/>
      <c r="U3217"/>
      <c r="V3217"/>
      <c r="W3217"/>
      <c r="X3217"/>
      <c r="Y3217"/>
      <c r="Z3217"/>
      <c r="AA3217"/>
      <c r="AB3217"/>
      <c r="AL3217"/>
      <c r="AM3217"/>
      <c r="AN3217"/>
      <c r="AO3217"/>
    </row>
    <row r="3218" spans="1:41" s="2" customFormat="1" x14ac:dyDescent="0.2">
      <c r="A3218"/>
      <c r="B3218"/>
      <c r="C3218"/>
      <c r="D3218"/>
      <c r="E3218"/>
      <c r="F3218"/>
      <c r="G3218"/>
      <c r="U3218"/>
      <c r="V3218"/>
      <c r="W3218"/>
      <c r="X3218"/>
      <c r="Y3218"/>
      <c r="Z3218"/>
      <c r="AA3218"/>
      <c r="AB3218"/>
      <c r="AL3218"/>
      <c r="AM3218"/>
      <c r="AN3218"/>
      <c r="AO3218"/>
    </row>
    <row r="3219" spans="1:41" s="2" customFormat="1" x14ac:dyDescent="0.2">
      <c r="A3219"/>
      <c r="B3219"/>
      <c r="C3219"/>
      <c r="D3219"/>
      <c r="E3219"/>
      <c r="F3219"/>
      <c r="G3219"/>
      <c r="U3219"/>
      <c r="V3219"/>
      <c r="W3219"/>
      <c r="X3219"/>
      <c r="Y3219"/>
      <c r="Z3219"/>
      <c r="AA3219"/>
      <c r="AB3219"/>
      <c r="AL3219"/>
      <c r="AM3219"/>
      <c r="AN3219"/>
      <c r="AO3219"/>
    </row>
    <row r="3220" spans="1:41" s="2" customFormat="1" x14ac:dyDescent="0.2">
      <c r="A3220"/>
      <c r="B3220"/>
      <c r="C3220"/>
      <c r="D3220"/>
      <c r="E3220"/>
      <c r="F3220"/>
      <c r="G3220"/>
      <c r="U3220"/>
      <c r="V3220"/>
      <c r="W3220"/>
      <c r="X3220"/>
      <c r="Y3220"/>
      <c r="Z3220"/>
      <c r="AA3220"/>
      <c r="AB3220"/>
      <c r="AL3220"/>
      <c r="AM3220"/>
      <c r="AN3220"/>
      <c r="AO3220"/>
    </row>
    <row r="3221" spans="1:41" s="2" customFormat="1" x14ac:dyDescent="0.2">
      <c r="A3221"/>
      <c r="B3221"/>
      <c r="C3221"/>
      <c r="D3221"/>
      <c r="E3221"/>
      <c r="F3221"/>
      <c r="G3221"/>
      <c r="U3221"/>
      <c r="V3221"/>
      <c r="W3221"/>
      <c r="X3221"/>
      <c r="Y3221"/>
      <c r="Z3221"/>
      <c r="AA3221"/>
      <c r="AB3221"/>
      <c r="AL3221"/>
      <c r="AM3221"/>
      <c r="AN3221"/>
      <c r="AO3221"/>
    </row>
    <row r="3222" spans="1:41" s="2" customFormat="1" x14ac:dyDescent="0.2">
      <c r="A3222"/>
      <c r="B3222"/>
      <c r="C3222"/>
      <c r="D3222"/>
      <c r="E3222"/>
      <c r="F3222"/>
      <c r="G3222"/>
      <c r="U3222"/>
      <c r="V3222"/>
      <c r="W3222"/>
      <c r="X3222"/>
      <c r="Y3222"/>
      <c r="Z3222"/>
      <c r="AA3222"/>
      <c r="AB3222"/>
      <c r="AL3222"/>
      <c r="AM3222"/>
      <c r="AN3222"/>
      <c r="AO3222"/>
    </row>
    <row r="3223" spans="1:41" s="2" customFormat="1" x14ac:dyDescent="0.2">
      <c r="A3223"/>
      <c r="B3223"/>
      <c r="C3223"/>
      <c r="D3223"/>
      <c r="E3223"/>
      <c r="F3223"/>
      <c r="G3223"/>
      <c r="U3223"/>
      <c r="V3223"/>
      <c r="W3223"/>
      <c r="X3223"/>
      <c r="Y3223"/>
      <c r="Z3223"/>
      <c r="AA3223"/>
      <c r="AB3223"/>
      <c r="AL3223"/>
      <c r="AM3223"/>
      <c r="AN3223"/>
      <c r="AO3223"/>
    </row>
    <row r="3224" spans="1:41" s="2" customFormat="1" x14ac:dyDescent="0.2">
      <c r="A3224"/>
      <c r="B3224"/>
      <c r="C3224"/>
      <c r="D3224"/>
      <c r="E3224"/>
      <c r="F3224"/>
      <c r="G3224"/>
      <c r="U3224"/>
      <c r="V3224"/>
      <c r="W3224"/>
      <c r="X3224"/>
      <c r="Y3224"/>
      <c r="Z3224"/>
      <c r="AA3224"/>
      <c r="AB3224"/>
      <c r="AL3224"/>
      <c r="AM3224"/>
      <c r="AN3224"/>
      <c r="AO3224"/>
    </row>
    <row r="3225" spans="1:41" s="2" customFormat="1" x14ac:dyDescent="0.2">
      <c r="A3225"/>
      <c r="B3225"/>
      <c r="C3225"/>
      <c r="D3225"/>
      <c r="E3225"/>
      <c r="F3225"/>
      <c r="G3225"/>
      <c r="U3225"/>
      <c r="V3225"/>
      <c r="W3225"/>
      <c r="X3225"/>
      <c r="Y3225"/>
      <c r="Z3225"/>
      <c r="AA3225"/>
      <c r="AB3225"/>
      <c r="AL3225"/>
      <c r="AM3225"/>
      <c r="AN3225"/>
      <c r="AO3225"/>
    </row>
    <row r="3226" spans="1:41" s="2" customFormat="1" x14ac:dyDescent="0.2">
      <c r="A3226"/>
      <c r="B3226"/>
      <c r="C3226"/>
      <c r="D3226"/>
      <c r="E3226"/>
      <c r="F3226"/>
      <c r="G3226"/>
      <c r="U3226"/>
      <c r="V3226"/>
      <c r="W3226"/>
      <c r="X3226"/>
      <c r="Y3226"/>
      <c r="Z3226"/>
      <c r="AA3226"/>
      <c r="AB3226"/>
      <c r="AL3226"/>
      <c r="AM3226"/>
      <c r="AN3226"/>
      <c r="AO3226"/>
    </row>
    <row r="3227" spans="1:41" s="2" customFormat="1" x14ac:dyDescent="0.2">
      <c r="A3227"/>
      <c r="B3227"/>
      <c r="C3227"/>
      <c r="D3227"/>
      <c r="E3227"/>
      <c r="F3227"/>
      <c r="G3227"/>
      <c r="U3227"/>
      <c r="V3227"/>
      <c r="W3227"/>
      <c r="X3227"/>
      <c r="Y3227"/>
      <c r="Z3227"/>
      <c r="AA3227"/>
      <c r="AB3227"/>
      <c r="AL3227"/>
      <c r="AM3227"/>
      <c r="AN3227"/>
      <c r="AO3227"/>
    </row>
    <row r="3228" spans="1:41" s="2" customFormat="1" x14ac:dyDescent="0.2">
      <c r="A3228"/>
      <c r="B3228"/>
      <c r="C3228"/>
      <c r="D3228"/>
      <c r="E3228"/>
      <c r="F3228"/>
      <c r="G3228"/>
      <c r="U3228"/>
      <c r="V3228"/>
      <c r="W3228"/>
      <c r="X3228"/>
      <c r="Y3228"/>
      <c r="Z3228"/>
      <c r="AA3228"/>
      <c r="AB3228"/>
      <c r="AL3228"/>
      <c r="AM3228"/>
      <c r="AN3228"/>
      <c r="AO3228"/>
    </row>
    <row r="3229" spans="1:41" s="2" customFormat="1" x14ac:dyDescent="0.2">
      <c r="A3229"/>
      <c r="B3229"/>
      <c r="C3229"/>
      <c r="D3229"/>
      <c r="E3229"/>
      <c r="F3229"/>
      <c r="G3229"/>
      <c r="U3229"/>
      <c r="V3229"/>
      <c r="W3229"/>
      <c r="X3229"/>
      <c r="Y3229"/>
      <c r="Z3229"/>
      <c r="AA3229"/>
      <c r="AB3229"/>
      <c r="AL3229"/>
      <c r="AM3229"/>
      <c r="AN3229"/>
      <c r="AO3229"/>
    </row>
    <row r="3230" spans="1:41" s="2" customFormat="1" x14ac:dyDescent="0.2">
      <c r="A3230"/>
      <c r="B3230"/>
      <c r="C3230"/>
      <c r="D3230"/>
      <c r="E3230"/>
      <c r="F3230"/>
      <c r="G3230"/>
      <c r="U3230"/>
      <c r="V3230"/>
      <c r="W3230"/>
      <c r="X3230"/>
      <c r="Y3230"/>
      <c r="Z3230"/>
      <c r="AA3230"/>
      <c r="AB3230"/>
      <c r="AL3230"/>
      <c r="AM3230"/>
      <c r="AN3230"/>
      <c r="AO3230"/>
    </row>
    <row r="3231" spans="1:41" s="2" customFormat="1" x14ac:dyDescent="0.2">
      <c r="A3231"/>
      <c r="B3231"/>
      <c r="C3231"/>
      <c r="D3231"/>
      <c r="E3231"/>
      <c r="F3231"/>
      <c r="G3231"/>
      <c r="U3231"/>
      <c r="V3231"/>
      <c r="W3231"/>
      <c r="X3231"/>
      <c r="Y3231"/>
      <c r="Z3231"/>
      <c r="AA3231"/>
      <c r="AB3231"/>
      <c r="AL3231"/>
      <c r="AM3231"/>
      <c r="AN3231"/>
      <c r="AO3231"/>
    </row>
    <row r="3232" spans="1:41" s="2" customFormat="1" x14ac:dyDescent="0.2">
      <c r="A3232"/>
      <c r="B3232"/>
      <c r="C3232"/>
      <c r="D3232"/>
      <c r="E3232"/>
      <c r="F3232"/>
      <c r="G3232"/>
      <c r="U3232"/>
      <c r="V3232"/>
      <c r="W3232"/>
      <c r="X3232"/>
      <c r="Y3232"/>
      <c r="Z3232"/>
      <c r="AA3232"/>
      <c r="AB3232"/>
      <c r="AL3232"/>
      <c r="AM3232"/>
      <c r="AN3232"/>
      <c r="AO3232"/>
    </row>
    <row r="3233" spans="1:41" s="2" customFormat="1" x14ac:dyDescent="0.2">
      <c r="A3233"/>
      <c r="B3233"/>
      <c r="C3233"/>
      <c r="D3233"/>
      <c r="E3233"/>
      <c r="F3233"/>
      <c r="G3233"/>
      <c r="U3233"/>
      <c r="V3233"/>
      <c r="W3233"/>
      <c r="X3233"/>
      <c r="Y3233"/>
      <c r="Z3233"/>
      <c r="AA3233"/>
      <c r="AB3233"/>
      <c r="AL3233"/>
      <c r="AM3233"/>
      <c r="AN3233"/>
      <c r="AO3233"/>
    </row>
    <row r="3234" spans="1:41" s="2" customFormat="1" x14ac:dyDescent="0.2">
      <c r="A3234"/>
      <c r="B3234"/>
      <c r="C3234"/>
      <c r="D3234"/>
      <c r="E3234"/>
      <c r="F3234"/>
      <c r="G3234"/>
      <c r="U3234"/>
      <c r="V3234"/>
      <c r="W3234"/>
      <c r="X3234"/>
      <c r="Y3234"/>
      <c r="Z3234"/>
      <c r="AA3234"/>
      <c r="AB3234"/>
      <c r="AL3234"/>
      <c r="AM3234"/>
      <c r="AN3234"/>
      <c r="AO3234"/>
    </row>
    <row r="3235" spans="1:41" s="2" customFormat="1" x14ac:dyDescent="0.2">
      <c r="A3235"/>
      <c r="B3235"/>
      <c r="C3235"/>
      <c r="D3235"/>
      <c r="E3235"/>
      <c r="F3235"/>
      <c r="G3235"/>
      <c r="U3235"/>
      <c r="V3235"/>
      <c r="W3235"/>
      <c r="X3235"/>
      <c r="Y3235"/>
      <c r="Z3235"/>
      <c r="AA3235"/>
      <c r="AB3235"/>
      <c r="AL3235"/>
      <c r="AM3235"/>
      <c r="AN3235"/>
      <c r="AO3235"/>
    </row>
    <row r="3236" spans="1:41" s="2" customFormat="1" x14ac:dyDescent="0.2">
      <c r="A3236"/>
      <c r="B3236"/>
      <c r="C3236"/>
      <c r="D3236"/>
      <c r="E3236"/>
      <c r="F3236"/>
      <c r="G3236"/>
      <c r="U3236"/>
      <c r="V3236"/>
      <c r="W3236"/>
      <c r="X3236"/>
      <c r="Y3236"/>
      <c r="Z3236"/>
      <c r="AA3236"/>
      <c r="AB3236"/>
      <c r="AL3236"/>
      <c r="AM3236"/>
      <c r="AN3236"/>
      <c r="AO3236"/>
    </row>
    <row r="3237" spans="1:41" s="2" customFormat="1" x14ac:dyDescent="0.2">
      <c r="A3237"/>
      <c r="B3237"/>
      <c r="C3237"/>
      <c r="D3237"/>
      <c r="E3237"/>
      <c r="F3237"/>
      <c r="G3237"/>
      <c r="U3237"/>
      <c r="V3237"/>
      <c r="W3237"/>
      <c r="X3237"/>
      <c r="Y3237"/>
      <c r="Z3237"/>
      <c r="AA3237"/>
      <c r="AB3237"/>
      <c r="AL3237"/>
      <c r="AM3237"/>
      <c r="AN3237"/>
      <c r="AO3237"/>
    </row>
    <row r="3238" spans="1:41" s="2" customFormat="1" x14ac:dyDescent="0.2">
      <c r="A3238"/>
      <c r="B3238"/>
      <c r="C3238"/>
      <c r="D3238"/>
      <c r="E3238"/>
      <c r="F3238"/>
      <c r="G3238"/>
      <c r="U3238"/>
      <c r="V3238"/>
      <c r="W3238"/>
      <c r="X3238"/>
      <c r="Y3238"/>
      <c r="Z3238"/>
      <c r="AA3238"/>
      <c r="AB3238"/>
      <c r="AL3238"/>
      <c r="AM3238"/>
      <c r="AN3238"/>
      <c r="AO3238"/>
    </row>
    <row r="3239" spans="1:41" s="2" customFormat="1" x14ac:dyDescent="0.2">
      <c r="A3239"/>
      <c r="B3239"/>
      <c r="C3239"/>
      <c r="D3239"/>
      <c r="E3239"/>
      <c r="F3239"/>
      <c r="G3239"/>
      <c r="U3239"/>
      <c r="V3239"/>
      <c r="W3239"/>
      <c r="X3239"/>
      <c r="Y3239"/>
      <c r="Z3239"/>
      <c r="AA3239"/>
      <c r="AB3239"/>
      <c r="AL3239"/>
      <c r="AM3239"/>
      <c r="AN3239"/>
      <c r="AO3239"/>
    </row>
    <row r="3240" spans="1:41" s="2" customFormat="1" x14ac:dyDescent="0.2">
      <c r="A3240"/>
      <c r="B3240"/>
      <c r="C3240"/>
      <c r="D3240"/>
      <c r="E3240"/>
      <c r="F3240"/>
      <c r="G3240"/>
      <c r="U3240"/>
      <c r="V3240"/>
      <c r="W3240"/>
      <c r="X3240"/>
      <c r="Y3240"/>
      <c r="Z3240"/>
      <c r="AA3240"/>
      <c r="AB3240"/>
      <c r="AL3240"/>
      <c r="AM3240"/>
      <c r="AN3240"/>
      <c r="AO3240"/>
    </row>
    <row r="3241" spans="1:41" s="2" customFormat="1" x14ac:dyDescent="0.2">
      <c r="A3241"/>
      <c r="B3241"/>
      <c r="C3241"/>
      <c r="D3241"/>
      <c r="E3241"/>
      <c r="F3241"/>
      <c r="G3241"/>
      <c r="U3241"/>
      <c r="V3241"/>
      <c r="W3241"/>
      <c r="X3241"/>
      <c r="Y3241"/>
      <c r="Z3241"/>
      <c r="AA3241"/>
      <c r="AB3241"/>
      <c r="AL3241"/>
      <c r="AM3241"/>
      <c r="AN3241"/>
      <c r="AO3241"/>
    </row>
    <row r="3242" spans="1:41" s="2" customFormat="1" x14ac:dyDescent="0.2">
      <c r="A3242"/>
      <c r="B3242"/>
      <c r="C3242"/>
      <c r="D3242"/>
      <c r="E3242"/>
      <c r="F3242"/>
      <c r="G3242"/>
      <c r="U3242"/>
      <c r="V3242"/>
      <c r="W3242"/>
      <c r="X3242"/>
      <c r="Y3242"/>
      <c r="Z3242"/>
      <c r="AA3242"/>
      <c r="AB3242"/>
      <c r="AL3242"/>
      <c r="AM3242"/>
      <c r="AN3242"/>
      <c r="AO3242"/>
    </row>
    <row r="3243" spans="1:41" s="2" customFormat="1" x14ac:dyDescent="0.2">
      <c r="A3243"/>
      <c r="B3243"/>
      <c r="C3243"/>
      <c r="D3243"/>
      <c r="E3243"/>
      <c r="F3243"/>
      <c r="G3243"/>
      <c r="U3243"/>
      <c r="V3243"/>
      <c r="W3243"/>
      <c r="X3243"/>
      <c r="Y3243"/>
      <c r="Z3243"/>
      <c r="AA3243"/>
      <c r="AB3243"/>
      <c r="AL3243"/>
      <c r="AM3243"/>
      <c r="AN3243"/>
      <c r="AO3243"/>
    </row>
    <row r="3244" spans="1:41" s="2" customFormat="1" x14ac:dyDescent="0.2">
      <c r="A3244"/>
      <c r="B3244"/>
      <c r="C3244"/>
      <c r="D3244"/>
      <c r="E3244"/>
      <c r="F3244"/>
      <c r="G3244"/>
      <c r="U3244"/>
      <c r="V3244"/>
      <c r="W3244"/>
      <c r="X3244"/>
      <c r="Y3244"/>
      <c r="Z3244"/>
      <c r="AA3244"/>
      <c r="AB3244"/>
      <c r="AL3244"/>
      <c r="AM3244"/>
      <c r="AN3244"/>
      <c r="AO3244"/>
    </row>
    <row r="3245" spans="1:41" s="2" customFormat="1" x14ac:dyDescent="0.2">
      <c r="A3245"/>
      <c r="B3245"/>
      <c r="C3245"/>
      <c r="D3245"/>
      <c r="E3245"/>
      <c r="F3245"/>
      <c r="G3245"/>
      <c r="U3245"/>
      <c r="V3245"/>
      <c r="W3245"/>
      <c r="X3245"/>
      <c r="Y3245"/>
      <c r="Z3245"/>
      <c r="AA3245"/>
      <c r="AB3245"/>
      <c r="AL3245"/>
      <c r="AM3245"/>
      <c r="AN3245"/>
      <c r="AO3245"/>
    </row>
    <row r="3246" spans="1:41" s="2" customFormat="1" x14ac:dyDescent="0.2">
      <c r="A3246"/>
      <c r="B3246"/>
      <c r="C3246"/>
      <c r="D3246"/>
      <c r="E3246"/>
      <c r="F3246"/>
      <c r="G3246"/>
      <c r="U3246"/>
      <c r="V3246"/>
      <c r="W3246"/>
      <c r="X3246"/>
      <c r="Y3246"/>
      <c r="Z3246"/>
      <c r="AA3246"/>
      <c r="AB3246"/>
      <c r="AL3246"/>
      <c r="AM3246"/>
      <c r="AN3246"/>
      <c r="AO3246"/>
    </row>
    <row r="3247" spans="1:41" s="2" customFormat="1" x14ac:dyDescent="0.2">
      <c r="A3247"/>
      <c r="B3247"/>
      <c r="C3247"/>
      <c r="D3247"/>
      <c r="E3247"/>
      <c r="F3247"/>
      <c r="G3247"/>
      <c r="U3247"/>
      <c r="V3247"/>
      <c r="W3247"/>
      <c r="X3247"/>
      <c r="Y3247"/>
      <c r="Z3247"/>
      <c r="AA3247"/>
      <c r="AB3247"/>
      <c r="AL3247"/>
      <c r="AM3247"/>
      <c r="AN3247"/>
      <c r="AO3247"/>
    </row>
    <row r="3248" spans="1:41" s="2" customFormat="1" x14ac:dyDescent="0.2">
      <c r="A3248"/>
      <c r="B3248"/>
      <c r="C3248"/>
      <c r="D3248"/>
      <c r="E3248"/>
      <c r="F3248"/>
      <c r="G3248"/>
      <c r="U3248"/>
      <c r="V3248"/>
      <c r="W3248"/>
      <c r="X3248"/>
      <c r="Y3248"/>
      <c r="Z3248"/>
      <c r="AA3248"/>
      <c r="AB3248"/>
      <c r="AL3248"/>
      <c r="AM3248"/>
      <c r="AN3248"/>
      <c r="AO3248"/>
    </row>
    <row r="3249" spans="1:41" s="2" customFormat="1" x14ac:dyDescent="0.2">
      <c r="A3249"/>
      <c r="B3249"/>
      <c r="C3249"/>
      <c r="D3249"/>
      <c r="E3249"/>
      <c r="F3249"/>
      <c r="G3249"/>
      <c r="U3249"/>
      <c r="V3249"/>
      <c r="W3249"/>
      <c r="X3249"/>
      <c r="Y3249"/>
      <c r="Z3249"/>
      <c r="AA3249"/>
      <c r="AB3249"/>
      <c r="AL3249"/>
      <c r="AM3249"/>
      <c r="AN3249"/>
      <c r="AO3249"/>
    </row>
    <row r="3250" spans="1:41" s="2" customFormat="1" x14ac:dyDescent="0.2">
      <c r="A3250"/>
      <c r="B3250"/>
      <c r="C3250"/>
      <c r="D3250"/>
      <c r="E3250"/>
      <c r="F3250"/>
      <c r="G3250"/>
      <c r="U3250"/>
      <c r="V3250"/>
      <c r="W3250"/>
      <c r="X3250"/>
      <c r="Y3250"/>
      <c r="Z3250"/>
      <c r="AA3250"/>
      <c r="AB3250"/>
      <c r="AL3250"/>
      <c r="AM3250"/>
      <c r="AN3250"/>
      <c r="AO3250"/>
    </row>
    <row r="3251" spans="1:41" s="2" customFormat="1" x14ac:dyDescent="0.2">
      <c r="A3251"/>
      <c r="B3251"/>
      <c r="C3251"/>
      <c r="D3251"/>
      <c r="E3251"/>
      <c r="F3251"/>
      <c r="G3251"/>
      <c r="U3251"/>
      <c r="V3251"/>
      <c r="W3251"/>
      <c r="X3251"/>
      <c r="Y3251"/>
      <c r="Z3251"/>
      <c r="AA3251"/>
      <c r="AB3251"/>
      <c r="AL3251"/>
      <c r="AM3251"/>
      <c r="AN3251"/>
      <c r="AO3251"/>
    </row>
    <row r="3252" spans="1:41" s="2" customFormat="1" x14ac:dyDescent="0.2">
      <c r="A3252"/>
      <c r="B3252"/>
      <c r="C3252"/>
      <c r="D3252"/>
      <c r="E3252"/>
      <c r="F3252"/>
      <c r="G3252"/>
      <c r="U3252"/>
      <c r="V3252"/>
      <c r="W3252"/>
      <c r="X3252"/>
      <c r="Y3252"/>
      <c r="Z3252"/>
      <c r="AA3252"/>
      <c r="AB3252"/>
      <c r="AL3252"/>
      <c r="AM3252"/>
      <c r="AN3252"/>
      <c r="AO3252"/>
    </row>
    <row r="3253" spans="1:41" s="2" customFormat="1" x14ac:dyDescent="0.2">
      <c r="A3253"/>
      <c r="B3253"/>
      <c r="C3253"/>
      <c r="D3253"/>
      <c r="E3253"/>
      <c r="F3253"/>
      <c r="G3253"/>
      <c r="U3253"/>
      <c r="V3253"/>
      <c r="W3253"/>
      <c r="X3253"/>
      <c r="Y3253"/>
      <c r="Z3253"/>
      <c r="AA3253"/>
      <c r="AB3253"/>
      <c r="AL3253"/>
      <c r="AM3253"/>
      <c r="AN3253"/>
      <c r="AO3253"/>
    </row>
    <row r="3254" spans="1:41" s="2" customFormat="1" x14ac:dyDescent="0.2">
      <c r="A3254"/>
      <c r="B3254"/>
      <c r="C3254"/>
      <c r="D3254"/>
      <c r="E3254"/>
      <c r="F3254"/>
      <c r="G3254"/>
      <c r="U3254"/>
      <c r="V3254"/>
      <c r="W3254"/>
      <c r="X3254"/>
      <c r="Y3254"/>
      <c r="Z3254"/>
      <c r="AA3254"/>
      <c r="AB3254"/>
      <c r="AL3254"/>
      <c r="AM3254"/>
      <c r="AN3254"/>
      <c r="AO3254"/>
    </row>
    <row r="3255" spans="1:41" s="2" customFormat="1" x14ac:dyDescent="0.2">
      <c r="A3255"/>
      <c r="B3255"/>
      <c r="C3255"/>
      <c r="D3255"/>
      <c r="E3255"/>
      <c r="F3255"/>
      <c r="G3255"/>
      <c r="U3255"/>
      <c r="V3255"/>
      <c r="W3255"/>
      <c r="X3255"/>
      <c r="Y3255"/>
      <c r="Z3255"/>
      <c r="AA3255"/>
      <c r="AB3255"/>
      <c r="AL3255"/>
      <c r="AM3255"/>
      <c r="AN3255"/>
      <c r="AO3255"/>
    </row>
    <row r="3256" spans="1:41" s="2" customFormat="1" x14ac:dyDescent="0.2">
      <c r="A3256"/>
      <c r="B3256"/>
      <c r="C3256"/>
      <c r="D3256"/>
      <c r="E3256"/>
      <c r="F3256"/>
      <c r="G3256"/>
      <c r="U3256"/>
      <c r="V3256"/>
      <c r="W3256"/>
      <c r="X3256"/>
      <c r="Y3256"/>
      <c r="Z3256"/>
      <c r="AA3256"/>
      <c r="AB3256"/>
      <c r="AL3256"/>
      <c r="AM3256"/>
      <c r="AN3256"/>
      <c r="AO3256"/>
    </row>
    <row r="3257" spans="1:41" s="2" customFormat="1" x14ac:dyDescent="0.2">
      <c r="A3257"/>
      <c r="B3257"/>
      <c r="C3257"/>
      <c r="D3257"/>
      <c r="E3257"/>
      <c r="F3257"/>
      <c r="G3257"/>
      <c r="U3257"/>
      <c r="V3257"/>
      <c r="W3257"/>
      <c r="X3257"/>
      <c r="Y3257"/>
      <c r="Z3257"/>
      <c r="AA3257"/>
      <c r="AB3257"/>
      <c r="AL3257"/>
      <c r="AM3257"/>
      <c r="AN3257"/>
      <c r="AO3257"/>
    </row>
    <row r="3258" spans="1:41" s="2" customFormat="1" x14ac:dyDescent="0.2">
      <c r="A3258"/>
      <c r="B3258"/>
      <c r="C3258"/>
      <c r="D3258"/>
      <c r="E3258"/>
      <c r="F3258"/>
      <c r="G3258"/>
      <c r="U3258"/>
      <c r="V3258"/>
      <c r="W3258"/>
      <c r="X3258"/>
      <c r="Y3258"/>
      <c r="Z3258"/>
      <c r="AA3258"/>
      <c r="AB3258"/>
      <c r="AL3258"/>
      <c r="AM3258"/>
      <c r="AN3258"/>
      <c r="AO3258"/>
    </row>
    <row r="3259" spans="1:41" s="2" customFormat="1" x14ac:dyDescent="0.2">
      <c r="A3259"/>
      <c r="B3259"/>
      <c r="C3259"/>
      <c r="D3259"/>
      <c r="E3259"/>
      <c r="F3259"/>
      <c r="G3259"/>
      <c r="U3259"/>
      <c r="V3259"/>
      <c r="W3259"/>
      <c r="X3259"/>
      <c r="Y3259"/>
      <c r="Z3259"/>
      <c r="AA3259"/>
      <c r="AB3259"/>
      <c r="AL3259"/>
      <c r="AM3259"/>
      <c r="AN3259"/>
      <c r="AO3259"/>
    </row>
    <row r="3260" spans="1:41" s="2" customFormat="1" x14ac:dyDescent="0.2">
      <c r="A3260"/>
      <c r="B3260"/>
      <c r="C3260"/>
      <c r="D3260"/>
      <c r="E3260"/>
      <c r="F3260"/>
      <c r="G3260"/>
      <c r="U3260"/>
      <c r="V3260"/>
      <c r="W3260"/>
      <c r="X3260"/>
      <c r="Y3260"/>
      <c r="Z3260"/>
      <c r="AA3260"/>
      <c r="AB3260"/>
      <c r="AL3260"/>
      <c r="AM3260"/>
      <c r="AN3260"/>
      <c r="AO3260"/>
    </row>
    <row r="3261" spans="1:41" s="2" customFormat="1" x14ac:dyDescent="0.2">
      <c r="A3261"/>
      <c r="B3261"/>
      <c r="C3261"/>
      <c r="D3261"/>
      <c r="E3261"/>
      <c r="F3261"/>
      <c r="G3261"/>
      <c r="U3261"/>
      <c r="V3261"/>
      <c r="W3261"/>
      <c r="X3261"/>
      <c r="Y3261"/>
      <c r="Z3261"/>
      <c r="AA3261"/>
      <c r="AB3261"/>
      <c r="AL3261"/>
      <c r="AM3261"/>
      <c r="AN3261"/>
      <c r="AO3261"/>
    </row>
    <row r="3262" spans="1:41" s="2" customFormat="1" x14ac:dyDescent="0.2">
      <c r="A3262"/>
      <c r="B3262"/>
      <c r="C3262"/>
      <c r="D3262"/>
      <c r="E3262"/>
      <c r="F3262"/>
      <c r="G3262"/>
      <c r="U3262"/>
      <c r="V3262"/>
      <c r="W3262"/>
      <c r="X3262"/>
      <c r="Y3262"/>
      <c r="Z3262"/>
      <c r="AA3262"/>
      <c r="AB3262"/>
      <c r="AL3262"/>
      <c r="AM3262"/>
      <c r="AN3262"/>
      <c r="AO3262"/>
    </row>
    <row r="3263" spans="1:41" s="2" customFormat="1" x14ac:dyDescent="0.2">
      <c r="A3263"/>
      <c r="B3263"/>
      <c r="C3263"/>
      <c r="D3263"/>
      <c r="E3263"/>
      <c r="F3263"/>
      <c r="G3263"/>
      <c r="U3263"/>
      <c r="V3263"/>
      <c r="W3263"/>
      <c r="X3263"/>
      <c r="Y3263"/>
      <c r="Z3263"/>
      <c r="AA3263"/>
      <c r="AB3263"/>
      <c r="AL3263"/>
      <c r="AM3263"/>
      <c r="AN3263"/>
      <c r="AO3263"/>
    </row>
    <row r="3264" spans="1:41" s="2" customFormat="1" x14ac:dyDescent="0.2">
      <c r="A3264"/>
      <c r="B3264"/>
      <c r="C3264"/>
      <c r="D3264"/>
      <c r="E3264"/>
      <c r="F3264"/>
      <c r="G3264"/>
      <c r="U3264"/>
      <c r="V3264"/>
      <c r="W3264"/>
      <c r="X3264"/>
      <c r="Y3264"/>
      <c r="Z3264"/>
      <c r="AA3264"/>
      <c r="AB3264"/>
      <c r="AL3264"/>
      <c r="AM3264"/>
      <c r="AN3264"/>
      <c r="AO3264"/>
    </row>
    <row r="3265" spans="1:41" s="2" customFormat="1" x14ac:dyDescent="0.2">
      <c r="A3265"/>
      <c r="B3265"/>
      <c r="C3265"/>
      <c r="D3265"/>
      <c r="E3265"/>
      <c r="F3265"/>
      <c r="G3265"/>
      <c r="U3265"/>
      <c r="V3265"/>
      <c r="W3265"/>
      <c r="X3265"/>
      <c r="Y3265"/>
      <c r="Z3265"/>
      <c r="AA3265"/>
      <c r="AB3265"/>
      <c r="AL3265"/>
      <c r="AM3265"/>
      <c r="AN3265"/>
      <c r="AO3265"/>
    </row>
    <row r="3266" spans="1:41" s="2" customFormat="1" x14ac:dyDescent="0.2">
      <c r="A3266"/>
      <c r="B3266"/>
      <c r="C3266"/>
      <c r="D3266"/>
      <c r="E3266"/>
      <c r="F3266"/>
      <c r="G3266"/>
      <c r="U3266"/>
      <c r="V3266"/>
      <c r="W3266"/>
      <c r="X3266"/>
      <c r="Y3266"/>
      <c r="Z3266"/>
      <c r="AA3266"/>
      <c r="AB3266"/>
      <c r="AL3266"/>
      <c r="AM3266"/>
      <c r="AN3266"/>
      <c r="AO3266"/>
    </row>
    <row r="3267" spans="1:41" s="2" customFormat="1" x14ac:dyDescent="0.2">
      <c r="A3267"/>
      <c r="B3267"/>
      <c r="C3267"/>
      <c r="D3267"/>
      <c r="E3267"/>
      <c r="F3267"/>
      <c r="G3267"/>
      <c r="U3267"/>
      <c r="V3267"/>
      <c r="W3267"/>
      <c r="X3267"/>
      <c r="Y3267"/>
      <c r="Z3267"/>
      <c r="AA3267"/>
      <c r="AB3267"/>
      <c r="AL3267"/>
      <c r="AM3267"/>
      <c r="AN3267"/>
      <c r="AO3267"/>
    </row>
    <row r="3268" spans="1:41" s="2" customFormat="1" x14ac:dyDescent="0.2">
      <c r="A3268"/>
      <c r="B3268"/>
      <c r="C3268"/>
      <c r="D3268"/>
      <c r="E3268"/>
      <c r="F3268"/>
      <c r="G3268"/>
      <c r="U3268"/>
      <c r="V3268"/>
      <c r="W3268"/>
      <c r="X3268"/>
      <c r="Y3268"/>
      <c r="Z3268"/>
      <c r="AA3268"/>
      <c r="AB3268"/>
      <c r="AL3268"/>
      <c r="AM3268"/>
      <c r="AN3268"/>
      <c r="AO3268"/>
    </row>
    <row r="3269" spans="1:41" s="2" customFormat="1" x14ac:dyDescent="0.2">
      <c r="A3269"/>
      <c r="B3269"/>
      <c r="C3269"/>
      <c r="D3269"/>
      <c r="E3269"/>
      <c r="F3269"/>
      <c r="G3269"/>
      <c r="U3269"/>
      <c r="V3269"/>
      <c r="W3269"/>
      <c r="X3269"/>
      <c r="Y3269"/>
      <c r="Z3269"/>
      <c r="AA3269"/>
      <c r="AB3269"/>
      <c r="AL3269"/>
      <c r="AM3269"/>
      <c r="AN3269"/>
      <c r="AO3269"/>
    </row>
    <row r="3270" spans="1:41" s="2" customFormat="1" x14ac:dyDescent="0.2">
      <c r="A3270"/>
      <c r="B3270"/>
      <c r="C3270"/>
      <c r="D3270"/>
      <c r="E3270"/>
      <c r="F3270"/>
      <c r="G3270"/>
      <c r="U3270"/>
      <c r="V3270"/>
      <c r="W3270"/>
      <c r="X3270"/>
      <c r="Y3270"/>
      <c r="Z3270"/>
      <c r="AA3270"/>
      <c r="AB3270"/>
      <c r="AL3270"/>
      <c r="AM3270"/>
      <c r="AN3270"/>
      <c r="AO3270"/>
    </row>
    <row r="3271" spans="1:41" s="2" customFormat="1" x14ac:dyDescent="0.2">
      <c r="A3271"/>
      <c r="B3271"/>
      <c r="C3271"/>
      <c r="D3271"/>
      <c r="E3271"/>
      <c r="F3271"/>
      <c r="G3271"/>
      <c r="U3271"/>
      <c r="V3271"/>
      <c r="W3271"/>
      <c r="X3271"/>
      <c r="Y3271"/>
      <c r="Z3271"/>
      <c r="AA3271"/>
      <c r="AB3271"/>
      <c r="AL3271"/>
      <c r="AM3271"/>
      <c r="AN3271"/>
      <c r="AO3271"/>
    </row>
    <row r="3272" spans="1:41" s="2" customFormat="1" x14ac:dyDescent="0.2">
      <c r="A3272"/>
      <c r="B3272"/>
      <c r="C3272"/>
      <c r="D3272"/>
      <c r="E3272"/>
      <c r="F3272"/>
      <c r="G3272"/>
      <c r="U3272"/>
      <c r="V3272"/>
      <c r="W3272"/>
      <c r="X3272"/>
      <c r="Y3272"/>
      <c r="Z3272"/>
      <c r="AA3272"/>
      <c r="AB3272"/>
      <c r="AL3272"/>
      <c r="AM3272"/>
      <c r="AN3272"/>
      <c r="AO3272"/>
    </row>
    <row r="3273" spans="1:41" s="2" customFormat="1" x14ac:dyDescent="0.2">
      <c r="A3273"/>
      <c r="B3273"/>
      <c r="C3273"/>
      <c r="D3273"/>
      <c r="E3273"/>
      <c r="F3273"/>
      <c r="G3273"/>
      <c r="U3273"/>
      <c r="V3273"/>
      <c r="W3273"/>
      <c r="X3273"/>
      <c r="Y3273"/>
      <c r="Z3273"/>
      <c r="AA3273"/>
      <c r="AB3273"/>
      <c r="AL3273"/>
      <c r="AM3273"/>
      <c r="AN3273"/>
      <c r="AO3273"/>
    </row>
    <row r="3274" spans="1:41" s="2" customFormat="1" x14ac:dyDescent="0.2">
      <c r="A3274"/>
      <c r="B3274"/>
      <c r="C3274"/>
      <c r="D3274"/>
      <c r="E3274"/>
      <c r="F3274"/>
      <c r="G3274"/>
      <c r="U3274"/>
      <c r="V3274"/>
      <c r="W3274"/>
      <c r="X3274"/>
      <c r="Y3274"/>
      <c r="Z3274"/>
      <c r="AA3274"/>
      <c r="AB3274"/>
      <c r="AL3274"/>
      <c r="AM3274"/>
      <c r="AN3274"/>
      <c r="AO3274"/>
    </row>
    <row r="3275" spans="1:41" s="2" customFormat="1" x14ac:dyDescent="0.2">
      <c r="A3275"/>
      <c r="B3275"/>
      <c r="C3275"/>
      <c r="D3275"/>
      <c r="E3275"/>
      <c r="F3275"/>
      <c r="G3275"/>
      <c r="U3275"/>
      <c r="V3275"/>
      <c r="W3275"/>
      <c r="X3275"/>
      <c r="Y3275"/>
      <c r="Z3275"/>
      <c r="AA3275"/>
      <c r="AB3275"/>
      <c r="AL3275"/>
      <c r="AM3275"/>
      <c r="AN3275"/>
      <c r="AO3275"/>
    </row>
    <row r="3276" spans="1:41" s="2" customFormat="1" x14ac:dyDescent="0.2">
      <c r="A3276"/>
      <c r="B3276"/>
      <c r="C3276"/>
      <c r="D3276"/>
      <c r="E3276"/>
      <c r="F3276"/>
      <c r="G3276"/>
      <c r="U3276"/>
      <c r="V3276"/>
      <c r="W3276"/>
      <c r="X3276"/>
      <c r="Y3276"/>
      <c r="Z3276"/>
      <c r="AA3276"/>
      <c r="AB3276"/>
      <c r="AL3276"/>
      <c r="AM3276"/>
      <c r="AN3276"/>
      <c r="AO3276"/>
    </row>
    <row r="3277" spans="1:41" s="2" customFormat="1" x14ac:dyDescent="0.2">
      <c r="A3277"/>
      <c r="B3277"/>
      <c r="C3277"/>
      <c r="D3277"/>
      <c r="E3277"/>
      <c r="F3277"/>
      <c r="G3277"/>
      <c r="U3277"/>
      <c r="V3277"/>
      <c r="W3277"/>
      <c r="X3277"/>
      <c r="Y3277"/>
      <c r="Z3277"/>
      <c r="AA3277"/>
      <c r="AB3277"/>
      <c r="AL3277"/>
      <c r="AM3277"/>
      <c r="AN3277"/>
      <c r="AO3277"/>
    </row>
    <row r="3278" spans="1:41" s="2" customFormat="1" x14ac:dyDescent="0.2">
      <c r="A3278"/>
      <c r="B3278"/>
      <c r="C3278"/>
      <c r="D3278"/>
      <c r="E3278"/>
      <c r="F3278"/>
      <c r="G3278"/>
      <c r="U3278"/>
      <c r="V3278"/>
      <c r="W3278"/>
      <c r="X3278"/>
      <c r="Y3278"/>
      <c r="Z3278"/>
      <c r="AA3278"/>
      <c r="AB3278"/>
      <c r="AL3278"/>
      <c r="AM3278"/>
      <c r="AN3278"/>
      <c r="AO3278"/>
    </row>
    <row r="3279" spans="1:41" s="2" customFormat="1" x14ac:dyDescent="0.2">
      <c r="A3279"/>
      <c r="B3279"/>
      <c r="C3279"/>
      <c r="D3279"/>
      <c r="E3279"/>
      <c r="F3279"/>
      <c r="G3279"/>
      <c r="U3279"/>
      <c r="V3279"/>
      <c r="W3279"/>
      <c r="X3279"/>
      <c r="Y3279"/>
      <c r="Z3279"/>
      <c r="AA3279"/>
      <c r="AB3279"/>
      <c r="AL3279"/>
      <c r="AM3279"/>
      <c r="AN3279"/>
      <c r="AO3279"/>
    </row>
    <row r="3280" spans="1:41" s="2" customFormat="1" x14ac:dyDescent="0.2">
      <c r="A3280"/>
      <c r="B3280"/>
      <c r="C3280"/>
      <c r="D3280"/>
      <c r="E3280"/>
      <c r="F3280"/>
      <c r="G3280"/>
      <c r="U3280"/>
      <c r="V3280"/>
      <c r="W3280"/>
      <c r="X3280"/>
      <c r="Y3280"/>
      <c r="Z3280"/>
      <c r="AA3280"/>
      <c r="AB3280"/>
      <c r="AL3280"/>
      <c r="AM3280"/>
      <c r="AN3280"/>
      <c r="AO3280"/>
    </row>
    <row r="3281" spans="1:41" s="2" customFormat="1" x14ac:dyDescent="0.2">
      <c r="A3281"/>
      <c r="B3281"/>
      <c r="C3281"/>
      <c r="D3281"/>
      <c r="E3281"/>
      <c r="F3281"/>
      <c r="G3281"/>
      <c r="U3281"/>
      <c r="V3281"/>
      <c r="W3281"/>
      <c r="X3281"/>
      <c r="Y3281"/>
      <c r="Z3281"/>
      <c r="AA3281"/>
      <c r="AB3281"/>
      <c r="AL3281"/>
      <c r="AM3281"/>
      <c r="AN3281"/>
      <c r="AO3281"/>
    </row>
    <row r="3282" spans="1:41" s="2" customFormat="1" x14ac:dyDescent="0.2">
      <c r="A3282"/>
      <c r="B3282"/>
      <c r="C3282"/>
      <c r="D3282"/>
      <c r="E3282"/>
      <c r="F3282"/>
      <c r="G3282"/>
      <c r="U3282"/>
      <c r="V3282"/>
      <c r="W3282"/>
      <c r="X3282"/>
      <c r="Y3282"/>
      <c r="Z3282"/>
      <c r="AA3282"/>
      <c r="AB3282"/>
      <c r="AL3282"/>
      <c r="AM3282"/>
      <c r="AN3282"/>
      <c r="AO3282"/>
    </row>
    <row r="3283" spans="1:41" s="2" customFormat="1" x14ac:dyDescent="0.2">
      <c r="A3283"/>
      <c r="B3283"/>
      <c r="C3283"/>
      <c r="D3283"/>
      <c r="E3283"/>
      <c r="F3283"/>
      <c r="G3283"/>
      <c r="U3283"/>
      <c r="V3283"/>
      <c r="W3283"/>
      <c r="X3283"/>
      <c r="Y3283"/>
      <c r="Z3283"/>
      <c r="AA3283"/>
      <c r="AB3283"/>
      <c r="AL3283"/>
      <c r="AM3283"/>
      <c r="AN3283"/>
      <c r="AO3283"/>
    </row>
    <row r="3284" spans="1:41" s="2" customFormat="1" x14ac:dyDescent="0.2">
      <c r="A3284"/>
      <c r="B3284"/>
      <c r="C3284"/>
      <c r="D3284"/>
      <c r="E3284"/>
      <c r="F3284"/>
      <c r="G3284"/>
      <c r="U3284"/>
      <c r="V3284"/>
      <c r="W3284"/>
      <c r="X3284"/>
      <c r="Y3284"/>
      <c r="Z3284"/>
      <c r="AA3284"/>
      <c r="AB3284"/>
      <c r="AL3284"/>
      <c r="AM3284"/>
      <c r="AN3284"/>
      <c r="AO3284"/>
    </row>
    <row r="3285" spans="1:41" s="2" customFormat="1" x14ac:dyDescent="0.2">
      <c r="A3285"/>
      <c r="B3285"/>
      <c r="C3285"/>
      <c r="D3285"/>
      <c r="E3285"/>
      <c r="F3285"/>
      <c r="G3285"/>
      <c r="U3285"/>
      <c r="V3285"/>
      <c r="W3285"/>
      <c r="X3285"/>
      <c r="Y3285"/>
      <c r="Z3285"/>
      <c r="AA3285"/>
      <c r="AB3285"/>
      <c r="AL3285"/>
      <c r="AM3285"/>
      <c r="AN3285"/>
      <c r="AO3285"/>
    </row>
    <row r="3286" spans="1:41" s="2" customFormat="1" x14ac:dyDescent="0.2">
      <c r="A3286"/>
      <c r="B3286"/>
      <c r="C3286"/>
      <c r="D3286"/>
      <c r="E3286"/>
      <c r="F3286"/>
      <c r="G3286"/>
      <c r="U3286"/>
      <c r="V3286"/>
      <c r="W3286"/>
      <c r="X3286"/>
      <c r="Y3286"/>
      <c r="Z3286"/>
      <c r="AA3286"/>
      <c r="AB3286"/>
      <c r="AL3286"/>
      <c r="AM3286"/>
      <c r="AN3286"/>
      <c r="AO3286"/>
    </row>
    <row r="3287" spans="1:41" s="2" customFormat="1" x14ac:dyDescent="0.2">
      <c r="A3287"/>
      <c r="B3287"/>
      <c r="C3287"/>
      <c r="D3287"/>
      <c r="E3287"/>
      <c r="F3287"/>
      <c r="G3287"/>
      <c r="U3287"/>
      <c r="V3287"/>
      <c r="W3287"/>
      <c r="X3287"/>
      <c r="Y3287"/>
      <c r="Z3287"/>
      <c r="AA3287"/>
      <c r="AB3287"/>
      <c r="AL3287"/>
      <c r="AM3287"/>
      <c r="AN3287"/>
      <c r="AO3287"/>
    </row>
    <row r="3288" spans="1:41" s="2" customFormat="1" x14ac:dyDescent="0.2">
      <c r="A3288"/>
      <c r="B3288"/>
      <c r="C3288"/>
      <c r="D3288"/>
      <c r="E3288"/>
      <c r="F3288"/>
      <c r="G3288"/>
      <c r="U3288"/>
      <c r="V3288"/>
      <c r="W3288"/>
      <c r="X3288"/>
      <c r="Y3288"/>
      <c r="Z3288"/>
      <c r="AA3288"/>
      <c r="AB3288"/>
      <c r="AL3288"/>
      <c r="AM3288"/>
      <c r="AN3288"/>
      <c r="AO3288"/>
    </row>
    <row r="3289" spans="1:41" s="2" customFormat="1" x14ac:dyDescent="0.2">
      <c r="A3289"/>
      <c r="B3289"/>
      <c r="C3289"/>
      <c r="D3289"/>
      <c r="E3289"/>
      <c r="F3289"/>
      <c r="G3289"/>
      <c r="U3289"/>
      <c r="V3289"/>
      <c r="W3289"/>
      <c r="X3289"/>
      <c r="Y3289"/>
      <c r="Z3289"/>
      <c r="AA3289"/>
      <c r="AB3289"/>
      <c r="AL3289"/>
      <c r="AM3289"/>
      <c r="AN3289"/>
      <c r="AO3289"/>
    </row>
    <row r="3290" spans="1:41" s="2" customFormat="1" x14ac:dyDescent="0.2">
      <c r="A3290"/>
      <c r="B3290"/>
      <c r="C3290"/>
      <c r="D3290"/>
      <c r="E3290"/>
      <c r="F3290"/>
      <c r="G3290"/>
      <c r="U3290"/>
      <c r="V3290"/>
      <c r="W3290"/>
      <c r="X3290"/>
      <c r="Y3290"/>
      <c r="Z3290"/>
      <c r="AA3290"/>
      <c r="AB3290"/>
      <c r="AL3290"/>
      <c r="AM3290"/>
      <c r="AN3290"/>
      <c r="AO3290"/>
    </row>
    <row r="3291" spans="1:41" s="2" customFormat="1" x14ac:dyDescent="0.2">
      <c r="A3291"/>
      <c r="B3291"/>
      <c r="C3291"/>
      <c r="D3291"/>
      <c r="E3291"/>
      <c r="F3291"/>
      <c r="G3291"/>
      <c r="U3291"/>
      <c r="V3291"/>
      <c r="W3291"/>
      <c r="X3291"/>
      <c r="Y3291"/>
      <c r="Z3291"/>
      <c r="AA3291"/>
      <c r="AB3291"/>
      <c r="AL3291"/>
      <c r="AM3291"/>
      <c r="AN3291"/>
      <c r="AO3291"/>
    </row>
    <row r="3292" spans="1:41" s="2" customFormat="1" x14ac:dyDescent="0.2">
      <c r="A3292"/>
      <c r="B3292"/>
      <c r="C3292"/>
      <c r="D3292"/>
      <c r="E3292"/>
      <c r="F3292"/>
      <c r="G3292"/>
      <c r="U3292"/>
      <c r="V3292"/>
      <c r="W3292"/>
      <c r="X3292"/>
      <c r="Y3292"/>
      <c r="Z3292"/>
      <c r="AA3292"/>
      <c r="AB3292"/>
      <c r="AL3292"/>
      <c r="AM3292"/>
      <c r="AN3292"/>
      <c r="AO3292"/>
    </row>
    <row r="3293" spans="1:41" s="2" customFormat="1" x14ac:dyDescent="0.2">
      <c r="A3293"/>
      <c r="B3293"/>
      <c r="C3293"/>
      <c r="D3293"/>
      <c r="E3293"/>
      <c r="F3293"/>
      <c r="G3293"/>
      <c r="U3293"/>
      <c r="V3293"/>
      <c r="W3293"/>
      <c r="X3293"/>
      <c r="Y3293"/>
      <c r="Z3293"/>
      <c r="AA3293"/>
      <c r="AB3293"/>
      <c r="AL3293"/>
      <c r="AM3293"/>
      <c r="AN3293"/>
      <c r="AO3293"/>
    </row>
    <row r="3294" spans="1:41" s="2" customFormat="1" x14ac:dyDescent="0.2">
      <c r="A3294"/>
      <c r="B3294"/>
      <c r="C3294"/>
      <c r="D3294"/>
      <c r="E3294"/>
      <c r="F3294"/>
      <c r="G3294"/>
      <c r="U3294"/>
      <c r="V3294"/>
      <c r="W3294"/>
      <c r="X3294"/>
      <c r="Y3294"/>
      <c r="Z3294"/>
      <c r="AA3294"/>
      <c r="AB3294"/>
      <c r="AL3294"/>
      <c r="AM3294"/>
      <c r="AN3294"/>
      <c r="AO3294"/>
    </row>
    <row r="3295" spans="1:41" s="2" customFormat="1" x14ac:dyDescent="0.2">
      <c r="A3295"/>
      <c r="B3295"/>
      <c r="C3295"/>
      <c r="D3295"/>
      <c r="E3295"/>
      <c r="F3295"/>
      <c r="G3295"/>
      <c r="U3295"/>
      <c r="V3295"/>
      <c r="W3295"/>
      <c r="X3295"/>
      <c r="Y3295"/>
      <c r="Z3295"/>
      <c r="AA3295"/>
      <c r="AB3295"/>
      <c r="AL3295"/>
      <c r="AM3295"/>
      <c r="AN3295"/>
      <c r="AO3295"/>
    </row>
    <row r="3296" spans="1:41" s="2" customFormat="1" x14ac:dyDescent="0.2">
      <c r="A3296"/>
      <c r="B3296"/>
      <c r="C3296"/>
      <c r="D3296"/>
      <c r="E3296"/>
      <c r="F3296"/>
      <c r="G3296"/>
      <c r="U3296"/>
      <c r="V3296"/>
      <c r="W3296"/>
      <c r="X3296"/>
      <c r="Y3296"/>
      <c r="Z3296"/>
      <c r="AA3296"/>
      <c r="AB3296"/>
      <c r="AL3296"/>
      <c r="AM3296"/>
      <c r="AN3296"/>
      <c r="AO3296"/>
    </row>
    <row r="3297" spans="1:41" s="2" customFormat="1" x14ac:dyDescent="0.2">
      <c r="A3297"/>
      <c r="B3297"/>
      <c r="C3297"/>
      <c r="D3297"/>
      <c r="E3297"/>
      <c r="F3297"/>
      <c r="G3297"/>
      <c r="U3297"/>
      <c r="V3297"/>
      <c r="W3297"/>
      <c r="X3297"/>
      <c r="Y3297"/>
      <c r="Z3297"/>
      <c r="AA3297"/>
      <c r="AB3297"/>
      <c r="AL3297"/>
      <c r="AM3297"/>
      <c r="AN3297"/>
      <c r="AO3297"/>
    </row>
    <row r="3298" spans="1:41" s="2" customFormat="1" x14ac:dyDescent="0.2">
      <c r="A3298"/>
      <c r="B3298"/>
      <c r="C3298"/>
      <c r="D3298"/>
      <c r="E3298"/>
      <c r="F3298"/>
      <c r="G3298"/>
      <c r="U3298"/>
      <c r="V3298"/>
      <c r="W3298"/>
      <c r="X3298"/>
      <c r="Y3298"/>
      <c r="Z3298"/>
      <c r="AA3298"/>
      <c r="AB3298"/>
      <c r="AL3298"/>
      <c r="AM3298"/>
      <c r="AN3298"/>
      <c r="AO3298"/>
    </row>
    <row r="3299" spans="1:41" s="2" customFormat="1" x14ac:dyDescent="0.2">
      <c r="A3299"/>
      <c r="B3299"/>
      <c r="C3299"/>
      <c r="D3299"/>
      <c r="E3299"/>
      <c r="F3299"/>
      <c r="G3299"/>
      <c r="U3299"/>
      <c r="V3299"/>
      <c r="W3299"/>
      <c r="X3299"/>
      <c r="Y3299"/>
      <c r="Z3299"/>
      <c r="AA3299"/>
      <c r="AB3299"/>
      <c r="AL3299"/>
      <c r="AM3299"/>
      <c r="AN3299"/>
      <c r="AO3299"/>
    </row>
    <row r="3300" spans="1:41" s="2" customFormat="1" x14ac:dyDescent="0.2">
      <c r="A3300"/>
      <c r="B3300"/>
      <c r="C3300"/>
      <c r="D3300"/>
      <c r="E3300"/>
      <c r="F3300"/>
      <c r="G3300"/>
      <c r="U3300"/>
      <c r="V3300"/>
      <c r="W3300"/>
      <c r="X3300"/>
      <c r="Y3300"/>
      <c r="Z3300"/>
      <c r="AA3300"/>
      <c r="AB3300"/>
      <c r="AL3300"/>
      <c r="AM3300"/>
      <c r="AN3300"/>
      <c r="AO3300"/>
    </row>
    <row r="3301" spans="1:41" s="2" customFormat="1" x14ac:dyDescent="0.2">
      <c r="A3301"/>
      <c r="B3301"/>
      <c r="C3301"/>
      <c r="D3301"/>
      <c r="E3301"/>
      <c r="F3301"/>
      <c r="G3301"/>
      <c r="U3301"/>
      <c r="V3301"/>
      <c r="W3301"/>
      <c r="X3301"/>
      <c r="Y3301"/>
      <c r="Z3301"/>
      <c r="AA3301"/>
      <c r="AB3301"/>
      <c r="AL3301"/>
      <c r="AM3301"/>
      <c r="AN3301"/>
      <c r="AO3301"/>
    </row>
    <row r="3302" spans="1:41" s="2" customFormat="1" x14ac:dyDescent="0.2">
      <c r="A3302"/>
      <c r="B3302"/>
      <c r="C3302"/>
      <c r="D3302"/>
      <c r="E3302"/>
      <c r="F3302"/>
      <c r="G3302"/>
      <c r="U3302"/>
      <c r="V3302"/>
      <c r="W3302"/>
      <c r="X3302"/>
      <c r="Y3302"/>
      <c r="Z3302"/>
      <c r="AA3302"/>
      <c r="AB3302"/>
      <c r="AL3302"/>
      <c r="AM3302"/>
      <c r="AN3302"/>
      <c r="AO3302"/>
    </row>
    <row r="3303" spans="1:41" s="2" customFormat="1" x14ac:dyDescent="0.2">
      <c r="A3303"/>
      <c r="B3303"/>
      <c r="C3303"/>
      <c r="D3303"/>
      <c r="E3303"/>
      <c r="F3303"/>
      <c r="G3303"/>
      <c r="U3303"/>
      <c r="V3303"/>
      <c r="W3303"/>
      <c r="X3303"/>
      <c r="Y3303"/>
      <c r="Z3303"/>
      <c r="AA3303"/>
      <c r="AB3303"/>
      <c r="AL3303"/>
      <c r="AM3303"/>
      <c r="AN3303"/>
      <c r="AO3303"/>
    </row>
    <row r="3304" spans="1:41" s="2" customFormat="1" x14ac:dyDescent="0.2">
      <c r="A3304"/>
      <c r="B3304"/>
      <c r="C3304"/>
      <c r="D3304"/>
      <c r="E3304"/>
      <c r="F3304"/>
      <c r="G3304"/>
      <c r="U3304"/>
      <c r="V3304"/>
      <c r="W3304"/>
      <c r="X3304"/>
      <c r="Y3304"/>
      <c r="Z3304"/>
      <c r="AA3304"/>
      <c r="AB3304"/>
      <c r="AL3304"/>
      <c r="AM3304"/>
      <c r="AN3304"/>
      <c r="AO3304"/>
    </row>
    <row r="3305" spans="1:41" s="2" customFormat="1" x14ac:dyDescent="0.2">
      <c r="A3305"/>
      <c r="B3305"/>
      <c r="C3305"/>
      <c r="D3305"/>
      <c r="E3305"/>
      <c r="F3305"/>
      <c r="G3305"/>
      <c r="U3305"/>
      <c r="V3305"/>
      <c r="W3305"/>
      <c r="X3305"/>
      <c r="Y3305"/>
      <c r="Z3305"/>
      <c r="AA3305"/>
      <c r="AB3305"/>
      <c r="AL3305"/>
      <c r="AM3305"/>
      <c r="AN3305"/>
      <c r="AO3305"/>
    </row>
    <row r="3306" spans="1:41" s="2" customFormat="1" x14ac:dyDescent="0.2">
      <c r="A3306"/>
      <c r="B3306"/>
      <c r="C3306"/>
      <c r="D3306"/>
      <c r="E3306"/>
      <c r="F3306"/>
      <c r="G3306"/>
      <c r="U3306"/>
      <c r="V3306"/>
      <c r="W3306"/>
      <c r="X3306"/>
      <c r="Y3306"/>
      <c r="Z3306"/>
      <c r="AA3306"/>
      <c r="AB3306"/>
      <c r="AL3306"/>
      <c r="AM3306"/>
      <c r="AN3306"/>
      <c r="AO3306"/>
    </row>
    <row r="3307" spans="1:41" s="2" customFormat="1" x14ac:dyDescent="0.2">
      <c r="A3307"/>
      <c r="B3307"/>
      <c r="C3307"/>
      <c r="D3307"/>
      <c r="E3307"/>
      <c r="F3307"/>
      <c r="G3307"/>
      <c r="U3307"/>
      <c r="V3307"/>
      <c r="W3307"/>
      <c r="X3307"/>
      <c r="Y3307"/>
      <c r="Z3307"/>
      <c r="AA3307"/>
      <c r="AB3307"/>
      <c r="AL3307"/>
      <c r="AM3307"/>
      <c r="AN3307"/>
      <c r="AO3307"/>
    </row>
    <row r="3308" spans="1:41" s="2" customFormat="1" x14ac:dyDescent="0.2">
      <c r="A3308"/>
      <c r="B3308"/>
      <c r="C3308"/>
      <c r="D3308"/>
      <c r="E3308"/>
      <c r="F3308"/>
      <c r="G3308"/>
      <c r="U3308"/>
      <c r="V3308"/>
      <c r="W3308"/>
      <c r="X3308"/>
      <c r="Y3308"/>
      <c r="Z3308"/>
      <c r="AA3308"/>
      <c r="AB3308"/>
      <c r="AL3308"/>
      <c r="AM3308"/>
      <c r="AN3308"/>
      <c r="AO3308"/>
    </row>
    <row r="3309" spans="1:41" s="2" customFormat="1" x14ac:dyDescent="0.2">
      <c r="A3309"/>
      <c r="B3309"/>
      <c r="C3309"/>
      <c r="D3309"/>
      <c r="E3309"/>
      <c r="F3309"/>
      <c r="G3309"/>
      <c r="U3309"/>
      <c r="V3309"/>
      <c r="W3309"/>
      <c r="X3309"/>
      <c r="Y3309"/>
      <c r="Z3309"/>
      <c r="AA3309"/>
      <c r="AB3309"/>
      <c r="AL3309"/>
      <c r="AM3309"/>
      <c r="AN3309"/>
      <c r="AO3309"/>
    </row>
    <row r="3310" spans="1:41" s="2" customFormat="1" x14ac:dyDescent="0.2">
      <c r="A3310"/>
      <c r="B3310"/>
      <c r="C3310"/>
      <c r="D3310"/>
      <c r="E3310"/>
      <c r="F3310"/>
      <c r="G3310"/>
      <c r="U3310"/>
      <c r="V3310"/>
      <c r="W3310"/>
      <c r="X3310"/>
      <c r="Y3310"/>
      <c r="Z3310"/>
      <c r="AA3310"/>
      <c r="AB3310"/>
      <c r="AL3310"/>
      <c r="AM3310"/>
      <c r="AN3310"/>
      <c r="AO3310"/>
    </row>
    <row r="3311" spans="1:41" s="2" customFormat="1" x14ac:dyDescent="0.2">
      <c r="A3311"/>
      <c r="B3311"/>
      <c r="C3311"/>
      <c r="D3311"/>
      <c r="E3311"/>
      <c r="F3311"/>
      <c r="G3311"/>
      <c r="U3311"/>
      <c r="V3311"/>
      <c r="W3311"/>
      <c r="X3311"/>
      <c r="Y3311"/>
      <c r="Z3311"/>
      <c r="AA3311"/>
      <c r="AB3311"/>
      <c r="AL3311"/>
      <c r="AM3311"/>
      <c r="AN3311"/>
      <c r="AO3311"/>
    </row>
    <row r="3312" spans="1:41" s="2" customFormat="1" x14ac:dyDescent="0.2">
      <c r="A3312"/>
      <c r="B3312"/>
      <c r="C3312"/>
      <c r="D3312"/>
      <c r="E3312"/>
      <c r="F3312"/>
      <c r="G3312"/>
      <c r="U3312"/>
      <c r="V3312"/>
      <c r="W3312"/>
      <c r="X3312"/>
      <c r="Y3312"/>
      <c r="Z3312"/>
      <c r="AA3312"/>
      <c r="AB3312"/>
      <c r="AL3312"/>
      <c r="AM3312"/>
      <c r="AN3312"/>
      <c r="AO3312"/>
    </row>
    <row r="3313" spans="1:41" s="2" customFormat="1" x14ac:dyDescent="0.2">
      <c r="A3313"/>
      <c r="B3313"/>
      <c r="C3313"/>
      <c r="D3313"/>
      <c r="E3313"/>
      <c r="F3313"/>
      <c r="G3313"/>
      <c r="U3313"/>
      <c r="V3313"/>
      <c r="W3313"/>
      <c r="X3313"/>
      <c r="Y3313"/>
      <c r="Z3313"/>
      <c r="AA3313"/>
      <c r="AB3313"/>
      <c r="AL3313"/>
      <c r="AM3313"/>
      <c r="AN3313"/>
      <c r="AO3313"/>
    </row>
    <row r="3314" spans="1:41" s="2" customFormat="1" x14ac:dyDescent="0.2">
      <c r="A3314"/>
      <c r="B3314"/>
      <c r="C3314"/>
      <c r="D3314"/>
      <c r="E3314"/>
      <c r="F3314"/>
      <c r="G3314"/>
      <c r="U3314"/>
      <c r="V3314"/>
      <c r="W3314"/>
      <c r="X3314"/>
      <c r="Y3314"/>
      <c r="Z3314"/>
      <c r="AA3314"/>
      <c r="AB3314"/>
      <c r="AL3314"/>
      <c r="AM3314"/>
      <c r="AN3314"/>
      <c r="AO3314"/>
    </row>
    <row r="3315" spans="1:41" s="2" customFormat="1" x14ac:dyDescent="0.2">
      <c r="A3315"/>
      <c r="B3315"/>
      <c r="C3315"/>
      <c r="D3315"/>
      <c r="E3315"/>
      <c r="F3315"/>
      <c r="G3315"/>
      <c r="U3315"/>
      <c r="V3315"/>
      <c r="W3315"/>
      <c r="X3315"/>
      <c r="Y3315"/>
      <c r="Z3315"/>
      <c r="AA3315"/>
      <c r="AB3315"/>
      <c r="AL3315"/>
      <c r="AM3315"/>
      <c r="AN3315"/>
      <c r="AO3315"/>
    </row>
    <row r="3316" spans="1:41" s="2" customFormat="1" x14ac:dyDescent="0.2">
      <c r="A3316"/>
      <c r="B3316"/>
      <c r="C3316"/>
      <c r="D3316"/>
      <c r="E3316"/>
      <c r="F3316"/>
      <c r="G3316"/>
      <c r="U3316"/>
      <c r="V3316"/>
      <c r="W3316"/>
      <c r="X3316"/>
      <c r="Y3316"/>
      <c r="Z3316"/>
      <c r="AA3316"/>
      <c r="AB3316"/>
      <c r="AL3316"/>
      <c r="AM3316"/>
      <c r="AN3316"/>
      <c r="AO3316"/>
    </row>
    <row r="3317" spans="1:41" s="2" customFormat="1" x14ac:dyDescent="0.2">
      <c r="A3317"/>
      <c r="B3317"/>
      <c r="C3317"/>
      <c r="D3317"/>
      <c r="E3317"/>
      <c r="F3317"/>
      <c r="G3317"/>
      <c r="U3317"/>
      <c r="V3317"/>
      <c r="W3317"/>
      <c r="X3317"/>
      <c r="Y3317"/>
      <c r="Z3317"/>
      <c r="AA3317"/>
      <c r="AB3317"/>
      <c r="AL3317"/>
      <c r="AM3317"/>
      <c r="AN3317"/>
      <c r="AO3317"/>
    </row>
    <row r="3318" spans="1:41" s="2" customFormat="1" x14ac:dyDescent="0.2">
      <c r="A3318"/>
      <c r="B3318"/>
      <c r="C3318"/>
      <c r="D3318"/>
      <c r="E3318"/>
      <c r="F3318"/>
      <c r="G3318"/>
      <c r="U3318"/>
      <c r="V3318"/>
      <c r="W3318"/>
      <c r="X3318"/>
      <c r="Y3318"/>
      <c r="Z3318"/>
      <c r="AA3318"/>
      <c r="AB3318"/>
      <c r="AL3318"/>
      <c r="AM3318"/>
      <c r="AN3318"/>
      <c r="AO3318"/>
    </row>
    <row r="3319" spans="1:41" s="2" customFormat="1" x14ac:dyDescent="0.2">
      <c r="A3319"/>
      <c r="B3319"/>
      <c r="C3319"/>
      <c r="D3319"/>
      <c r="E3319"/>
      <c r="F3319"/>
      <c r="G3319"/>
      <c r="U3319"/>
      <c r="V3319"/>
      <c r="W3319"/>
      <c r="X3319"/>
      <c r="Y3319"/>
      <c r="Z3319"/>
      <c r="AA3319"/>
      <c r="AB3319"/>
      <c r="AL3319"/>
      <c r="AM3319"/>
      <c r="AN3319"/>
      <c r="AO3319"/>
    </row>
    <row r="3320" spans="1:41" s="2" customFormat="1" x14ac:dyDescent="0.2">
      <c r="A3320"/>
      <c r="B3320"/>
      <c r="C3320"/>
      <c r="D3320"/>
      <c r="E3320"/>
      <c r="F3320"/>
      <c r="G3320"/>
      <c r="U3320"/>
      <c r="V3320"/>
      <c r="W3320"/>
      <c r="X3320"/>
      <c r="Y3320"/>
      <c r="Z3320"/>
      <c r="AA3320"/>
      <c r="AB3320"/>
      <c r="AL3320"/>
      <c r="AM3320"/>
      <c r="AN3320"/>
      <c r="AO3320"/>
    </row>
    <row r="3321" spans="1:41" s="2" customFormat="1" x14ac:dyDescent="0.2">
      <c r="A3321"/>
      <c r="B3321"/>
      <c r="C3321"/>
      <c r="D3321"/>
      <c r="E3321"/>
      <c r="F3321"/>
      <c r="G3321"/>
      <c r="U3321"/>
      <c r="V3321"/>
      <c r="W3321"/>
      <c r="X3321"/>
      <c r="Y3321"/>
      <c r="Z3321"/>
      <c r="AA3321"/>
      <c r="AB3321"/>
      <c r="AL3321"/>
      <c r="AM3321"/>
      <c r="AN3321"/>
      <c r="AO3321"/>
    </row>
    <row r="3322" spans="1:41" s="2" customFormat="1" x14ac:dyDescent="0.2">
      <c r="A3322"/>
      <c r="B3322"/>
      <c r="C3322"/>
      <c r="D3322"/>
      <c r="E3322"/>
      <c r="F3322"/>
      <c r="G3322"/>
      <c r="U3322"/>
      <c r="V3322"/>
      <c r="W3322"/>
      <c r="X3322"/>
      <c r="Y3322"/>
      <c r="Z3322"/>
      <c r="AA3322"/>
      <c r="AB3322"/>
      <c r="AL3322"/>
      <c r="AM3322"/>
      <c r="AN3322"/>
      <c r="AO3322"/>
    </row>
    <row r="3323" spans="1:41" s="2" customFormat="1" x14ac:dyDescent="0.2">
      <c r="A3323"/>
      <c r="B3323"/>
      <c r="C3323"/>
      <c r="D3323"/>
      <c r="E3323"/>
      <c r="F3323"/>
      <c r="G3323"/>
      <c r="U3323"/>
      <c r="V3323"/>
      <c r="W3323"/>
      <c r="X3323"/>
      <c r="Y3323"/>
      <c r="Z3323"/>
      <c r="AA3323"/>
      <c r="AB3323"/>
      <c r="AL3323"/>
      <c r="AM3323"/>
      <c r="AN3323"/>
      <c r="AO3323"/>
    </row>
    <row r="3324" spans="1:41" s="2" customFormat="1" x14ac:dyDescent="0.2">
      <c r="A3324"/>
      <c r="B3324"/>
      <c r="C3324"/>
      <c r="D3324"/>
      <c r="E3324"/>
      <c r="F3324"/>
      <c r="G3324"/>
      <c r="U3324"/>
      <c r="V3324"/>
      <c r="W3324"/>
      <c r="X3324"/>
      <c r="Y3324"/>
      <c r="Z3324"/>
      <c r="AA3324"/>
      <c r="AB3324"/>
      <c r="AL3324"/>
      <c r="AM3324"/>
      <c r="AN3324"/>
      <c r="AO3324"/>
    </row>
    <row r="3325" spans="1:41" s="2" customFormat="1" x14ac:dyDescent="0.2">
      <c r="A3325"/>
      <c r="B3325"/>
      <c r="C3325"/>
      <c r="D3325"/>
      <c r="E3325"/>
      <c r="F3325"/>
      <c r="G3325"/>
      <c r="U3325"/>
      <c r="V3325"/>
      <c r="W3325"/>
      <c r="X3325"/>
      <c r="Y3325"/>
      <c r="Z3325"/>
      <c r="AA3325"/>
      <c r="AB3325"/>
      <c r="AL3325"/>
      <c r="AM3325"/>
      <c r="AN3325"/>
      <c r="AO3325"/>
    </row>
    <row r="3326" spans="1:41" s="2" customFormat="1" x14ac:dyDescent="0.2">
      <c r="A3326"/>
      <c r="B3326"/>
      <c r="C3326"/>
      <c r="D3326"/>
      <c r="E3326"/>
      <c r="F3326"/>
      <c r="G3326"/>
      <c r="U3326"/>
      <c r="V3326"/>
      <c r="W3326"/>
      <c r="X3326"/>
      <c r="Y3326"/>
      <c r="Z3326"/>
      <c r="AA3326"/>
      <c r="AB3326"/>
      <c r="AL3326"/>
      <c r="AM3326"/>
      <c r="AN3326"/>
      <c r="AO3326"/>
    </row>
    <row r="3327" spans="1:41" s="2" customFormat="1" x14ac:dyDescent="0.2">
      <c r="A3327"/>
      <c r="B3327"/>
      <c r="C3327"/>
      <c r="D3327"/>
      <c r="E3327"/>
      <c r="F3327"/>
      <c r="G3327"/>
      <c r="U3327"/>
      <c r="V3327"/>
      <c r="W3327"/>
      <c r="X3327"/>
      <c r="Y3327"/>
      <c r="Z3327"/>
      <c r="AA3327"/>
      <c r="AB3327"/>
      <c r="AL3327"/>
      <c r="AM3327"/>
      <c r="AN3327"/>
      <c r="AO3327"/>
    </row>
    <row r="3328" spans="1:41" s="2" customFormat="1" x14ac:dyDescent="0.2">
      <c r="A3328"/>
      <c r="B3328"/>
      <c r="C3328"/>
      <c r="D3328"/>
      <c r="E3328"/>
      <c r="F3328"/>
      <c r="G3328"/>
      <c r="U3328"/>
      <c r="V3328"/>
      <c r="W3328"/>
      <c r="X3328"/>
      <c r="Y3328"/>
      <c r="Z3328"/>
      <c r="AA3328"/>
      <c r="AB3328"/>
      <c r="AL3328"/>
      <c r="AM3328"/>
      <c r="AN3328"/>
      <c r="AO3328"/>
    </row>
    <row r="3329" spans="1:41" s="2" customFormat="1" x14ac:dyDescent="0.2">
      <c r="A3329"/>
      <c r="B3329"/>
      <c r="C3329"/>
      <c r="D3329"/>
      <c r="E3329"/>
      <c r="F3329"/>
      <c r="G3329"/>
      <c r="U3329"/>
      <c r="V3329"/>
      <c r="W3329"/>
      <c r="X3329"/>
      <c r="Y3329"/>
      <c r="Z3329"/>
      <c r="AA3329"/>
      <c r="AB3329"/>
      <c r="AL3329"/>
      <c r="AM3329"/>
      <c r="AN3329"/>
      <c r="AO3329"/>
    </row>
    <row r="3330" spans="1:41" s="2" customFormat="1" x14ac:dyDescent="0.2">
      <c r="A3330"/>
      <c r="B3330"/>
      <c r="C3330"/>
      <c r="D3330"/>
      <c r="E3330"/>
      <c r="F3330"/>
      <c r="G3330"/>
      <c r="U3330"/>
      <c r="V3330"/>
      <c r="W3330"/>
      <c r="X3330"/>
      <c r="Y3330"/>
      <c r="Z3330"/>
      <c r="AA3330"/>
      <c r="AB3330"/>
      <c r="AL3330"/>
      <c r="AM3330"/>
      <c r="AN3330"/>
      <c r="AO3330"/>
    </row>
    <row r="3331" spans="1:41" s="2" customFormat="1" x14ac:dyDescent="0.2">
      <c r="A3331"/>
      <c r="B3331"/>
      <c r="C3331"/>
      <c r="D3331"/>
      <c r="E3331"/>
      <c r="F3331"/>
      <c r="G3331"/>
      <c r="U3331"/>
      <c r="V3331"/>
      <c r="W3331"/>
      <c r="X3331"/>
      <c r="Y3331"/>
      <c r="Z3331"/>
      <c r="AA3331"/>
      <c r="AB3331"/>
      <c r="AL3331"/>
      <c r="AM3331"/>
      <c r="AN3331"/>
      <c r="AO3331"/>
    </row>
    <row r="3332" spans="1:41" s="2" customFormat="1" x14ac:dyDescent="0.2">
      <c r="A3332"/>
      <c r="B3332"/>
      <c r="C3332"/>
      <c r="D3332"/>
      <c r="E3332"/>
      <c r="F3332"/>
      <c r="G3332"/>
      <c r="U3332"/>
      <c r="V3332"/>
      <c r="W3332"/>
      <c r="X3332"/>
      <c r="Y3332"/>
      <c r="Z3332"/>
      <c r="AA3332"/>
      <c r="AB3332"/>
      <c r="AL3332"/>
      <c r="AM3332"/>
      <c r="AN3332"/>
      <c r="AO3332"/>
    </row>
    <row r="3333" spans="1:41" s="2" customFormat="1" x14ac:dyDescent="0.2">
      <c r="A3333"/>
      <c r="B3333"/>
      <c r="C3333"/>
      <c r="D3333"/>
      <c r="E3333"/>
      <c r="F3333"/>
      <c r="G3333"/>
      <c r="U3333"/>
      <c r="V3333"/>
      <c r="W3333"/>
      <c r="X3333"/>
      <c r="Y3333"/>
      <c r="Z3333"/>
      <c r="AA3333"/>
      <c r="AB3333"/>
      <c r="AL3333"/>
      <c r="AM3333"/>
      <c r="AN3333"/>
      <c r="AO3333"/>
    </row>
    <row r="3334" spans="1:41" s="2" customFormat="1" x14ac:dyDescent="0.2">
      <c r="A3334"/>
      <c r="B3334"/>
      <c r="C3334"/>
      <c r="D3334"/>
      <c r="E3334"/>
      <c r="F3334"/>
      <c r="G3334"/>
      <c r="U3334"/>
      <c r="V3334"/>
      <c r="W3334"/>
      <c r="X3334"/>
      <c r="Y3334"/>
      <c r="Z3334"/>
      <c r="AA3334"/>
      <c r="AB3334"/>
      <c r="AL3334"/>
      <c r="AM3334"/>
      <c r="AN3334"/>
      <c r="AO3334"/>
    </row>
    <row r="3335" spans="1:41" s="2" customFormat="1" x14ac:dyDescent="0.2">
      <c r="A3335"/>
      <c r="B3335"/>
      <c r="C3335"/>
      <c r="D3335"/>
      <c r="E3335"/>
      <c r="F3335"/>
      <c r="G3335"/>
      <c r="U3335"/>
      <c r="V3335"/>
      <c r="W3335"/>
      <c r="X3335"/>
      <c r="Y3335"/>
      <c r="Z3335"/>
      <c r="AA3335"/>
      <c r="AB3335"/>
      <c r="AL3335"/>
      <c r="AM3335"/>
      <c r="AN3335"/>
      <c r="AO3335"/>
    </row>
    <row r="3336" spans="1:41" s="2" customFormat="1" x14ac:dyDescent="0.2">
      <c r="A3336"/>
      <c r="B3336"/>
      <c r="C3336"/>
      <c r="D3336"/>
      <c r="E3336"/>
      <c r="F3336"/>
      <c r="G3336"/>
      <c r="U3336"/>
      <c r="V3336"/>
      <c r="W3336"/>
      <c r="X3336"/>
      <c r="Y3336"/>
      <c r="Z3336"/>
      <c r="AA3336"/>
      <c r="AB3336"/>
      <c r="AL3336"/>
      <c r="AM3336"/>
      <c r="AN3336"/>
      <c r="AO3336"/>
    </row>
    <row r="3337" spans="1:41" s="2" customFormat="1" x14ac:dyDescent="0.2">
      <c r="A3337"/>
      <c r="B3337"/>
      <c r="C3337"/>
      <c r="D3337"/>
      <c r="E3337"/>
      <c r="F3337"/>
      <c r="G3337"/>
      <c r="U3337"/>
      <c r="V3337"/>
      <c r="W3337"/>
      <c r="X3337"/>
      <c r="Y3337"/>
      <c r="Z3337"/>
      <c r="AA3337"/>
      <c r="AB3337"/>
      <c r="AL3337"/>
      <c r="AM3337"/>
      <c r="AN3337"/>
      <c r="AO3337"/>
    </row>
    <row r="3338" spans="1:41" s="2" customFormat="1" x14ac:dyDescent="0.2">
      <c r="A3338"/>
      <c r="B3338"/>
      <c r="C3338"/>
      <c r="D3338"/>
      <c r="E3338"/>
      <c r="F3338"/>
      <c r="G3338"/>
      <c r="U3338"/>
      <c r="V3338"/>
      <c r="W3338"/>
      <c r="X3338"/>
      <c r="Y3338"/>
      <c r="Z3338"/>
      <c r="AA3338"/>
      <c r="AB3338"/>
      <c r="AL3338"/>
      <c r="AM3338"/>
      <c r="AN3338"/>
      <c r="AO3338"/>
    </row>
    <row r="3339" spans="1:41" s="2" customFormat="1" x14ac:dyDescent="0.2">
      <c r="A3339"/>
      <c r="B3339"/>
      <c r="C3339"/>
      <c r="D3339"/>
      <c r="E3339"/>
      <c r="F3339"/>
      <c r="G3339"/>
      <c r="U3339"/>
      <c r="V3339"/>
      <c r="W3339"/>
      <c r="X3339"/>
      <c r="Y3339"/>
      <c r="Z3339"/>
      <c r="AA3339"/>
      <c r="AB3339"/>
      <c r="AL3339"/>
      <c r="AM3339"/>
      <c r="AN3339"/>
      <c r="AO3339"/>
    </row>
    <row r="3340" spans="1:41" s="2" customFormat="1" x14ac:dyDescent="0.2">
      <c r="A3340"/>
      <c r="B3340"/>
      <c r="C3340"/>
      <c r="D3340"/>
      <c r="E3340"/>
      <c r="F3340"/>
      <c r="G3340"/>
      <c r="U3340"/>
      <c r="V3340"/>
      <c r="W3340"/>
      <c r="X3340"/>
      <c r="Y3340"/>
      <c r="Z3340"/>
      <c r="AA3340"/>
      <c r="AB3340"/>
      <c r="AL3340"/>
      <c r="AM3340"/>
      <c r="AN3340"/>
      <c r="AO3340"/>
    </row>
    <row r="3341" spans="1:41" s="2" customFormat="1" x14ac:dyDescent="0.2">
      <c r="A3341"/>
      <c r="B3341"/>
      <c r="C3341"/>
      <c r="D3341"/>
      <c r="E3341"/>
      <c r="F3341"/>
      <c r="G3341"/>
      <c r="U3341"/>
      <c r="V3341"/>
      <c r="W3341"/>
      <c r="X3341"/>
      <c r="Y3341"/>
      <c r="Z3341"/>
      <c r="AA3341"/>
      <c r="AB3341"/>
      <c r="AL3341"/>
      <c r="AM3341"/>
      <c r="AN3341"/>
      <c r="AO3341"/>
    </row>
    <row r="3342" spans="1:41" s="2" customFormat="1" x14ac:dyDescent="0.2">
      <c r="A3342"/>
      <c r="B3342"/>
      <c r="C3342"/>
      <c r="D3342"/>
      <c r="E3342"/>
      <c r="F3342"/>
      <c r="G3342"/>
      <c r="U3342"/>
      <c r="V3342"/>
      <c r="W3342"/>
      <c r="X3342"/>
      <c r="Y3342"/>
      <c r="Z3342"/>
      <c r="AA3342"/>
      <c r="AB3342"/>
      <c r="AL3342"/>
      <c r="AM3342"/>
      <c r="AN3342"/>
      <c r="AO3342"/>
    </row>
    <row r="3343" spans="1:41" s="2" customFormat="1" x14ac:dyDescent="0.2">
      <c r="A3343"/>
      <c r="B3343"/>
      <c r="C3343"/>
      <c r="D3343"/>
      <c r="E3343"/>
      <c r="F3343"/>
      <c r="G3343"/>
      <c r="U3343"/>
      <c r="V3343"/>
      <c r="W3343"/>
      <c r="X3343"/>
      <c r="Y3343"/>
      <c r="Z3343"/>
      <c r="AA3343"/>
      <c r="AB3343"/>
      <c r="AL3343"/>
      <c r="AM3343"/>
      <c r="AN3343"/>
      <c r="AO3343"/>
    </row>
    <row r="3344" spans="1:41" s="2" customFormat="1" x14ac:dyDescent="0.2">
      <c r="A3344"/>
      <c r="B3344"/>
      <c r="C3344"/>
      <c r="D3344"/>
      <c r="E3344"/>
      <c r="F3344"/>
      <c r="G3344"/>
      <c r="U3344"/>
      <c r="V3344"/>
      <c r="W3344"/>
      <c r="X3344"/>
      <c r="Y3344"/>
      <c r="Z3344"/>
      <c r="AA3344"/>
      <c r="AB3344"/>
      <c r="AL3344"/>
      <c r="AM3344"/>
      <c r="AN3344"/>
      <c r="AO3344"/>
    </row>
    <row r="3345" spans="1:41" s="2" customFormat="1" x14ac:dyDescent="0.2">
      <c r="A3345"/>
      <c r="B3345"/>
      <c r="C3345"/>
      <c r="D3345"/>
      <c r="E3345"/>
      <c r="F3345"/>
      <c r="G3345"/>
      <c r="U3345"/>
      <c r="V3345"/>
      <c r="W3345"/>
      <c r="X3345"/>
      <c r="Y3345"/>
      <c r="Z3345"/>
      <c r="AA3345"/>
      <c r="AB3345"/>
      <c r="AL3345"/>
      <c r="AM3345"/>
      <c r="AN3345"/>
      <c r="AO3345"/>
    </row>
    <row r="3346" spans="1:41" s="2" customFormat="1" x14ac:dyDescent="0.2">
      <c r="A3346"/>
      <c r="B3346"/>
      <c r="C3346"/>
      <c r="D3346"/>
      <c r="E3346"/>
      <c r="F3346"/>
      <c r="G3346"/>
      <c r="U3346"/>
      <c r="V3346"/>
      <c r="W3346"/>
      <c r="X3346"/>
      <c r="Y3346"/>
      <c r="Z3346"/>
      <c r="AA3346"/>
      <c r="AB3346"/>
      <c r="AL3346"/>
      <c r="AM3346"/>
      <c r="AN3346"/>
      <c r="AO3346"/>
    </row>
    <row r="3347" spans="1:41" s="2" customFormat="1" x14ac:dyDescent="0.2">
      <c r="A3347"/>
      <c r="B3347"/>
      <c r="C3347"/>
      <c r="D3347"/>
      <c r="E3347"/>
      <c r="F3347"/>
      <c r="G3347"/>
      <c r="U3347"/>
      <c r="V3347"/>
      <c r="W3347"/>
      <c r="X3347"/>
      <c r="Y3347"/>
      <c r="Z3347"/>
      <c r="AA3347"/>
      <c r="AB3347"/>
      <c r="AL3347"/>
      <c r="AM3347"/>
      <c r="AN3347"/>
      <c r="AO3347"/>
    </row>
    <row r="3348" spans="1:41" s="2" customFormat="1" x14ac:dyDescent="0.2">
      <c r="A3348"/>
      <c r="B3348"/>
      <c r="C3348"/>
      <c r="D3348"/>
      <c r="E3348"/>
      <c r="F3348"/>
      <c r="G3348"/>
      <c r="U3348"/>
      <c r="V3348"/>
      <c r="W3348"/>
      <c r="X3348"/>
      <c r="Y3348"/>
      <c r="Z3348"/>
      <c r="AA3348"/>
      <c r="AB3348"/>
      <c r="AL3348"/>
      <c r="AM3348"/>
      <c r="AN3348"/>
      <c r="AO3348"/>
    </row>
    <row r="3349" spans="1:41" s="2" customFormat="1" x14ac:dyDescent="0.2">
      <c r="A3349"/>
      <c r="B3349"/>
      <c r="C3349"/>
      <c r="D3349"/>
      <c r="E3349"/>
      <c r="F3349"/>
      <c r="G3349"/>
      <c r="U3349"/>
      <c r="V3349"/>
      <c r="W3349"/>
      <c r="X3349"/>
      <c r="Y3349"/>
      <c r="Z3349"/>
      <c r="AA3349"/>
      <c r="AB3349"/>
      <c r="AL3349"/>
      <c r="AM3349"/>
      <c r="AN3349"/>
      <c r="AO3349"/>
    </row>
    <row r="3350" spans="1:41" s="2" customFormat="1" x14ac:dyDescent="0.2">
      <c r="A3350"/>
      <c r="B3350"/>
      <c r="C3350"/>
      <c r="D3350"/>
      <c r="E3350"/>
      <c r="F3350"/>
      <c r="G3350"/>
      <c r="U3350"/>
      <c r="V3350"/>
      <c r="W3350"/>
      <c r="X3350"/>
      <c r="Y3350"/>
      <c r="Z3350"/>
      <c r="AA3350"/>
      <c r="AB3350"/>
      <c r="AL3350"/>
      <c r="AM3350"/>
      <c r="AN3350"/>
      <c r="AO3350"/>
    </row>
    <row r="3351" spans="1:41" s="2" customFormat="1" x14ac:dyDescent="0.2">
      <c r="A3351"/>
      <c r="B3351"/>
      <c r="C3351"/>
      <c r="D3351"/>
      <c r="E3351"/>
      <c r="F3351"/>
      <c r="G3351"/>
      <c r="U3351"/>
      <c r="V3351"/>
      <c r="W3351"/>
      <c r="X3351"/>
      <c r="Y3351"/>
      <c r="Z3351"/>
      <c r="AA3351"/>
      <c r="AB3351"/>
      <c r="AL3351"/>
      <c r="AM3351"/>
      <c r="AN3351"/>
      <c r="AO3351"/>
    </row>
    <row r="3352" spans="1:41" s="2" customFormat="1" x14ac:dyDescent="0.2">
      <c r="A3352"/>
      <c r="B3352"/>
      <c r="C3352"/>
      <c r="D3352"/>
      <c r="E3352"/>
      <c r="F3352"/>
      <c r="G3352"/>
      <c r="U3352"/>
      <c r="V3352"/>
      <c r="W3352"/>
      <c r="X3352"/>
      <c r="Y3352"/>
      <c r="Z3352"/>
      <c r="AA3352"/>
      <c r="AB3352"/>
      <c r="AL3352"/>
      <c r="AM3352"/>
      <c r="AN3352"/>
      <c r="AO3352"/>
    </row>
    <row r="3353" spans="1:41" s="2" customFormat="1" x14ac:dyDescent="0.2">
      <c r="A3353"/>
      <c r="B3353"/>
      <c r="C3353"/>
      <c r="D3353"/>
      <c r="E3353"/>
      <c r="F3353"/>
      <c r="G3353"/>
      <c r="U3353"/>
      <c r="V3353"/>
      <c r="W3353"/>
      <c r="X3353"/>
      <c r="Y3353"/>
      <c r="Z3353"/>
      <c r="AA3353"/>
      <c r="AB3353"/>
      <c r="AL3353"/>
      <c r="AM3353"/>
      <c r="AN3353"/>
      <c r="AO3353"/>
    </row>
    <row r="3354" spans="1:41" s="2" customFormat="1" x14ac:dyDescent="0.2">
      <c r="A3354"/>
      <c r="B3354"/>
      <c r="C3354"/>
      <c r="D3354"/>
      <c r="E3354"/>
      <c r="F3354"/>
      <c r="G3354"/>
      <c r="U3354"/>
      <c r="V3354"/>
      <c r="W3354"/>
      <c r="X3354"/>
      <c r="Y3354"/>
      <c r="Z3354"/>
      <c r="AA3354"/>
      <c r="AB3354"/>
      <c r="AL3354"/>
      <c r="AM3354"/>
      <c r="AN3354"/>
      <c r="AO3354"/>
    </row>
    <row r="3355" spans="1:41" s="2" customFormat="1" x14ac:dyDescent="0.2">
      <c r="A3355"/>
      <c r="B3355"/>
      <c r="C3355"/>
      <c r="D3355"/>
      <c r="E3355"/>
      <c r="F3355"/>
      <c r="G3355"/>
      <c r="U3355"/>
      <c r="V3355"/>
      <c r="W3355"/>
      <c r="X3355"/>
      <c r="Y3355"/>
      <c r="Z3355"/>
      <c r="AA3355"/>
      <c r="AB3355"/>
      <c r="AL3355"/>
      <c r="AM3355"/>
      <c r="AN3355"/>
      <c r="AO3355"/>
    </row>
    <row r="3356" spans="1:41" s="2" customFormat="1" x14ac:dyDescent="0.2">
      <c r="A3356"/>
      <c r="B3356"/>
      <c r="C3356"/>
      <c r="D3356"/>
      <c r="E3356"/>
      <c r="F3356"/>
      <c r="G3356"/>
      <c r="U3356"/>
      <c r="V3356"/>
      <c r="W3356"/>
      <c r="X3356"/>
      <c r="Y3356"/>
      <c r="Z3356"/>
      <c r="AA3356"/>
      <c r="AB3356"/>
      <c r="AL3356"/>
      <c r="AM3356"/>
      <c r="AN3356"/>
      <c r="AO3356"/>
    </row>
    <row r="3357" spans="1:41" s="2" customFormat="1" x14ac:dyDescent="0.2">
      <c r="A3357"/>
      <c r="B3357"/>
      <c r="C3357"/>
      <c r="D3357"/>
      <c r="E3357"/>
      <c r="F3357"/>
      <c r="G3357"/>
      <c r="U3357"/>
      <c r="V3357"/>
      <c r="W3357"/>
      <c r="X3357"/>
      <c r="Y3357"/>
      <c r="Z3357"/>
      <c r="AA3357"/>
      <c r="AB3357"/>
      <c r="AL3357"/>
      <c r="AM3357"/>
      <c r="AN3357"/>
      <c r="AO3357"/>
    </row>
    <row r="3358" spans="1:41" s="2" customFormat="1" x14ac:dyDescent="0.2">
      <c r="A3358"/>
      <c r="B3358"/>
      <c r="C3358"/>
      <c r="D3358"/>
      <c r="E3358"/>
      <c r="F3358"/>
      <c r="G3358"/>
      <c r="U3358"/>
      <c r="V3358"/>
      <c r="W3358"/>
      <c r="X3358"/>
      <c r="Y3358"/>
      <c r="Z3358"/>
      <c r="AA3358"/>
      <c r="AB3358"/>
      <c r="AL3358"/>
      <c r="AM3358"/>
      <c r="AN3358"/>
      <c r="AO3358"/>
    </row>
    <row r="3359" spans="1:41" s="2" customFormat="1" x14ac:dyDescent="0.2">
      <c r="A3359"/>
      <c r="B3359"/>
      <c r="C3359"/>
      <c r="D3359"/>
      <c r="E3359"/>
      <c r="F3359"/>
      <c r="G3359"/>
      <c r="U3359"/>
      <c r="V3359"/>
      <c r="W3359"/>
      <c r="X3359"/>
      <c r="Y3359"/>
      <c r="Z3359"/>
      <c r="AA3359"/>
      <c r="AB3359"/>
      <c r="AL3359"/>
      <c r="AM3359"/>
      <c r="AN3359"/>
      <c r="AO3359"/>
    </row>
    <row r="3360" spans="1:41" s="2" customFormat="1" x14ac:dyDescent="0.2">
      <c r="A3360"/>
      <c r="B3360"/>
      <c r="C3360"/>
      <c r="D3360"/>
      <c r="E3360"/>
      <c r="F3360"/>
      <c r="G3360"/>
      <c r="U3360"/>
      <c r="V3360"/>
      <c r="W3360"/>
      <c r="X3360"/>
      <c r="Y3360"/>
      <c r="Z3360"/>
      <c r="AA3360"/>
      <c r="AB3360"/>
      <c r="AL3360"/>
      <c r="AM3360"/>
      <c r="AN3360"/>
      <c r="AO3360"/>
    </row>
    <row r="3361" spans="1:41" s="2" customFormat="1" x14ac:dyDescent="0.2">
      <c r="A3361"/>
      <c r="B3361"/>
      <c r="C3361"/>
      <c r="D3361"/>
      <c r="E3361"/>
      <c r="F3361"/>
      <c r="G3361"/>
      <c r="U3361"/>
      <c r="V3361"/>
      <c r="W3361"/>
      <c r="X3361"/>
      <c r="Y3361"/>
      <c r="Z3361"/>
      <c r="AA3361"/>
      <c r="AB3361"/>
      <c r="AL3361"/>
      <c r="AM3361"/>
      <c r="AN3361"/>
      <c r="AO3361"/>
    </row>
    <row r="3362" spans="1:41" s="2" customFormat="1" x14ac:dyDescent="0.2">
      <c r="A3362"/>
      <c r="B3362"/>
      <c r="C3362"/>
      <c r="D3362"/>
      <c r="E3362"/>
      <c r="F3362"/>
      <c r="G3362"/>
      <c r="U3362"/>
      <c r="V3362"/>
      <c r="W3362"/>
      <c r="X3362"/>
      <c r="Y3362"/>
      <c r="Z3362"/>
      <c r="AA3362"/>
      <c r="AB3362"/>
      <c r="AL3362"/>
      <c r="AM3362"/>
      <c r="AN3362"/>
      <c r="AO3362"/>
    </row>
    <row r="3363" spans="1:41" s="2" customFormat="1" x14ac:dyDescent="0.2">
      <c r="A3363"/>
      <c r="B3363"/>
      <c r="C3363"/>
      <c r="D3363"/>
      <c r="E3363"/>
      <c r="F3363"/>
      <c r="G3363"/>
      <c r="U3363"/>
      <c r="V3363"/>
      <c r="W3363"/>
      <c r="X3363"/>
      <c r="Y3363"/>
      <c r="Z3363"/>
      <c r="AA3363"/>
      <c r="AB3363"/>
      <c r="AL3363"/>
      <c r="AM3363"/>
      <c r="AN3363"/>
      <c r="AO3363"/>
    </row>
    <row r="3364" spans="1:41" s="2" customFormat="1" x14ac:dyDescent="0.2">
      <c r="A3364"/>
      <c r="B3364"/>
      <c r="C3364"/>
      <c r="D3364"/>
      <c r="E3364"/>
      <c r="F3364"/>
      <c r="G3364"/>
      <c r="U3364"/>
      <c r="V3364"/>
      <c r="W3364"/>
      <c r="X3364"/>
      <c r="Y3364"/>
      <c r="Z3364"/>
      <c r="AA3364"/>
      <c r="AB3364"/>
      <c r="AL3364"/>
      <c r="AM3364"/>
      <c r="AN3364"/>
      <c r="AO3364"/>
    </row>
    <row r="3365" spans="1:41" s="2" customFormat="1" x14ac:dyDescent="0.2">
      <c r="A3365"/>
      <c r="B3365"/>
      <c r="C3365"/>
      <c r="D3365"/>
      <c r="E3365"/>
      <c r="F3365"/>
      <c r="G3365"/>
      <c r="U3365"/>
      <c r="V3365"/>
      <c r="W3365"/>
      <c r="X3365"/>
      <c r="Y3365"/>
      <c r="Z3365"/>
      <c r="AA3365"/>
      <c r="AB3365"/>
      <c r="AL3365"/>
      <c r="AM3365"/>
      <c r="AN3365"/>
      <c r="AO3365"/>
    </row>
    <row r="3366" spans="1:41" s="2" customFormat="1" x14ac:dyDescent="0.2">
      <c r="A3366"/>
      <c r="B3366"/>
      <c r="C3366"/>
      <c r="D3366"/>
      <c r="E3366"/>
      <c r="F3366"/>
      <c r="G3366"/>
      <c r="U3366"/>
      <c r="V3366"/>
      <c r="W3366"/>
      <c r="X3366"/>
      <c r="Y3366"/>
      <c r="Z3366"/>
      <c r="AA3366"/>
      <c r="AB3366"/>
      <c r="AL3366"/>
      <c r="AM3366"/>
      <c r="AN3366"/>
      <c r="AO3366"/>
    </row>
    <row r="3367" spans="1:41" s="2" customFormat="1" x14ac:dyDescent="0.2">
      <c r="A3367"/>
      <c r="B3367"/>
      <c r="C3367"/>
      <c r="D3367"/>
      <c r="E3367"/>
      <c r="F3367"/>
      <c r="G3367"/>
      <c r="U3367"/>
      <c r="V3367"/>
      <c r="W3367"/>
      <c r="X3367"/>
      <c r="Y3367"/>
      <c r="Z3367"/>
      <c r="AA3367"/>
      <c r="AB3367"/>
      <c r="AL3367"/>
      <c r="AM3367"/>
      <c r="AN3367"/>
      <c r="AO3367"/>
    </row>
    <row r="3368" spans="1:41" s="2" customFormat="1" x14ac:dyDescent="0.2">
      <c r="A3368"/>
      <c r="B3368"/>
      <c r="C3368"/>
      <c r="D3368"/>
      <c r="E3368"/>
      <c r="F3368"/>
      <c r="G3368"/>
      <c r="U3368"/>
      <c r="V3368"/>
      <c r="W3368"/>
      <c r="X3368"/>
      <c r="Y3368"/>
      <c r="Z3368"/>
      <c r="AA3368"/>
      <c r="AB3368"/>
      <c r="AL3368"/>
      <c r="AM3368"/>
      <c r="AN3368"/>
      <c r="AO3368"/>
    </row>
    <row r="3369" spans="1:41" s="2" customFormat="1" x14ac:dyDescent="0.2">
      <c r="A3369"/>
      <c r="B3369"/>
      <c r="C3369"/>
      <c r="D3369"/>
      <c r="E3369"/>
      <c r="F3369"/>
      <c r="G3369"/>
      <c r="U3369"/>
      <c r="V3369"/>
      <c r="W3369"/>
      <c r="X3369"/>
      <c r="Y3369"/>
      <c r="Z3369"/>
      <c r="AA3369"/>
      <c r="AB3369"/>
      <c r="AL3369"/>
      <c r="AM3369"/>
      <c r="AN3369"/>
      <c r="AO3369"/>
    </row>
    <row r="3370" spans="1:41" s="2" customFormat="1" x14ac:dyDescent="0.2">
      <c r="A3370"/>
      <c r="B3370"/>
      <c r="C3370"/>
      <c r="D3370"/>
      <c r="E3370"/>
      <c r="F3370"/>
      <c r="G3370"/>
      <c r="U3370"/>
      <c r="V3370"/>
      <c r="W3370"/>
      <c r="X3370"/>
      <c r="Y3370"/>
      <c r="Z3370"/>
      <c r="AA3370"/>
      <c r="AB3370"/>
      <c r="AL3370"/>
      <c r="AM3370"/>
      <c r="AN3370"/>
      <c r="AO3370"/>
    </row>
    <row r="3371" spans="1:41" s="2" customFormat="1" x14ac:dyDescent="0.2">
      <c r="A3371"/>
      <c r="B3371"/>
      <c r="C3371"/>
      <c r="D3371"/>
      <c r="E3371"/>
      <c r="F3371"/>
      <c r="G3371"/>
      <c r="U3371"/>
      <c r="V3371"/>
      <c r="W3371"/>
      <c r="X3371"/>
      <c r="Y3371"/>
      <c r="Z3371"/>
      <c r="AA3371"/>
      <c r="AB3371"/>
      <c r="AL3371"/>
      <c r="AM3371"/>
      <c r="AN3371"/>
      <c r="AO3371"/>
    </row>
    <row r="3372" spans="1:41" s="2" customFormat="1" x14ac:dyDescent="0.2">
      <c r="A3372"/>
      <c r="B3372"/>
      <c r="C3372"/>
      <c r="D3372"/>
      <c r="E3372"/>
      <c r="F3372"/>
      <c r="G3372"/>
      <c r="U3372"/>
      <c r="V3372"/>
      <c r="W3372"/>
      <c r="X3372"/>
      <c r="Y3372"/>
      <c r="Z3372"/>
      <c r="AA3372"/>
      <c r="AB3372"/>
      <c r="AL3372"/>
      <c r="AM3372"/>
      <c r="AN3372"/>
      <c r="AO3372"/>
    </row>
    <row r="3373" spans="1:41" s="2" customFormat="1" x14ac:dyDescent="0.2">
      <c r="A3373"/>
      <c r="B3373"/>
      <c r="C3373"/>
      <c r="D3373"/>
      <c r="E3373"/>
      <c r="F3373"/>
      <c r="G3373"/>
      <c r="U3373"/>
      <c r="V3373"/>
      <c r="W3373"/>
      <c r="X3373"/>
      <c r="Y3373"/>
      <c r="Z3373"/>
      <c r="AA3373"/>
      <c r="AB3373"/>
      <c r="AL3373"/>
      <c r="AM3373"/>
      <c r="AN3373"/>
      <c r="AO3373"/>
    </row>
    <row r="3374" spans="1:41" s="2" customFormat="1" x14ac:dyDescent="0.2">
      <c r="A3374"/>
      <c r="B3374"/>
      <c r="C3374"/>
      <c r="D3374"/>
      <c r="E3374"/>
      <c r="F3374"/>
      <c r="G3374"/>
      <c r="U3374"/>
      <c r="V3374"/>
      <c r="W3374"/>
      <c r="X3374"/>
      <c r="Y3374"/>
      <c r="Z3374"/>
      <c r="AA3374"/>
      <c r="AB3374"/>
      <c r="AL3374"/>
      <c r="AM3374"/>
      <c r="AN3374"/>
      <c r="AO3374"/>
    </row>
    <row r="3375" spans="1:41" s="2" customFormat="1" x14ac:dyDescent="0.2">
      <c r="A3375"/>
      <c r="B3375"/>
      <c r="C3375"/>
      <c r="D3375"/>
      <c r="E3375"/>
      <c r="F3375"/>
      <c r="G3375"/>
      <c r="U3375"/>
      <c r="V3375"/>
      <c r="W3375"/>
      <c r="X3375"/>
      <c r="Y3375"/>
      <c r="Z3375"/>
      <c r="AA3375"/>
      <c r="AB3375"/>
      <c r="AL3375"/>
      <c r="AM3375"/>
      <c r="AN3375"/>
      <c r="AO3375"/>
    </row>
    <row r="3376" spans="1:41" s="2" customFormat="1" x14ac:dyDescent="0.2">
      <c r="A3376"/>
      <c r="B3376"/>
      <c r="C3376"/>
      <c r="D3376"/>
      <c r="E3376"/>
      <c r="F3376"/>
      <c r="G3376"/>
      <c r="U3376"/>
      <c r="V3376"/>
      <c r="W3376"/>
      <c r="X3376"/>
      <c r="Y3376"/>
      <c r="Z3376"/>
      <c r="AA3376"/>
      <c r="AB3376"/>
      <c r="AL3376"/>
      <c r="AM3376"/>
      <c r="AN3376"/>
      <c r="AO3376"/>
    </row>
    <row r="3377" spans="1:41" s="2" customFormat="1" x14ac:dyDescent="0.2">
      <c r="A3377"/>
      <c r="B3377"/>
      <c r="C3377"/>
      <c r="D3377"/>
      <c r="E3377"/>
      <c r="F3377"/>
      <c r="G3377"/>
      <c r="U3377"/>
      <c r="V3377"/>
      <c r="W3377"/>
      <c r="X3377"/>
      <c r="Y3377"/>
      <c r="Z3377"/>
      <c r="AA3377"/>
      <c r="AB3377"/>
      <c r="AL3377"/>
      <c r="AM3377"/>
      <c r="AN3377"/>
      <c r="AO3377"/>
    </row>
    <row r="3378" spans="1:41" s="2" customFormat="1" x14ac:dyDescent="0.2">
      <c r="A3378"/>
      <c r="B3378"/>
      <c r="C3378"/>
      <c r="D3378"/>
      <c r="E3378"/>
      <c r="F3378"/>
      <c r="G3378"/>
      <c r="U3378"/>
      <c r="V3378"/>
      <c r="W3378"/>
      <c r="X3378"/>
      <c r="Y3378"/>
      <c r="Z3378"/>
      <c r="AA3378"/>
      <c r="AB3378"/>
      <c r="AL3378"/>
      <c r="AM3378"/>
      <c r="AN3378"/>
      <c r="AO3378"/>
    </row>
    <row r="3379" spans="1:41" s="2" customFormat="1" x14ac:dyDescent="0.2">
      <c r="A3379"/>
      <c r="B3379"/>
      <c r="C3379"/>
      <c r="D3379"/>
      <c r="E3379"/>
      <c r="F3379"/>
      <c r="G3379"/>
      <c r="U3379"/>
      <c r="V3379"/>
      <c r="W3379"/>
      <c r="X3379"/>
      <c r="Y3379"/>
      <c r="Z3379"/>
      <c r="AA3379"/>
      <c r="AB3379"/>
      <c r="AL3379"/>
      <c r="AM3379"/>
      <c r="AN3379"/>
      <c r="AO3379"/>
    </row>
    <row r="3380" spans="1:41" s="2" customFormat="1" x14ac:dyDescent="0.2">
      <c r="A3380"/>
      <c r="B3380"/>
      <c r="C3380"/>
      <c r="D3380"/>
      <c r="E3380"/>
      <c r="F3380"/>
      <c r="G3380"/>
      <c r="U3380"/>
      <c r="V3380"/>
      <c r="W3380"/>
      <c r="X3380"/>
      <c r="Y3380"/>
      <c r="Z3380"/>
      <c r="AA3380"/>
      <c r="AB3380"/>
      <c r="AL3380"/>
      <c r="AM3380"/>
      <c r="AN3380"/>
      <c r="AO3380"/>
    </row>
    <row r="3381" spans="1:41" s="2" customFormat="1" x14ac:dyDescent="0.2">
      <c r="A3381"/>
      <c r="B3381"/>
      <c r="C3381"/>
      <c r="D3381"/>
      <c r="E3381"/>
      <c r="F3381"/>
      <c r="G3381"/>
      <c r="U3381"/>
      <c r="V3381"/>
      <c r="W3381"/>
      <c r="X3381"/>
      <c r="Y3381"/>
      <c r="Z3381"/>
      <c r="AA3381"/>
      <c r="AB3381"/>
      <c r="AL3381"/>
      <c r="AM3381"/>
      <c r="AN3381"/>
      <c r="AO3381"/>
    </row>
    <row r="3382" spans="1:41" s="2" customFormat="1" x14ac:dyDescent="0.2">
      <c r="A3382"/>
      <c r="B3382"/>
      <c r="C3382"/>
      <c r="D3382"/>
      <c r="E3382"/>
      <c r="F3382"/>
      <c r="G3382"/>
      <c r="U3382"/>
      <c r="V3382"/>
      <c r="W3382"/>
      <c r="X3382"/>
      <c r="Y3382"/>
      <c r="Z3382"/>
      <c r="AA3382"/>
      <c r="AB3382"/>
      <c r="AL3382"/>
      <c r="AM3382"/>
      <c r="AN3382"/>
      <c r="AO3382"/>
    </row>
    <row r="3383" spans="1:41" s="2" customFormat="1" x14ac:dyDescent="0.2">
      <c r="A3383"/>
      <c r="B3383"/>
      <c r="C3383"/>
      <c r="D3383"/>
      <c r="E3383"/>
      <c r="F3383"/>
      <c r="G3383"/>
      <c r="U3383"/>
      <c r="V3383"/>
      <c r="W3383"/>
      <c r="X3383"/>
      <c r="Y3383"/>
      <c r="Z3383"/>
      <c r="AA3383"/>
      <c r="AB3383"/>
      <c r="AL3383"/>
      <c r="AM3383"/>
      <c r="AN3383"/>
      <c r="AO3383"/>
    </row>
    <row r="3384" spans="1:41" s="2" customFormat="1" x14ac:dyDescent="0.2">
      <c r="A3384"/>
      <c r="B3384"/>
      <c r="C3384"/>
      <c r="D3384"/>
      <c r="E3384"/>
      <c r="F3384"/>
      <c r="G3384"/>
      <c r="U3384"/>
      <c r="V3384"/>
      <c r="W3384"/>
      <c r="X3384"/>
      <c r="Y3384"/>
      <c r="Z3384"/>
      <c r="AA3384"/>
      <c r="AB3384"/>
      <c r="AL3384"/>
      <c r="AM3384"/>
      <c r="AN3384"/>
      <c r="AO3384"/>
    </row>
    <row r="3385" spans="1:41" s="2" customFormat="1" x14ac:dyDescent="0.2">
      <c r="A3385"/>
      <c r="B3385"/>
      <c r="C3385"/>
      <c r="D3385"/>
      <c r="E3385"/>
      <c r="F3385"/>
      <c r="G3385"/>
      <c r="U3385"/>
      <c r="V3385"/>
      <c r="W3385"/>
      <c r="X3385"/>
      <c r="Y3385"/>
      <c r="Z3385"/>
      <c r="AA3385"/>
      <c r="AB3385"/>
      <c r="AL3385"/>
      <c r="AM3385"/>
      <c r="AN3385"/>
      <c r="AO3385"/>
    </row>
    <row r="3386" spans="1:41" s="2" customFormat="1" x14ac:dyDescent="0.2">
      <c r="A3386"/>
      <c r="B3386"/>
      <c r="C3386"/>
      <c r="D3386"/>
      <c r="E3386"/>
      <c r="F3386"/>
      <c r="G3386"/>
      <c r="U3386"/>
      <c r="V3386"/>
      <c r="W3386"/>
      <c r="X3386"/>
      <c r="Y3386"/>
      <c r="Z3386"/>
      <c r="AA3386"/>
      <c r="AB3386"/>
      <c r="AL3386"/>
      <c r="AM3386"/>
      <c r="AN3386"/>
      <c r="AO3386"/>
    </row>
    <row r="3387" spans="1:41" s="2" customFormat="1" x14ac:dyDescent="0.2">
      <c r="A3387"/>
      <c r="B3387"/>
      <c r="C3387"/>
      <c r="D3387"/>
      <c r="E3387"/>
      <c r="F3387"/>
      <c r="G3387"/>
      <c r="U3387"/>
      <c r="V3387"/>
      <c r="W3387"/>
      <c r="X3387"/>
      <c r="Y3387"/>
      <c r="Z3387"/>
      <c r="AA3387"/>
      <c r="AB3387"/>
      <c r="AL3387"/>
      <c r="AM3387"/>
      <c r="AN3387"/>
      <c r="AO3387"/>
    </row>
    <row r="3388" spans="1:41" s="2" customFormat="1" x14ac:dyDescent="0.2">
      <c r="A3388"/>
      <c r="B3388"/>
      <c r="C3388"/>
      <c r="D3388"/>
      <c r="E3388"/>
      <c r="F3388"/>
      <c r="G3388"/>
      <c r="U3388"/>
      <c r="V3388"/>
      <c r="W3388"/>
      <c r="X3388"/>
      <c r="Y3388"/>
      <c r="Z3388"/>
      <c r="AA3388"/>
      <c r="AB3388"/>
      <c r="AL3388"/>
      <c r="AM3388"/>
      <c r="AN3388"/>
      <c r="AO3388"/>
    </row>
    <row r="3389" spans="1:41" s="2" customFormat="1" x14ac:dyDescent="0.2">
      <c r="A3389"/>
      <c r="B3389"/>
      <c r="C3389"/>
      <c r="D3389"/>
      <c r="E3389"/>
      <c r="F3389"/>
      <c r="G3389"/>
      <c r="U3389"/>
      <c r="V3389"/>
      <c r="W3389"/>
      <c r="X3389"/>
      <c r="Y3389"/>
      <c r="Z3389"/>
      <c r="AA3389"/>
      <c r="AB3389"/>
      <c r="AL3389"/>
      <c r="AM3389"/>
      <c r="AN3389"/>
      <c r="AO3389"/>
    </row>
    <row r="3390" spans="1:41" s="2" customFormat="1" x14ac:dyDescent="0.2">
      <c r="A3390"/>
      <c r="B3390"/>
      <c r="C3390"/>
      <c r="D3390"/>
      <c r="E3390"/>
      <c r="F3390"/>
      <c r="G3390"/>
      <c r="U3390"/>
      <c r="V3390"/>
      <c r="W3390"/>
      <c r="X3390"/>
      <c r="Y3390"/>
      <c r="Z3390"/>
      <c r="AA3390"/>
      <c r="AB3390"/>
      <c r="AL3390"/>
      <c r="AM3390"/>
      <c r="AN3390"/>
      <c r="AO3390"/>
    </row>
    <row r="3391" spans="1:41" s="2" customFormat="1" x14ac:dyDescent="0.2">
      <c r="A3391"/>
      <c r="B3391"/>
      <c r="C3391"/>
      <c r="D3391"/>
      <c r="E3391"/>
      <c r="F3391"/>
      <c r="G3391"/>
      <c r="U3391"/>
      <c r="V3391"/>
      <c r="W3391"/>
      <c r="X3391"/>
      <c r="Y3391"/>
      <c r="Z3391"/>
      <c r="AA3391"/>
      <c r="AB3391"/>
      <c r="AL3391"/>
      <c r="AM3391"/>
      <c r="AN3391"/>
      <c r="AO3391"/>
    </row>
    <row r="3392" spans="1:41" s="2" customFormat="1" x14ac:dyDescent="0.2">
      <c r="A3392"/>
      <c r="B3392"/>
      <c r="C3392"/>
      <c r="D3392"/>
      <c r="E3392"/>
      <c r="F3392"/>
      <c r="G3392"/>
      <c r="U3392"/>
      <c r="V3392"/>
      <c r="W3392"/>
      <c r="X3392"/>
      <c r="Y3392"/>
      <c r="Z3392"/>
      <c r="AA3392"/>
      <c r="AB3392"/>
      <c r="AL3392"/>
      <c r="AM3392"/>
      <c r="AN3392"/>
      <c r="AO3392"/>
    </row>
    <row r="3393" spans="1:41" s="2" customFormat="1" x14ac:dyDescent="0.2">
      <c r="A3393"/>
      <c r="B3393"/>
      <c r="C3393"/>
      <c r="D3393"/>
      <c r="E3393"/>
      <c r="F3393"/>
      <c r="G3393"/>
      <c r="U3393"/>
      <c r="V3393"/>
      <c r="W3393"/>
      <c r="X3393"/>
      <c r="Y3393"/>
      <c r="Z3393"/>
      <c r="AA3393"/>
      <c r="AB3393"/>
      <c r="AL3393"/>
      <c r="AM3393"/>
      <c r="AN3393"/>
      <c r="AO3393"/>
    </row>
    <row r="3394" spans="1:41" s="2" customFormat="1" x14ac:dyDescent="0.2">
      <c r="A3394"/>
      <c r="B3394"/>
      <c r="C3394"/>
      <c r="D3394"/>
      <c r="E3394"/>
      <c r="F3394"/>
      <c r="G3394"/>
      <c r="U3394"/>
      <c r="V3394"/>
      <c r="W3394"/>
      <c r="X3394"/>
      <c r="Y3394"/>
      <c r="Z3394"/>
      <c r="AA3394"/>
      <c r="AB3394"/>
      <c r="AL3394"/>
      <c r="AM3394"/>
      <c r="AN3394"/>
      <c r="AO3394"/>
    </row>
    <row r="3395" spans="1:41" s="2" customFormat="1" x14ac:dyDescent="0.2">
      <c r="A3395"/>
      <c r="B3395"/>
      <c r="C3395"/>
      <c r="D3395"/>
      <c r="E3395"/>
      <c r="F3395"/>
      <c r="G3395"/>
      <c r="U3395"/>
      <c r="V3395"/>
      <c r="W3395"/>
      <c r="X3395"/>
      <c r="Y3395"/>
      <c r="Z3395"/>
      <c r="AA3395"/>
      <c r="AB3395"/>
      <c r="AL3395"/>
      <c r="AM3395"/>
      <c r="AN3395"/>
      <c r="AO3395"/>
    </row>
    <row r="3396" spans="1:41" s="2" customFormat="1" x14ac:dyDescent="0.2">
      <c r="A3396"/>
      <c r="B3396"/>
      <c r="C3396"/>
      <c r="D3396"/>
      <c r="E3396"/>
      <c r="F3396"/>
      <c r="G3396"/>
      <c r="U3396"/>
      <c r="V3396"/>
      <c r="W3396"/>
      <c r="X3396"/>
      <c r="Y3396"/>
      <c r="Z3396"/>
      <c r="AA3396"/>
      <c r="AB3396"/>
      <c r="AL3396"/>
      <c r="AM3396"/>
      <c r="AN3396"/>
      <c r="AO3396"/>
    </row>
    <row r="3397" spans="1:41" s="2" customFormat="1" x14ac:dyDescent="0.2">
      <c r="A3397"/>
      <c r="B3397"/>
      <c r="C3397"/>
      <c r="D3397"/>
      <c r="E3397"/>
      <c r="F3397"/>
      <c r="G3397"/>
      <c r="U3397"/>
      <c r="V3397"/>
      <c r="W3397"/>
      <c r="X3397"/>
      <c r="Y3397"/>
      <c r="Z3397"/>
      <c r="AA3397"/>
      <c r="AB3397"/>
      <c r="AL3397"/>
      <c r="AM3397"/>
      <c r="AN3397"/>
      <c r="AO3397"/>
    </row>
    <row r="3398" spans="1:41" s="2" customFormat="1" x14ac:dyDescent="0.2">
      <c r="A3398"/>
      <c r="B3398"/>
      <c r="C3398"/>
      <c r="D3398"/>
      <c r="E3398"/>
      <c r="F3398"/>
      <c r="G3398"/>
      <c r="U3398"/>
      <c r="V3398"/>
      <c r="W3398"/>
      <c r="X3398"/>
      <c r="Y3398"/>
      <c r="Z3398"/>
      <c r="AA3398"/>
      <c r="AB3398"/>
      <c r="AL3398"/>
      <c r="AM3398"/>
      <c r="AN3398"/>
      <c r="AO3398"/>
    </row>
    <row r="3399" spans="1:41" s="2" customFormat="1" x14ac:dyDescent="0.2">
      <c r="A3399"/>
      <c r="B3399"/>
      <c r="C3399"/>
      <c r="D3399"/>
      <c r="E3399"/>
      <c r="F3399"/>
      <c r="G3399"/>
      <c r="U3399"/>
      <c r="V3399"/>
      <c r="W3399"/>
      <c r="X3399"/>
      <c r="Y3399"/>
      <c r="Z3399"/>
      <c r="AA3399"/>
      <c r="AB3399"/>
      <c r="AL3399"/>
      <c r="AM3399"/>
      <c r="AN3399"/>
      <c r="AO3399"/>
    </row>
    <row r="3400" spans="1:41" s="2" customFormat="1" x14ac:dyDescent="0.2">
      <c r="A3400"/>
      <c r="B3400"/>
      <c r="C3400"/>
      <c r="D3400"/>
      <c r="E3400"/>
      <c r="F3400"/>
      <c r="G3400"/>
      <c r="U3400"/>
      <c r="V3400"/>
      <c r="W3400"/>
      <c r="X3400"/>
      <c r="Y3400"/>
      <c r="Z3400"/>
      <c r="AA3400"/>
      <c r="AB3400"/>
      <c r="AL3400"/>
      <c r="AM3400"/>
      <c r="AN3400"/>
      <c r="AO3400"/>
    </row>
    <row r="3401" spans="1:41" s="2" customFormat="1" x14ac:dyDescent="0.2">
      <c r="A3401"/>
      <c r="B3401"/>
      <c r="C3401"/>
      <c r="D3401"/>
      <c r="E3401"/>
      <c r="F3401"/>
      <c r="G3401"/>
      <c r="U3401"/>
      <c r="V3401"/>
      <c r="W3401"/>
      <c r="X3401"/>
      <c r="Y3401"/>
      <c r="Z3401"/>
      <c r="AA3401"/>
      <c r="AB3401"/>
      <c r="AL3401"/>
      <c r="AM3401"/>
      <c r="AN3401"/>
      <c r="AO3401"/>
    </row>
    <row r="3402" spans="1:41" s="2" customFormat="1" x14ac:dyDescent="0.2">
      <c r="A3402"/>
      <c r="B3402"/>
      <c r="C3402"/>
      <c r="D3402"/>
      <c r="E3402"/>
      <c r="F3402"/>
      <c r="G3402"/>
      <c r="U3402"/>
      <c r="V3402"/>
      <c r="W3402"/>
      <c r="X3402"/>
      <c r="Y3402"/>
      <c r="Z3402"/>
      <c r="AA3402"/>
      <c r="AB3402"/>
      <c r="AL3402"/>
      <c r="AM3402"/>
      <c r="AN3402"/>
      <c r="AO3402"/>
    </row>
    <row r="3403" spans="1:41" s="2" customFormat="1" x14ac:dyDescent="0.2">
      <c r="A3403"/>
      <c r="B3403"/>
      <c r="C3403"/>
      <c r="D3403"/>
      <c r="E3403"/>
      <c r="F3403"/>
      <c r="G3403"/>
      <c r="U3403"/>
      <c r="V3403"/>
      <c r="W3403"/>
      <c r="X3403"/>
      <c r="Y3403"/>
      <c r="Z3403"/>
      <c r="AA3403"/>
      <c r="AB3403"/>
      <c r="AL3403"/>
      <c r="AM3403"/>
      <c r="AN3403"/>
      <c r="AO3403"/>
    </row>
    <row r="3404" spans="1:41" s="2" customFormat="1" x14ac:dyDescent="0.2">
      <c r="A3404"/>
      <c r="B3404"/>
      <c r="C3404"/>
      <c r="D3404"/>
      <c r="E3404"/>
      <c r="F3404"/>
      <c r="G3404"/>
      <c r="U3404"/>
      <c r="V3404"/>
      <c r="W3404"/>
      <c r="X3404"/>
      <c r="Y3404"/>
      <c r="Z3404"/>
      <c r="AA3404"/>
      <c r="AB3404"/>
      <c r="AL3404"/>
      <c r="AM3404"/>
      <c r="AN3404"/>
      <c r="AO3404"/>
    </row>
    <row r="3405" spans="1:41" s="2" customFormat="1" x14ac:dyDescent="0.2">
      <c r="A3405"/>
      <c r="B3405"/>
      <c r="C3405"/>
      <c r="D3405"/>
      <c r="E3405"/>
      <c r="F3405"/>
      <c r="G3405"/>
      <c r="U3405"/>
      <c r="V3405"/>
      <c r="W3405"/>
      <c r="X3405"/>
      <c r="Y3405"/>
      <c r="Z3405"/>
      <c r="AA3405"/>
      <c r="AB3405"/>
      <c r="AL3405"/>
      <c r="AM3405"/>
      <c r="AN3405"/>
      <c r="AO3405"/>
    </row>
    <row r="3406" spans="1:41" s="2" customFormat="1" x14ac:dyDescent="0.2">
      <c r="A3406"/>
      <c r="B3406"/>
      <c r="C3406"/>
      <c r="D3406"/>
      <c r="E3406"/>
      <c r="F3406"/>
      <c r="G3406"/>
      <c r="U3406"/>
      <c r="V3406"/>
      <c r="W3406"/>
      <c r="X3406"/>
      <c r="Y3406"/>
      <c r="Z3406"/>
      <c r="AA3406"/>
      <c r="AB3406"/>
      <c r="AL3406"/>
      <c r="AM3406"/>
      <c r="AN3406"/>
      <c r="AO3406"/>
    </row>
    <row r="3407" spans="1:41" s="2" customFormat="1" x14ac:dyDescent="0.2">
      <c r="A3407"/>
      <c r="B3407"/>
      <c r="C3407"/>
      <c r="D3407"/>
      <c r="E3407"/>
      <c r="F3407"/>
      <c r="G3407"/>
      <c r="U3407"/>
      <c r="V3407"/>
      <c r="W3407"/>
      <c r="X3407"/>
      <c r="Y3407"/>
      <c r="Z3407"/>
      <c r="AA3407"/>
      <c r="AB3407"/>
      <c r="AL3407"/>
      <c r="AM3407"/>
      <c r="AN3407"/>
      <c r="AO3407"/>
    </row>
    <row r="3408" spans="1:41" s="2" customFormat="1" x14ac:dyDescent="0.2">
      <c r="A3408"/>
      <c r="B3408"/>
      <c r="C3408"/>
      <c r="D3408"/>
      <c r="E3408"/>
      <c r="F3408"/>
      <c r="G3408"/>
      <c r="U3408"/>
      <c r="V3408"/>
      <c r="W3408"/>
      <c r="X3408"/>
      <c r="Y3408"/>
      <c r="Z3408"/>
      <c r="AA3408"/>
      <c r="AB3408"/>
      <c r="AL3408"/>
      <c r="AM3408"/>
      <c r="AN3408"/>
      <c r="AO3408"/>
    </row>
    <row r="3409" spans="1:41" s="2" customFormat="1" x14ac:dyDescent="0.2">
      <c r="A3409"/>
      <c r="B3409"/>
      <c r="C3409"/>
      <c r="D3409"/>
      <c r="E3409"/>
      <c r="F3409"/>
      <c r="G3409"/>
      <c r="U3409"/>
      <c r="V3409"/>
      <c r="W3409"/>
      <c r="X3409"/>
      <c r="Y3409"/>
      <c r="Z3409"/>
      <c r="AA3409"/>
      <c r="AB3409"/>
      <c r="AL3409"/>
      <c r="AM3409"/>
      <c r="AN3409"/>
      <c r="AO3409"/>
    </row>
    <row r="3410" spans="1:41" s="2" customFormat="1" x14ac:dyDescent="0.2">
      <c r="A3410"/>
      <c r="B3410"/>
      <c r="C3410"/>
      <c r="D3410"/>
      <c r="E3410"/>
      <c r="F3410"/>
      <c r="G3410"/>
      <c r="U3410"/>
      <c r="V3410"/>
      <c r="W3410"/>
      <c r="X3410"/>
      <c r="Y3410"/>
      <c r="Z3410"/>
      <c r="AA3410"/>
      <c r="AB3410"/>
      <c r="AL3410"/>
      <c r="AM3410"/>
      <c r="AN3410"/>
      <c r="AO3410"/>
    </row>
    <row r="3411" spans="1:41" s="2" customFormat="1" x14ac:dyDescent="0.2">
      <c r="A3411"/>
      <c r="B3411"/>
      <c r="C3411"/>
      <c r="D3411"/>
      <c r="E3411"/>
      <c r="F3411"/>
      <c r="G3411"/>
      <c r="U3411"/>
      <c r="V3411"/>
      <c r="W3411"/>
      <c r="X3411"/>
      <c r="Y3411"/>
      <c r="Z3411"/>
      <c r="AA3411"/>
      <c r="AB3411"/>
      <c r="AL3411"/>
      <c r="AM3411"/>
      <c r="AN3411"/>
      <c r="AO3411"/>
    </row>
    <row r="3412" spans="1:41" s="2" customFormat="1" x14ac:dyDescent="0.2">
      <c r="A3412"/>
      <c r="B3412"/>
      <c r="C3412"/>
      <c r="D3412"/>
      <c r="E3412"/>
      <c r="F3412"/>
      <c r="G3412"/>
      <c r="U3412"/>
      <c r="V3412"/>
      <c r="W3412"/>
      <c r="X3412"/>
      <c r="Y3412"/>
      <c r="Z3412"/>
      <c r="AA3412"/>
      <c r="AB3412"/>
      <c r="AL3412"/>
      <c r="AM3412"/>
      <c r="AN3412"/>
      <c r="AO3412"/>
    </row>
    <row r="3413" spans="1:41" s="2" customFormat="1" x14ac:dyDescent="0.2">
      <c r="A3413"/>
      <c r="B3413"/>
      <c r="C3413"/>
      <c r="D3413"/>
      <c r="E3413"/>
      <c r="F3413"/>
      <c r="G3413"/>
      <c r="U3413"/>
      <c r="V3413"/>
      <c r="W3413"/>
      <c r="X3413"/>
      <c r="Y3413"/>
      <c r="Z3413"/>
      <c r="AA3413"/>
      <c r="AB3413"/>
      <c r="AL3413"/>
      <c r="AM3413"/>
      <c r="AN3413"/>
      <c r="AO3413"/>
    </row>
    <row r="3414" spans="1:41" s="2" customFormat="1" x14ac:dyDescent="0.2">
      <c r="A3414"/>
      <c r="B3414"/>
      <c r="C3414"/>
      <c r="D3414"/>
      <c r="E3414"/>
      <c r="F3414"/>
      <c r="G3414"/>
      <c r="U3414"/>
      <c r="V3414"/>
      <c r="W3414"/>
      <c r="X3414"/>
      <c r="Y3414"/>
      <c r="Z3414"/>
      <c r="AA3414"/>
      <c r="AB3414"/>
      <c r="AL3414"/>
      <c r="AM3414"/>
      <c r="AN3414"/>
      <c r="AO3414"/>
    </row>
    <row r="3415" spans="1:41" s="2" customFormat="1" x14ac:dyDescent="0.2">
      <c r="A3415"/>
      <c r="B3415"/>
      <c r="C3415"/>
      <c r="D3415"/>
      <c r="E3415"/>
      <c r="F3415"/>
      <c r="G3415"/>
      <c r="U3415"/>
      <c r="V3415"/>
      <c r="W3415"/>
      <c r="X3415"/>
      <c r="Y3415"/>
      <c r="Z3415"/>
      <c r="AA3415"/>
      <c r="AB3415"/>
      <c r="AL3415"/>
      <c r="AM3415"/>
      <c r="AN3415"/>
      <c r="AO3415"/>
    </row>
    <row r="3416" spans="1:41" s="2" customFormat="1" x14ac:dyDescent="0.2">
      <c r="A3416"/>
      <c r="B3416"/>
      <c r="C3416"/>
      <c r="D3416"/>
      <c r="E3416"/>
      <c r="F3416"/>
      <c r="G3416"/>
      <c r="U3416"/>
      <c r="V3416"/>
      <c r="W3416"/>
      <c r="X3416"/>
      <c r="Y3416"/>
      <c r="Z3416"/>
      <c r="AA3416"/>
      <c r="AB3416"/>
      <c r="AL3416"/>
      <c r="AM3416"/>
      <c r="AN3416"/>
      <c r="AO3416"/>
    </row>
    <row r="3417" spans="1:41" s="2" customFormat="1" x14ac:dyDescent="0.2">
      <c r="A3417"/>
      <c r="B3417"/>
      <c r="C3417"/>
      <c r="D3417"/>
      <c r="E3417"/>
      <c r="F3417"/>
      <c r="G3417"/>
      <c r="U3417"/>
      <c r="V3417"/>
      <c r="W3417"/>
      <c r="X3417"/>
      <c r="Y3417"/>
      <c r="Z3417"/>
      <c r="AA3417"/>
      <c r="AB3417"/>
      <c r="AL3417"/>
      <c r="AM3417"/>
      <c r="AN3417"/>
      <c r="AO3417"/>
    </row>
    <row r="3418" spans="1:41" s="2" customFormat="1" x14ac:dyDescent="0.2">
      <c r="A3418"/>
      <c r="B3418"/>
      <c r="C3418"/>
      <c r="D3418"/>
      <c r="E3418"/>
      <c r="F3418"/>
      <c r="G3418"/>
      <c r="U3418"/>
      <c r="V3418"/>
      <c r="W3418"/>
      <c r="X3418"/>
      <c r="Y3418"/>
      <c r="Z3418"/>
      <c r="AA3418"/>
      <c r="AB3418"/>
      <c r="AL3418"/>
      <c r="AM3418"/>
      <c r="AN3418"/>
      <c r="AO3418"/>
    </row>
    <row r="3419" spans="1:41" s="2" customFormat="1" x14ac:dyDescent="0.2">
      <c r="A3419"/>
      <c r="B3419"/>
      <c r="C3419"/>
      <c r="D3419"/>
      <c r="E3419"/>
      <c r="F3419"/>
      <c r="G3419"/>
      <c r="U3419"/>
      <c r="V3419"/>
      <c r="W3419"/>
      <c r="X3419"/>
      <c r="Y3419"/>
      <c r="Z3419"/>
      <c r="AA3419"/>
      <c r="AB3419"/>
      <c r="AL3419"/>
      <c r="AM3419"/>
      <c r="AN3419"/>
      <c r="AO3419"/>
    </row>
    <row r="3420" spans="1:41" s="2" customFormat="1" x14ac:dyDescent="0.2">
      <c r="A3420"/>
      <c r="B3420"/>
      <c r="C3420"/>
      <c r="D3420"/>
      <c r="E3420"/>
      <c r="F3420"/>
      <c r="G3420"/>
      <c r="U3420"/>
      <c r="V3420"/>
      <c r="W3420"/>
      <c r="X3420"/>
      <c r="Y3420"/>
      <c r="Z3420"/>
      <c r="AA3420"/>
      <c r="AB3420"/>
      <c r="AL3420"/>
      <c r="AM3420"/>
      <c r="AN3420"/>
      <c r="AO3420"/>
    </row>
    <row r="3421" spans="1:41" s="2" customFormat="1" x14ac:dyDescent="0.2">
      <c r="A3421"/>
      <c r="B3421"/>
      <c r="C3421"/>
      <c r="D3421"/>
      <c r="E3421"/>
      <c r="F3421"/>
      <c r="G3421"/>
      <c r="U3421"/>
      <c r="V3421"/>
      <c r="W3421"/>
      <c r="X3421"/>
      <c r="Y3421"/>
      <c r="Z3421"/>
      <c r="AA3421"/>
      <c r="AB3421"/>
      <c r="AL3421"/>
      <c r="AM3421"/>
      <c r="AN3421"/>
      <c r="AO3421"/>
    </row>
    <row r="3422" spans="1:41" s="2" customFormat="1" x14ac:dyDescent="0.2">
      <c r="A3422"/>
      <c r="B3422"/>
      <c r="C3422"/>
      <c r="D3422"/>
      <c r="E3422"/>
      <c r="F3422"/>
      <c r="G3422"/>
      <c r="U3422"/>
      <c r="V3422"/>
      <c r="W3422"/>
      <c r="X3422"/>
      <c r="Y3422"/>
      <c r="Z3422"/>
      <c r="AA3422"/>
      <c r="AB3422"/>
      <c r="AL3422"/>
      <c r="AM3422"/>
      <c r="AN3422"/>
      <c r="AO3422"/>
    </row>
    <row r="3423" spans="1:41" s="2" customFormat="1" x14ac:dyDescent="0.2">
      <c r="A3423"/>
      <c r="B3423"/>
      <c r="C3423"/>
      <c r="D3423"/>
      <c r="E3423"/>
      <c r="F3423"/>
      <c r="G3423"/>
      <c r="U3423"/>
      <c r="V3423"/>
      <c r="W3423"/>
      <c r="X3423"/>
      <c r="Y3423"/>
      <c r="Z3423"/>
      <c r="AA3423"/>
      <c r="AB3423"/>
      <c r="AL3423"/>
      <c r="AM3423"/>
      <c r="AN3423"/>
      <c r="AO3423"/>
    </row>
    <row r="3424" spans="1:41" s="2" customFormat="1" x14ac:dyDescent="0.2">
      <c r="A3424"/>
      <c r="B3424"/>
      <c r="C3424"/>
      <c r="D3424"/>
      <c r="E3424"/>
      <c r="F3424"/>
      <c r="G3424"/>
      <c r="U3424"/>
      <c r="V3424"/>
      <c r="W3424"/>
      <c r="X3424"/>
      <c r="Y3424"/>
      <c r="Z3424"/>
      <c r="AA3424"/>
      <c r="AB3424"/>
      <c r="AL3424"/>
      <c r="AM3424"/>
      <c r="AN3424"/>
      <c r="AO3424"/>
    </row>
    <row r="3425" spans="1:41" s="2" customFormat="1" x14ac:dyDescent="0.2">
      <c r="A3425"/>
      <c r="B3425"/>
      <c r="C3425"/>
      <c r="D3425"/>
      <c r="E3425"/>
      <c r="F3425"/>
      <c r="G3425"/>
      <c r="U3425"/>
      <c r="V3425"/>
      <c r="W3425"/>
      <c r="X3425"/>
      <c r="Y3425"/>
      <c r="Z3425"/>
      <c r="AA3425"/>
      <c r="AB3425"/>
      <c r="AL3425"/>
      <c r="AM3425"/>
      <c r="AN3425"/>
      <c r="AO3425"/>
    </row>
    <row r="3426" spans="1:41" s="2" customFormat="1" x14ac:dyDescent="0.2">
      <c r="A3426"/>
      <c r="B3426"/>
      <c r="C3426"/>
      <c r="D3426"/>
      <c r="E3426"/>
      <c r="F3426"/>
      <c r="G3426"/>
      <c r="U3426"/>
      <c r="V3426"/>
      <c r="W3426"/>
      <c r="X3426"/>
      <c r="Y3426"/>
      <c r="Z3426"/>
      <c r="AA3426"/>
      <c r="AB3426"/>
      <c r="AL3426"/>
      <c r="AM3426"/>
      <c r="AN3426"/>
      <c r="AO3426"/>
    </row>
    <row r="3427" spans="1:41" s="2" customFormat="1" x14ac:dyDescent="0.2">
      <c r="A3427"/>
      <c r="B3427"/>
      <c r="C3427"/>
      <c r="D3427"/>
      <c r="E3427"/>
      <c r="F3427"/>
      <c r="G3427"/>
      <c r="U3427"/>
      <c r="V3427"/>
      <c r="W3427"/>
      <c r="X3427"/>
      <c r="Y3427"/>
      <c r="Z3427"/>
      <c r="AA3427"/>
      <c r="AB3427"/>
      <c r="AL3427"/>
      <c r="AM3427"/>
      <c r="AN3427"/>
      <c r="AO3427"/>
    </row>
    <row r="3428" spans="1:41" s="2" customFormat="1" x14ac:dyDescent="0.2">
      <c r="A3428"/>
      <c r="B3428"/>
      <c r="C3428"/>
      <c r="D3428"/>
      <c r="E3428"/>
      <c r="F3428"/>
      <c r="G3428"/>
      <c r="U3428"/>
      <c r="V3428"/>
      <c r="W3428"/>
      <c r="X3428"/>
      <c r="Y3428"/>
      <c r="Z3428"/>
      <c r="AA3428"/>
      <c r="AB3428"/>
      <c r="AL3428"/>
      <c r="AM3428"/>
      <c r="AN3428"/>
      <c r="AO3428"/>
    </row>
    <row r="3429" spans="1:41" s="2" customFormat="1" x14ac:dyDescent="0.2">
      <c r="A3429"/>
      <c r="B3429"/>
      <c r="C3429"/>
      <c r="D3429"/>
      <c r="E3429"/>
      <c r="F3429"/>
      <c r="G3429"/>
      <c r="U3429"/>
      <c r="V3429"/>
      <c r="W3429"/>
      <c r="X3429"/>
      <c r="Y3429"/>
      <c r="Z3429"/>
      <c r="AA3429"/>
      <c r="AB3429"/>
      <c r="AL3429"/>
      <c r="AM3429"/>
      <c r="AN3429"/>
      <c r="AO3429"/>
    </row>
    <row r="3430" spans="1:41" s="2" customFormat="1" x14ac:dyDescent="0.2">
      <c r="A3430"/>
      <c r="B3430"/>
      <c r="C3430"/>
      <c r="D3430"/>
      <c r="E3430"/>
      <c r="F3430"/>
      <c r="G3430"/>
      <c r="U3430"/>
      <c r="V3430"/>
      <c r="W3430"/>
      <c r="X3430"/>
      <c r="Y3430"/>
      <c r="Z3430"/>
      <c r="AA3430"/>
      <c r="AB3430"/>
      <c r="AL3430"/>
      <c r="AM3430"/>
      <c r="AN3430"/>
      <c r="AO3430"/>
    </row>
    <row r="3431" spans="1:41" s="2" customFormat="1" x14ac:dyDescent="0.2">
      <c r="A3431"/>
      <c r="B3431"/>
      <c r="C3431"/>
      <c r="D3431"/>
      <c r="E3431"/>
      <c r="F3431"/>
      <c r="G3431"/>
      <c r="U3431"/>
      <c r="V3431"/>
      <c r="W3431"/>
      <c r="X3431"/>
      <c r="Y3431"/>
      <c r="Z3431"/>
      <c r="AA3431"/>
      <c r="AB3431"/>
      <c r="AL3431"/>
      <c r="AM3431"/>
      <c r="AN3431"/>
      <c r="AO3431"/>
    </row>
    <row r="3432" spans="1:41" s="2" customFormat="1" x14ac:dyDescent="0.2">
      <c r="A3432"/>
      <c r="B3432"/>
      <c r="C3432"/>
      <c r="D3432"/>
      <c r="E3432"/>
      <c r="F3432"/>
      <c r="G3432"/>
      <c r="U3432"/>
      <c r="V3432"/>
      <c r="W3432"/>
      <c r="X3432"/>
      <c r="Y3432"/>
      <c r="Z3432"/>
      <c r="AA3432"/>
      <c r="AB3432"/>
      <c r="AL3432"/>
      <c r="AM3432"/>
      <c r="AN3432"/>
      <c r="AO3432"/>
    </row>
    <row r="3433" spans="1:41" s="2" customFormat="1" x14ac:dyDescent="0.2">
      <c r="A3433"/>
      <c r="B3433"/>
      <c r="C3433"/>
      <c r="D3433"/>
      <c r="E3433"/>
      <c r="F3433"/>
      <c r="G3433"/>
      <c r="U3433"/>
      <c r="V3433"/>
      <c r="W3433"/>
      <c r="X3433"/>
      <c r="Y3433"/>
      <c r="Z3433"/>
      <c r="AA3433"/>
      <c r="AB3433"/>
      <c r="AL3433"/>
      <c r="AM3433"/>
      <c r="AN3433"/>
      <c r="AO3433"/>
    </row>
    <row r="3434" spans="1:41" s="2" customFormat="1" x14ac:dyDescent="0.2">
      <c r="A3434"/>
      <c r="B3434"/>
      <c r="C3434"/>
      <c r="D3434"/>
      <c r="E3434"/>
      <c r="F3434"/>
      <c r="G3434"/>
      <c r="U3434"/>
      <c r="V3434"/>
      <c r="W3434"/>
      <c r="X3434"/>
      <c r="Y3434"/>
      <c r="Z3434"/>
      <c r="AA3434"/>
      <c r="AB3434"/>
      <c r="AL3434"/>
      <c r="AM3434"/>
      <c r="AN3434"/>
      <c r="AO3434"/>
    </row>
    <row r="3435" spans="1:41" s="2" customFormat="1" x14ac:dyDescent="0.2">
      <c r="A3435"/>
      <c r="B3435"/>
      <c r="C3435"/>
      <c r="D3435"/>
      <c r="E3435"/>
      <c r="F3435"/>
      <c r="G3435"/>
      <c r="U3435"/>
      <c r="V3435"/>
      <c r="W3435"/>
      <c r="X3435"/>
      <c r="Y3435"/>
      <c r="Z3435"/>
      <c r="AA3435"/>
      <c r="AB3435"/>
      <c r="AL3435"/>
      <c r="AM3435"/>
      <c r="AN3435"/>
      <c r="AO3435"/>
    </row>
    <row r="3436" spans="1:41" s="2" customFormat="1" x14ac:dyDescent="0.2">
      <c r="A3436"/>
      <c r="B3436"/>
      <c r="C3436"/>
      <c r="D3436"/>
      <c r="E3436"/>
      <c r="F3436"/>
      <c r="G3436"/>
      <c r="U3436"/>
      <c r="V3436"/>
      <c r="W3436"/>
      <c r="X3436"/>
      <c r="Y3436"/>
      <c r="Z3436"/>
      <c r="AA3436"/>
      <c r="AB3436"/>
      <c r="AL3436"/>
      <c r="AM3436"/>
      <c r="AN3436"/>
      <c r="AO3436"/>
    </row>
    <row r="3437" spans="1:41" s="2" customFormat="1" x14ac:dyDescent="0.2">
      <c r="A3437"/>
      <c r="B3437"/>
      <c r="C3437"/>
      <c r="D3437"/>
      <c r="E3437"/>
      <c r="F3437"/>
      <c r="G3437"/>
      <c r="U3437"/>
      <c r="V3437"/>
      <c r="W3437"/>
      <c r="X3437"/>
      <c r="Y3437"/>
      <c r="Z3437"/>
      <c r="AA3437"/>
      <c r="AB3437"/>
      <c r="AL3437"/>
      <c r="AM3437"/>
      <c r="AN3437"/>
      <c r="AO3437"/>
    </row>
    <row r="3438" spans="1:41" s="2" customFormat="1" x14ac:dyDescent="0.2">
      <c r="A3438"/>
      <c r="B3438"/>
      <c r="C3438"/>
      <c r="D3438"/>
      <c r="E3438"/>
      <c r="F3438"/>
      <c r="G3438"/>
      <c r="U3438"/>
      <c r="V3438"/>
      <c r="W3438"/>
      <c r="X3438"/>
      <c r="Y3438"/>
      <c r="Z3438"/>
      <c r="AA3438"/>
      <c r="AB3438"/>
      <c r="AL3438"/>
      <c r="AM3438"/>
      <c r="AN3438"/>
      <c r="AO3438"/>
    </row>
    <row r="3439" spans="1:41" s="2" customFormat="1" x14ac:dyDescent="0.2">
      <c r="A3439"/>
      <c r="B3439"/>
      <c r="C3439"/>
      <c r="D3439"/>
      <c r="E3439"/>
      <c r="F3439"/>
      <c r="G3439"/>
      <c r="U3439"/>
      <c r="V3439"/>
      <c r="W3439"/>
      <c r="X3439"/>
      <c r="Y3439"/>
      <c r="Z3439"/>
      <c r="AA3439"/>
      <c r="AB3439"/>
      <c r="AL3439"/>
      <c r="AM3439"/>
      <c r="AN3439"/>
      <c r="AO3439"/>
    </row>
    <row r="3440" spans="1:41" s="2" customFormat="1" x14ac:dyDescent="0.2">
      <c r="A3440"/>
      <c r="B3440"/>
      <c r="C3440"/>
      <c r="D3440"/>
      <c r="E3440"/>
      <c r="F3440"/>
      <c r="G3440"/>
      <c r="U3440"/>
      <c r="V3440"/>
      <c r="W3440"/>
      <c r="X3440"/>
      <c r="Y3440"/>
      <c r="Z3440"/>
      <c r="AA3440"/>
      <c r="AB3440"/>
      <c r="AL3440"/>
      <c r="AM3440"/>
      <c r="AN3440"/>
      <c r="AO3440"/>
    </row>
    <row r="3441" spans="1:41" s="2" customFormat="1" x14ac:dyDescent="0.2">
      <c r="A3441"/>
      <c r="B3441"/>
      <c r="C3441"/>
      <c r="D3441"/>
      <c r="E3441"/>
      <c r="F3441"/>
      <c r="G3441"/>
      <c r="U3441"/>
      <c r="V3441"/>
      <c r="W3441"/>
      <c r="X3441"/>
      <c r="Y3441"/>
      <c r="Z3441"/>
      <c r="AA3441"/>
      <c r="AB3441"/>
      <c r="AL3441"/>
      <c r="AM3441"/>
      <c r="AN3441"/>
      <c r="AO3441"/>
    </row>
    <row r="3442" spans="1:41" s="2" customFormat="1" x14ac:dyDescent="0.2">
      <c r="A3442"/>
      <c r="B3442"/>
      <c r="C3442"/>
      <c r="D3442"/>
      <c r="E3442"/>
      <c r="F3442"/>
      <c r="G3442"/>
      <c r="U3442"/>
      <c r="V3442"/>
      <c r="W3442"/>
      <c r="X3442"/>
      <c r="Y3442"/>
      <c r="Z3442"/>
      <c r="AA3442"/>
      <c r="AB3442"/>
      <c r="AL3442"/>
      <c r="AM3442"/>
      <c r="AN3442"/>
      <c r="AO3442"/>
    </row>
    <row r="3443" spans="1:41" s="2" customFormat="1" x14ac:dyDescent="0.2">
      <c r="A3443"/>
      <c r="B3443"/>
      <c r="C3443"/>
      <c r="D3443"/>
      <c r="E3443"/>
      <c r="F3443"/>
      <c r="G3443"/>
      <c r="U3443"/>
      <c r="V3443"/>
      <c r="W3443"/>
      <c r="X3443"/>
      <c r="Y3443"/>
      <c r="Z3443"/>
      <c r="AA3443"/>
      <c r="AB3443"/>
      <c r="AL3443"/>
      <c r="AM3443"/>
      <c r="AN3443"/>
      <c r="AO3443"/>
    </row>
    <row r="3444" spans="1:41" s="2" customFormat="1" x14ac:dyDescent="0.2">
      <c r="A3444"/>
      <c r="B3444"/>
      <c r="C3444"/>
      <c r="D3444"/>
      <c r="E3444"/>
      <c r="F3444"/>
      <c r="G3444"/>
      <c r="U3444"/>
      <c r="V3444"/>
      <c r="W3444"/>
      <c r="X3444"/>
      <c r="Y3444"/>
      <c r="Z3444"/>
      <c r="AA3444"/>
      <c r="AB3444"/>
      <c r="AL3444"/>
      <c r="AM3444"/>
      <c r="AN3444"/>
      <c r="AO3444"/>
    </row>
    <row r="3445" spans="1:41" s="2" customFormat="1" x14ac:dyDescent="0.2">
      <c r="A3445"/>
      <c r="B3445"/>
      <c r="C3445"/>
      <c r="D3445"/>
      <c r="E3445"/>
      <c r="F3445"/>
      <c r="G3445"/>
      <c r="U3445"/>
      <c r="V3445"/>
      <c r="W3445"/>
      <c r="X3445"/>
      <c r="Y3445"/>
      <c r="Z3445"/>
      <c r="AA3445"/>
      <c r="AB3445"/>
      <c r="AL3445"/>
      <c r="AM3445"/>
      <c r="AN3445"/>
      <c r="AO3445"/>
    </row>
    <row r="3446" spans="1:41" s="2" customFormat="1" x14ac:dyDescent="0.2">
      <c r="A3446"/>
      <c r="B3446"/>
      <c r="C3446"/>
      <c r="D3446"/>
      <c r="E3446"/>
      <c r="F3446"/>
      <c r="G3446"/>
      <c r="U3446"/>
      <c r="V3446"/>
      <c r="W3446"/>
      <c r="X3446"/>
      <c r="Y3446"/>
      <c r="Z3446"/>
      <c r="AA3446"/>
      <c r="AB3446"/>
      <c r="AL3446"/>
      <c r="AM3446"/>
      <c r="AN3446"/>
      <c r="AO3446"/>
    </row>
    <row r="3447" spans="1:41" s="2" customFormat="1" x14ac:dyDescent="0.2">
      <c r="A3447"/>
      <c r="B3447"/>
      <c r="C3447"/>
      <c r="D3447"/>
      <c r="E3447"/>
      <c r="F3447"/>
      <c r="G3447"/>
      <c r="U3447"/>
      <c r="V3447"/>
      <c r="W3447"/>
      <c r="X3447"/>
      <c r="Y3447"/>
      <c r="Z3447"/>
      <c r="AA3447"/>
      <c r="AB3447"/>
      <c r="AL3447"/>
      <c r="AM3447"/>
      <c r="AN3447"/>
      <c r="AO3447"/>
    </row>
    <row r="3448" spans="1:41" s="2" customFormat="1" x14ac:dyDescent="0.2">
      <c r="A3448"/>
      <c r="B3448"/>
      <c r="C3448"/>
      <c r="D3448"/>
      <c r="E3448"/>
      <c r="F3448"/>
      <c r="G3448"/>
      <c r="U3448"/>
      <c r="V3448"/>
      <c r="W3448"/>
      <c r="X3448"/>
      <c r="Y3448"/>
      <c r="Z3448"/>
      <c r="AA3448"/>
      <c r="AB3448"/>
      <c r="AL3448"/>
      <c r="AM3448"/>
      <c r="AN3448"/>
      <c r="AO3448"/>
    </row>
    <row r="3449" spans="1:41" s="2" customFormat="1" x14ac:dyDescent="0.2">
      <c r="A3449"/>
      <c r="B3449"/>
      <c r="C3449"/>
      <c r="D3449"/>
      <c r="E3449"/>
      <c r="F3449"/>
      <c r="G3449"/>
      <c r="U3449"/>
      <c r="V3449"/>
      <c r="W3449"/>
      <c r="X3449"/>
      <c r="Y3449"/>
      <c r="Z3449"/>
      <c r="AA3449"/>
      <c r="AB3449"/>
      <c r="AL3449"/>
      <c r="AM3449"/>
      <c r="AN3449"/>
      <c r="AO3449"/>
    </row>
    <row r="3450" spans="1:41" s="2" customFormat="1" x14ac:dyDescent="0.2">
      <c r="A3450"/>
      <c r="B3450"/>
      <c r="C3450"/>
      <c r="D3450"/>
      <c r="E3450"/>
      <c r="F3450"/>
      <c r="G3450"/>
      <c r="U3450"/>
      <c r="V3450"/>
      <c r="W3450"/>
      <c r="X3450"/>
      <c r="Y3450"/>
      <c r="Z3450"/>
      <c r="AA3450"/>
      <c r="AB3450"/>
      <c r="AL3450"/>
      <c r="AM3450"/>
      <c r="AN3450"/>
      <c r="AO3450"/>
    </row>
    <row r="3451" spans="1:41" s="2" customFormat="1" x14ac:dyDescent="0.2">
      <c r="A3451"/>
      <c r="B3451"/>
      <c r="C3451"/>
      <c r="D3451"/>
      <c r="E3451"/>
      <c r="F3451"/>
      <c r="G3451"/>
      <c r="U3451"/>
      <c r="V3451"/>
      <c r="W3451"/>
      <c r="X3451"/>
      <c r="Y3451"/>
      <c r="Z3451"/>
      <c r="AA3451"/>
      <c r="AB3451"/>
      <c r="AL3451"/>
      <c r="AM3451"/>
      <c r="AN3451"/>
      <c r="AO3451"/>
    </row>
    <row r="3452" spans="1:41" s="2" customFormat="1" x14ac:dyDescent="0.2">
      <c r="A3452"/>
      <c r="B3452"/>
      <c r="C3452"/>
      <c r="D3452"/>
      <c r="E3452"/>
      <c r="F3452"/>
      <c r="G3452"/>
      <c r="U3452"/>
      <c r="V3452"/>
      <c r="W3452"/>
      <c r="X3452"/>
      <c r="Y3452"/>
      <c r="Z3452"/>
      <c r="AA3452"/>
      <c r="AB3452"/>
      <c r="AL3452"/>
      <c r="AM3452"/>
      <c r="AN3452"/>
      <c r="AO3452"/>
    </row>
    <row r="3453" spans="1:41" s="2" customFormat="1" x14ac:dyDescent="0.2">
      <c r="A3453"/>
      <c r="B3453"/>
      <c r="C3453"/>
      <c r="D3453"/>
      <c r="E3453"/>
      <c r="F3453"/>
      <c r="G3453"/>
      <c r="U3453"/>
      <c r="V3453"/>
      <c r="W3453"/>
      <c r="X3453"/>
      <c r="Y3453"/>
      <c r="Z3453"/>
      <c r="AA3453"/>
      <c r="AB3453"/>
      <c r="AL3453"/>
      <c r="AM3453"/>
      <c r="AN3453"/>
      <c r="AO3453"/>
    </row>
    <row r="3454" spans="1:41" s="2" customFormat="1" x14ac:dyDescent="0.2">
      <c r="A3454"/>
      <c r="B3454"/>
      <c r="C3454"/>
      <c r="D3454"/>
      <c r="E3454"/>
      <c r="F3454"/>
      <c r="G3454"/>
      <c r="U3454"/>
      <c r="V3454"/>
      <c r="W3454"/>
      <c r="X3454"/>
      <c r="Y3454"/>
      <c r="Z3454"/>
      <c r="AA3454"/>
      <c r="AB3454"/>
      <c r="AL3454"/>
      <c r="AM3454"/>
      <c r="AN3454"/>
      <c r="AO3454"/>
    </row>
    <row r="3455" spans="1:41" s="2" customFormat="1" x14ac:dyDescent="0.2">
      <c r="A3455"/>
      <c r="B3455"/>
      <c r="C3455"/>
      <c r="D3455"/>
      <c r="E3455"/>
      <c r="F3455"/>
      <c r="G3455"/>
      <c r="U3455"/>
      <c r="V3455"/>
      <c r="W3455"/>
      <c r="X3455"/>
      <c r="Y3455"/>
      <c r="Z3455"/>
      <c r="AA3455"/>
      <c r="AB3455"/>
      <c r="AL3455"/>
      <c r="AM3455"/>
      <c r="AN3455"/>
      <c r="AO3455"/>
    </row>
    <row r="3456" spans="1:41" s="2" customFormat="1" x14ac:dyDescent="0.2">
      <c r="A3456"/>
      <c r="B3456"/>
      <c r="C3456"/>
      <c r="D3456"/>
      <c r="E3456"/>
      <c r="F3456"/>
      <c r="G3456"/>
      <c r="U3456"/>
      <c r="V3456"/>
      <c r="W3456"/>
      <c r="X3456"/>
      <c r="Y3456"/>
      <c r="Z3456"/>
      <c r="AA3456"/>
      <c r="AB3456"/>
      <c r="AL3456"/>
      <c r="AM3456"/>
      <c r="AN3456"/>
      <c r="AO3456"/>
    </row>
    <row r="3457" spans="1:41" s="2" customFormat="1" x14ac:dyDescent="0.2">
      <c r="A3457"/>
      <c r="B3457"/>
      <c r="C3457"/>
      <c r="D3457"/>
      <c r="E3457"/>
      <c r="F3457"/>
      <c r="G3457"/>
      <c r="U3457"/>
      <c r="V3457"/>
      <c r="W3457"/>
      <c r="X3457"/>
      <c r="Y3457"/>
      <c r="Z3457"/>
      <c r="AA3457"/>
      <c r="AB3457"/>
      <c r="AL3457"/>
      <c r="AM3457"/>
      <c r="AN3457"/>
      <c r="AO3457"/>
    </row>
    <row r="3458" spans="1:41" s="2" customFormat="1" x14ac:dyDescent="0.2">
      <c r="A3458"/>
      <c r="B3458"/>
      <c r="C3458"/>
      <c r="D3458"/>
      <c r="E3458"/>
      <c r="F3458"/>
      <c r="G3458"/>
      <c r="U3458"/>
      <c r="V3458"/>
      <c r="W3458"/>
      <c r="X3458"/>
      <c r="Y3458"/>
      <c r="Z3458"/>
      <c r="AA3458"/>
      <c r="AB3458"/>
      <c r="AL3458"/>
      <c r="AM3458"/>
      <c r="AN3458"/>
      <c r="AO3458"/>
    </row>
    <row r="3459" spans="1:41" s="2" customFormat="1" x14ac:dyDescent="0.2">
      <c r="A3459"/>
      <c r="B3459"/>
      <c r="C3459"/>
      <c r="D3459"/>
      <c r="E3459"/>
      <c r="F3459"/>
      <c r="G3459"/>
      <c r="U3459"/>
      <c r="V3459"/>
      <c r="W3459"/>
      <c r="X3459"/>
      <c r="Y3459"/>
      <c r="Z3459"/>
      <c r="AA3459"/>
      <c r="AB3459"/>
      <c r="AL3459"/>
      <c r="AM3459"/>
      <c r="AN3459"/>
      <c r="AO3459"/>
    </row>
    <row r="3460" spans="1:41" s="2" customFormat="1" x14ac:dyDescent="0.2">
      <c r="A3460"/>
      <c r="B3460"/>
      <c r="C3460"/>
      <c r="D3460"/>
      <c r="E3460"/>
      <c r="F3460"/>
      <c r="G3460"/>
      <c r="U3460"/>
      <c r="V3460"/>
      <c r="W3460"/>
      <c r="X3460"/>
      <c r="Y3460"/>
      <c r="Z3460"/>
      <c r="AA3460"/>
      <c r="AB3460"/>
      <c r="AL3460"/>
      <c r="AM3460"/>
      <c r="AN3460"/>
      <c r="AO3460"/>
    </row>
    <row r="3461" spans="1:41" s="2" customFormat="1" x14ac:dyDescent="0.2">
      <c r="A3461"/>
      <c r="B3461"/>
      <c r="C3461"/>
      <c r="D3461"/>
      <c r="E3461"/>
      <c r="F3461"/>
      <c r="G3461"/>
      <c r="U3461"/>
      <c r="V3461"/>
      <c r="W3461"/>
      <c r="X3461"/>
      <c r="Y3461"/>
      <c r="Z3461"/>
      <c r="AA3461"/>
      <c r="AB3461"/>
      <c r="AL3461"/>
      <c r="AM3461"/>
      <c r="AN3461"/>
      <c r="AO3461"/>
    </row>
    <row r="3462" spans="1:41" s="2" customFormat="1" x14ac:dyDescent="0.2">
      <c r="A3462"/>
      <c r="B3462"/>
      <c r="C3462"/>
      <c r="D3462"/>
      <c r="E3462"/>
      <c r="F3462"/>
      <c r="G3462"/>
      <c r="U3462"/>
      <c r="V3462"/>
      <c r="W3462"/>
      <c r="X3462"/>
      <c r="Y3462"/>
      <c r="Z3462"/>
      <c r="AA3462"/>
      <c r="AB3462"/>
      <c r="AL3462"/>
      <c r="AM3462"/>
      <c r="AN3462"/>
      <c r="AO3462"/>
    </row>
    <row r="3463" spans="1:41" s="2" customFormat="1" x14ac:dyDescent="0.2">
      <c r="A3463"/>
      <c r="B3463"/>
      <c r="C3463"/>
      <c r="D3463"/>
      <c r="E3463"/>
      <c r="F3463"/>
      <c r="G3463"/>
      <c r="U3463"/>
      <c r="V3463"/>
      <c r="W3463"/>
      <c r="X3463"/>
      <c r="Y3463"/>
      <c r="Z3463"/>
      <c r="AA3463"/>
      <c r="AB3463"/>
      <c r="AL3463"/>
      <c r="AM3463"/>
      <c r="AN3463"/>
      <c r="AO3463"/>
    </row>
    <row r="3464" spans="1:41" s="2" customFormat="1" x14ac:dyDescent="0.2">
      <c r="A3464"/>
      <c r="B3464"/>
      <c r="C3464"/>
      <c r="D3464"/>
      <c r="E3464"/>
      <c r="F3464"/>
      <c r="G3464"/>
      <c r="U3464"/>
      <c r="V3464"/>
      <c r="W3464"/>
      <c r="X3464"/>
      <c r="Y3464"/>
      <c r="Z3464"/>
      <c r="AA3464"/>
      <c r="AB3464"/>
      <c r="AL3464"/>
      <c r="AM3464"/>
      <c r="AN3464"/>
      <c r="AO3464"/>
    </row>
    <row r="3465" spans="1:41" s="2" customFormat="1" x14ac:dyDescent="0.2">
      <c r="A3465"/>
      <c r="B3465"/>
      <c r="C3465"/>
      <c r="D3465"/>
      <c r="E3465"/>
      <c r="F3465"/>
      <c r="G3465"/>
      <c r="U3465"/>
      <c r="V3465"/>
      <c r="W3465"/>
      <c r="X3465"/>
      <c r="Y3465"/>
      <c r="Z3465"/>
      <c r="AA3465"/>
      <c r="AB3465"/>
      <c r="AL3465"/>
      <c r="AM3465"/>
      <c r="AN3465"/>
      <c r="AO3465"/>
    </row>
    <row r="3466" spans="1:41" s="2" customFormat="1" x14ac:dyDescent="0.2">
      <c r="A3466"/>
      <c r="B3466"/>
      <c r="C3466"/>
      <c r="D3466"/>
      <c r="E3466"/>
      <c r="F3466"/>
      <c r="G3466"/>
      <c r="U3466"/>
      <c r="V3466"/>
      <c r="W3466"/>
      <c r="X3466"/>
      <c r="Y3466"/>
      <c r="Z3466"/>
      <c r="AA3466"/>
      <c r="AB3466"/>
      <c r="AL3466"/>
      <c r="AM3466"/>
      <c r="AN3466"/>
      <c r="AO3466"/>
    </row>
    <row r="3467" spans="1:41" s="2" customFormat="1" x14ac:dyDescent="0.2">
      <c r="A3467"/>
      <c r="B3467"/>
      <c r="C3467"/>
      <c r="D3467"/>
      <c r="E3467"/>
      <c r="F3467"/>
      <c r="G3467"/>
      <c r="U3467"/>
      <c r="V3467"/>
      <c r="W3467"/>
      <c r="X3467"/>
      <c r="Y3467"/>
      <c r="Z3467"/>
      <c r="AA3467"/>
      <c r="AB3467"/>
      <c r="AL3467"/>
      <c r="AM3467"/>
      <c r="AN3467"/>
      <c r="AO3467"/>
    </row>
    <row r="3468" spans="1:41" s="2" customFormat="1" x14ac:dyDescent="0.2">
      <c r="A3468"/>
      <c r="B3468"/>
      <c r="C3468"/>
      <c r="D3468"/>
      <c r="E3468"/>
      <c r="F3468"/>
      <c r="G3468"/>
      <c r="U3468"/>
      <c r="V3468"/>
      <c r="W3468"/>
      <c r="X3468"/>
      <c r="Y3468"/>
      <c r="Z3468"/>
      <c r="AA3468"/>
      <c r="AB3468"/>
      <c r="AL3468"/>
      <c r="AM3468"/>
      <c r="AN3468"/>
      <c r="AO3468"/>
    </row>
    <row r="3469" spans="1:41" s="2" customFormat="1" x14ac:dyDescent="0.2">
      <c r="A3469"/>
      <c r="B3469"/>
      <c r="C3469"/>
      <c r="D3469"/>
      <c r="E3469"/>
      <c r="F3469"/>
      <c r="G3469"/>
      <c r="U3469"/>
      <c r="V3469"/>
      <c r="W3469"/>
      <c r="X3469"/>
      <c r="Y3469"/>
      <c r="Z3469"/>
      <c r="AA3469"/>
      <c r="AB3469"/>
      <c r="AL3469"/>
      <c r="AM3469"/>
      <c r="AN3469"/>
      <c r="AO3469"/>
    </row>
    <row r="3470" spans="1:41" s="2" customFormat="1" x14ac:dyDescent="0.2">
      <c r="A3470"/>
      <c r="B3470"/>
      <c r="C3470"/>
      <c r="D3470"/>
      <c r="E3470"/>
      <c r="F3470"/>
      <c r="G3470"/>
      <c r="U3470"/>
      <c r="V3470"/>
      <c r="W3470"/>
      <c r="X3470"/>
      <c r="Y3470"/>
      <c r="Z3470"/>
      <c r="AA3470"/>
      <c r="AB3470"/>
      <c r="AL3470"/>
      <c r="AM3470"/>
      <c r="AN3470"/>
      <c r="AO3470"/>
    </row>
    <row r="3471" spans="1:41" s="2" customFormat="1" x14ac:dyDescent="0.2">
      <c r="A3471"/>
      <c r="B3471"/>
      <c r="C3471"/>
      <c r="D3471"/>
      <c r="E3471"/>
      <c r="F3471"/>
      <c r="G3471"/>
      <c r="U3471"/>
      <c r="V3471"/>
      <c r="W3471"/>
      <c r="X3471"/>
      <c r="Y3471"/>
      <c r="Z3471"/>
      <c r="AA3471"/>
      <c r="AB3471"/>
      <c r="AL3471"/>
      <c r="AM3471"/>
      <c r="AN3471"/>
      <c r="AO3471"/>
    </row>
    <row r="3472" spans="1:41" s="2" customFormat="1" x14ac:dyDescent="0.2">
      <c r="A3472"/>
      <c r="B3472"/>
      <c r="C3472"/>
      <c r="D3472"/>
      <c r="E3472"/>
      <c r="F3472"/>
      <c r="G3472"/>
      <c r="U3472"/>
      <c r="V3472"/>
      <c r="W3472"/>
      <c r="X3472"/>
      <c r="Y3472"/>
      <c r="Z3472"/>
      <c r="AA3472"/>
      <c r="AB3472"/>
      <c r="AL3472"/>
      <c r="AM3472"/>
      <c r="AN3472"/>
      <c r="AO3472"/>
    </row>
    <row r="3473" spans="1:41" s="2" customFormat="1" x14ac:dyDescent="0.2">
      <c r="A3473"/>
      <c r="B3473"/>
      <c r="C3473"/>
      <c r="D3473"/>
      <c r="E3473"/>
      <c r="F3473"/>
      <c r="G3473"/>
      <c r="U3473"/>
      <c r="V3473"/>
      <c r="W3473"/>
      <c r="X3473"/>
      <c r="Y3473"/>
      <c r="Z3473"/>
      <c r="AA3473"/>
      <c r="AB3473"/>
      <c r="AL3473"/>
      <c r="AM3473"/>
      <c r="AN3473"/>
      <c r="AO3473"/>
    </row>
    <row r="3474" spans="1:41" s="2" customFormat="1" x14ac:dyDescent="0.2">
      <c r="A3474"/>
      <c r="B3474"/>
      <c r="C3474"/>
      <c r="D3474"/>
      <c r="E3474"/>
      <c r="F3474"/>
      <c r="G3474"/>
      <c r="U3474"/>
      <c r="V3474"/>
      <c r="W3474"/>
      <c r="X3474"/>
      <c r="Y3474"/>
      <c r="Z3474"/>
      <c r="AA3474"/>
      <c r="AB3474"/>
      <c r="AL3474"/>
      <c r="AM3474"/>
      <c r="AN3474"/>
      <c r="AO3474"/>
    </row>
    <row r="3475" spans="1:41" s="2" customFormat="1" x14ac:dyDescent="0.2">
      <c r="A3475"/>
      <c r="B3475"/>
      <c r="C3475"/>
      <c r="D3475"/>
      <c r="E3475"/>
      <c r="F3475"/>
      <c r="G3475"/>
      <c r="U3475"/>
      <c r="V3475"/>
      <c r="W3475"/>
      <c r="X3475"/>
      <c r="Y3475"/>
      <c r="Z3475"/>
      <c r="AA3475"/>
      <c r="AB3475"/>
      <c r="AL3475"/>
      <c r="AM3475"/>
      <c r="AN3475"/>
      <c r="AO3475"/>
    </row>
    <row r="3476" spans="1:41" s="2" customFormat="1" x14ac:dyDescent="0.2">
      <c r="A3476"/>
      <c r="B3476"/>
      <c r="C3476"/>
      <c r="D3476"/>
      <c r="E3476"/>
      <c r="F3476"/>
      <c r="G3476"/>
      <c r="U3476"/>
      <c r="V3476"/>
      <c r="W3476"/>
      <c r="X3476"/>
      <c r="Y3476"/>
      <c r="Z3476"/>
      <c r="AA3476"/>
      <c r="AB3476"/>
      <c r="AL3476"/>
      <c r="AM3476"/>
      <c r="AN3476"/>
      <c r="AO3476"/>
    </row>
    <row r="3477" spans="1:41" s="2" customFormat="1" x14ac:dyDescent="0.2">
      <c r="A3477"/>
      <c r="B3477"/>
      <c r="C3477"/>
      <c r="D3477"/>
      <c r="E3477"/>
      <c r="F3477"/>
      <c r="G3477"/>
      <c r="U3477"/>
      <c r="V3477"/>
      <c r="W3477"/>
      <c r="X3477"/>
      <c r="Y3477"/>
      <c r="Z3477"/>
      <c r="AA3477"/>
      <c r="AB3477"/>
      <c r="AL3477"/>
      <c r="AM3477"/>
      <c r="AN3477"/>
      <c r="AO3477"/>
    </row>
    <row r="3478" spans="1:41" s="2" customFormat="1" x14ac:dyDescent="0.2">
      <c r="A3478"/>
      <c r="B3478"/>
      <c r="C3478"/>
      <c r="D3478"/>
      <c r="E3478"/>
      <c r="F3478"/>
      <c r="G3478"/>
      <c r="U3478"/>
      <c r="V3478"/>
      <c r="W3478"/>
      <c r="X3478"/>
      <c r="Y3478"/>
      <c r="Z3478"/>
      <c r="AA3478"/>
      <c r="AB3478"/>
      <c r="AL3478"/>
      <c r="AM3478"/>
      <c r="AN3478"/>
      <c r="AO3478"/>
    </row>
    <row r="3479" spans="1:41" s="2" customFormat="1" x14ac:dyDescent="0.2">
      <c r="A3479"/>
      <c r="B3479"/>
      <c r="C3479"/>
      <c r="D3479"/>
      <c r="E3479"/>
      <c r="F3479"/>
      <c r="G3479"/>
      <c r="U3479"/>
      <c r="V3479"/>
      <c r="W3479"/>
      <c r="X3479"/>
      <c r="Y3479"/>
      <c r="Z3479"/>
      <c r="AA3479"/>
      <c r="AB3479"/>
      <c r="AL3479"/>
      <c r="AM3479"/>
      <c r="AN3479"/>
      <c r="AO3479"/>
    </row>
    <row r="3480" spans="1:41" s="2" customFormat="1" x14ac:dyDescent="0.2">
      <c r="A3480"/>
      <c r="B3480"/>
      <c r="C3480"/>
      <c r="D3480"/>
      <c r="E3480"/>
      <c r="F3480"/>
      <c r="G3480"/>
      <c r="U3480"/>
      <c r="V3480"/>
      <c r="W3480"/>
      <c r="X3480"/>
      <c r="Y3480"/>
      <c r="Z3480"/>
      <c r="AA3480"/>
      <c r="AB3480"/>
      <c r="AL3480"/>
      <c r="AM3480"/>
      <c r="AN3480"/>
      <c r="AO3480"/>
    </row>
    <row r="3481" spans="1:41" s="2" customFormat="1" x14ac:dyDescent="0.2">
      <c r="A3481"/>
      <c r="B3481"/>
      <c r="C3481"/>
      <c r="D3481"/>
      <c r="E3481"/>
      <c r="F3481"/>
      <c r="G3481"/>
      <c r="U3481"/>
      <c r="V3481"/>
      <c r="W3481"/>
      <c r="X3481"/>
      <c r="Y3481"/>
      <c r="Z3481"/>
      <c r="AA3481"/>
      <c r="AB3481"/>
      <c r="AL3481"/>
      <c r="AM3481"/>
      <c r="AN3481"/>
      <c r="AO3481"/>
    </row>
    <row r="3482" spans="1:41" s="2" customFormat="1" x14ac:dyDescent="0.2">
      <c r="A3482"/>
      <c r="B3482"/>
      <c r="C3482"/>
      <c r="D3482"/>
      <c r="E3482"/>
      <c r="F3482"/>
      <c r="G3482"/>
      <c r="U3482"/>
      <c r="V3482"/>
      <c r="W3482"/>
      <c r="X3482"/>
      <c r="Y3482"/>
      <c r="Z3482"/>
      <c r="AA3482"/>
      <c r="AB3482"/>
      <c r="AL3482"/>
      <c r="AM3482"/>
      <c r="AN3482"/>
      <c r="AO3482"/>
    </row>
    <row r="3483" spans="1:41" s="2" customFormat="1" x14ac:dyDescent="0.2">
      <c r="A3483"/>
      <c r="B3483"/>
      <c r="C3483"/>
      <c r="D3483"/>
      <c r="E3483"/>
      <c r="F3483"/>
      <c r="G3483"/>
      <c r="U3483"/>
      <c r="V3483"/>
      <c r="W3483"/>
      <c r="X3483"/>
      <c r="Y3483"/>
      <c r="Z3483"/>
      <c r="AA3483"/>
      <c r="AB3483"/>
      <c r="AL3483"/>
      <c r="AM3483"/>
      <c r="AN3483"/>
      <c r="AO3483"/>
    </row>
    <row r="3484" spans="1:41" s="2" customFormat="1" x14ac:dyDescent="0.2">
      <c r="A3484"/>
      <c r="B3484"/>
      <c r="C3484"/>
      <c r="D3484"/>
      <c r="E3484"/>
      <c r="F3484"/>
      <c r="G3484"/>
      <c r="U3484"/>
      <c r="V3484"/>
      <c r="W3484"/>
      <c r="X3484"/>
      <c r="Y3484"/>
      <c r="Z3484"/>
      <c r="AA3484"/>
      <c r="AB3484"/>
      <c r="AL3484"/>
      <c r="AM3484"/>
      <c r="AN3484"/>
      <c r="AO3484"/>
    </row>
    <row r="3485" spans="1:41" s="2" customFormat="1" x14ac:dyDescent="0.2">
      <c r="A3485"/>
      <c r="B3485"/>
      <c r="C3485"/>
      <c r="D3485"/>
      <c r="E3485"/>
      <c r="F3485"/>
      <c r="G3485"/>
      <c r="U3485"/>
      <c r="V3485"/>
      <c r="W3485"/>
      <c r="X3485"/>
      <c r="Y3485"/>
      <c r="Z3485"/>
      <c r="AA3485"/>
      <c r="AB3485"/>
      <c r="AL3485"/>
      <c r="AM3485"/>
      <c r="AN3485"/>
      <c r="AO3485"/>
    </row>
    <row r="3486" spans="1:41" s="2" customFormat="1" x14ac:dyDescent="0.2">
      <c r="A3486"/>
      <c r="B3486"/>
      <c r="C3486"/>
      <c r="D3486"/>
      <c r="E3486"/>
      <c r="F3486"/>
      <c r="G3486"/>
      <c r="U3486"/>
      <c r="V3486"/>
      <c r="W3486"/>
      <c r="X3486"/>
      <c r="Y3486"/>
      <c r="Z3486"/>
      <c r="AA3486"/>
      <c r="AB3486"/>
      <c r="AL3486"/>
      <c r="AM3486"/>
      <c r="AN3486"/>
      <c r="AO3486"/>
    </row>
    <row r="3487" spans="1:41" s="2" customFormat="1" x14ac:dyDescent="0.2">
      <c r="A3487"/>
      <c r="B3487"/>
      <c r="C3487"/>
      <c r="D3487"/>
      <c r="E3487"/>
      <c r="F3487"/>
      <c r="G3487"/>
      <c r="U3487"/>
      <c r="V3487"/>
      <c r="W3487"/>
      <c r="X3487"/>
      <c r="Y3487"/>
      <c r="Z3487"/>
      <c r="AA3487"/>
      <c r="AB3487"/>
      <c r="AL3487"/>
      <c r="AM3487"/>
      <c r="AN3487"/>
      <c r="AO3487"/>
    </row>
    <row r="3488" spans="1:41" s="2" customFormat="1" x14ac:dyDescent="0.2">
      <c r="A3488"/>
      <c r="B3488"/>
      <c r="C3488"/>
      <c r="D3488"/>
      <c r="E3488"/>
      <c r="F3488"/>
      <c r="G3488"/>
      <c r="U3488"/>
      <c r="V3488"/>
      <c r="W3488"/>
      <c r="X3488"/>
      <c r="Y3488"/>
      <c r="Z3488"/>
      <c r="AA3488"/>
      <c r="AB3488"/>
      <c r="AL3488"/>
      <c r="AM3488"/>
      <c r="AN3488"/>
      <c r="AO3488"/>
    </row>
    <row r="3489" spans="1:41" s="2" customFormat="1" x14ac:dyDescent="0.2">
      <c r="A3489"/>
      <c r="B3489"/>
      <c r="C3489"/>
      <c r="D3489"/>
      <c r="E3489"/>
      <c r="F3489"/>
      <c r="G3489"/>
      <c r="U3489"/>
      <c r="V3489"/>
      <c r="W3489"/>
      <c r="X3489"/>
      <c r="Y3489"/>
      <c r="Z3489"/>
      <c r="AA3489"/>
      <c r="AB3489"/>
      <c r="AL3489"/>
      <c r="AM3489"/>
      <c r="AN3489"/>
      <c r="AO3489"/>
    </row>
    <row r="3490" spans="1:41" s="2" customFormat="1" x14ac:dyDescent="0.2">
      <c r="A3490"/>
      <c r="B3490"/>
      <c r="C3490"/>
      <c r="D3490"/>
      <c r="E3490"/>
      <c r="F3490"/>
      <c r="G3490"/>
      <c r="U3490"/>
      <c r="V3490"/>
      <c r="W3490"/>
      <c r="X3490"/>
      <c r="Y3490"/>
      <c r="Z3490"/>
      <c r="AA3490"/>
      <c r="AB3490"/>
      <c r="AL3490"/>
      <c r="AM3490"/>
      <c r="AN3490"/>
      <c r="AO3490"/>
    </row>
    <row r="3491" spans="1:41" s="2" customFormat="1" x14ac:dyDescent="0.2">
      <c r="A3491"/>
      <c r="B3491"/>
      <c r="C3491"/>
      <c r="D3491"/>
      <c r="E3491"/>
      <c r="F3491"/>
      <c r="G3491"/>
      <c r="U3491"/>
      <c r="V3491"/>
      <c r="W3491"/>
      <c r="X3491"/>
      <c r="Y3491"/>
      <c r="Z3491"/>
      <c r="AA3491"/>
      <c r="AB3491"/>
      <c r="AL3491"/>
      <c r="AM3491"/>
      <c r="AN3491"/>
      <c r="AO3491"/>
    </row>
    <row r="3492" spans="1:41" s="2" customFormat="1" x14ac:dyDescent="0.2">
      <c r="A3492"/>
      <c r="B3492"/>
      <c r="C3492"/>
      <c r="D3492"/>
      <c r="E3492"/>
      <c r="F3492"/>
      <c r="G3492"/>
      <c r="U3492"/>
      <c r="V3492"/>
      <c r="W3492"/>
      <c r="X3492"/>
      <c r="Y3492"/>
      <c r="Z3492"/>
      <c r="AA3492"/>
      <c r="AB3492"/>
      <c r="AL3492"/>
      <c r="AM3492"/>
      <c r="AN3492"/>
      <c r="AO3492"/>
    </row>
    <row r="3493" spans="1:41" s="2" customFormat="1" x14ac:dyDescent="0.2">
      <c r="A3493"/>
      <c r="B3493"/>
      <c r="C3493"/>
      <c r="D3493"/>
      <c r="E3493"/>
      <c r="F3493"/>
      <c r="G3493"/>
      <c r="U3493"/>
      <c r="V3493"/>
      <c r="W3493"/>
      <c r="X3493"/>
      <c r="Y3493"/>
      <c r="Z3493"/>
      <c r="AA3493"/>
      <c r="AB3493"/>
      <c r="AL3493"/>
      <c r="AM3493"/>
      <c r="AN3493"/>
      <c r="AO3493"/>
    </row>
    <row r="3494" spans="1:41" s="2" customFormat="1" x14ac:dyDescent="0.2">
      <c r="A3494"/>
      <c r="B3494"/>
      <c r="C3494"/>
      <c r="D3494"/>
      <c r="E3494"/>
      <c r="F3494"/>
      <c r="G3494"/>
      <c r="U3494"/>
      <c r="V3494"/>
      <c r="W3494"/>
      <c r="X3494"/>
      <c r="Y3494"/>
      <c r="Z3494"/>
      <c r="AA3494"/>
      <c r="AB3494"/>
      <c r="AL3494"/>
      <c r="AM3494"/>
      <c r="AN3494"/>
      <c r="AO3494"/>
    </row>
    <row r="3495" spans="1:41" s="2" customFormat="1" x14ac:dyDescent="0.2">
      <c r="A3495"/>
      <c r="B3495"/>
      <c r="C3495"/>
      <c r="D3495"/>
      <c r="E3495"/>
      <c r="F3495"/>
      <c r="G3495"/>
      <c r="U3495"/>
      <c r="V3495"/>
      <c r="W3495"/>
      <c r="X3495"/>
      <c r="Y3495"/>
      <c r="Z3495"/>
      <c r="AA3495"/>
      <c r="AB3495"/>
      <c r="AL3495"/>
      <c r="AM3495"/>
      <c r="AN3495"/>
      <c r="AO3495"/>
    </row>
    <row r="3496" spans="1:41" s="2" customFormat="1" x14ac:dyDescent="0.2">
      <c r="A3496"/>
      <c r="B3496"/>
      <c r="C3496"/>
      <c r="D3496"/>
      <c r="E3496"/>
      <c r="F3496"/>
      <c r="G3496"/>
      <c r="U3496"/>
      <c r="V3496"/>
      <c r="W3496"/>
      <c r="X3496"/>
      <c r="Y3496"/>
      <c r="Z3496"/>
      <c r="AA3496"/>
      <c r="AB3496"/>
      <c r="AL3496"/>
      <c r="AM3496"/>
      <c r="AN3496"/>
      <c r="AO3496"/>
    </row>
    <row r="3497" spans="1:41" s="2" customFormat="1" x14ac:dyDescent="0.2">
      <c r="A3497"/>
      <c r="B3497"/>
      <c r="C3497"/>
      <c r="D3497"/>
      <c r="E3497"/>
      <c r="F3497"/>
      <c r="G3497"/>
      <c r="U3497"/>
      <c r="V3497"/>
      <c r="W3497"/>
      <c r="X3497"/>
      <c r="Y3497"/>
      <c r="Z3497"/>
      <c r="AA3497"/>
      <c r="AB3497"/>
      <c r="AL3497"/>
      <c r="AM3497"/>
      <c r="AN3497"/>
      <c r="AO3497"/>
    </row>
    <row r="3498" spans="1:41" s="2" customFormat="1" x14ac:dyDescent="0.2">
      <c r="A3498"/>
      <c r="B3498"/>
      <c r="C3498"/>
      <c r="D3498"/>
      <c r="E3498"/>
      <c r="F3498"/>
      <c r="G3498"/>
      <c r="U3498"/>
      <c r="V3498"/>
      <c r="W3498"/>
      <c r="X3498"/>
      <c r="Y3498"/>
      <c r="Z3498"/>
      <c r="AA3498"/>
      <c r="AB3498"/>
      <c r="AL3498"/>
      <c r="AM3498"/>
      <c r="AN3498"/>
      <c r="AO3498"/>
    </row>
    <row r="3499" spans="1:41" s="2" customFormat="1" x14ac:dyDescent="0.2">
      <c r="A3499"/>
      <c r="B3499"/>
      <c r="C3499"/>
      <c r="D3499"/>
      <c r="E3499"/>
      <c r="F3499"/>
      <c r="G3499"/>
      <c r="U3499"/>
      <c r="V3499"/>
      <c r="W3499"/>
      <c r="X3499"/>
      <c r="Y3499"/>
      <c r="Z3499"/>
      <c r="AA3499"/>
      <c r="AB3499"/>
      <c r="AL3499"/>
      <c r="AM3499"/>
      <c r="AN3499"/>
      <c r="AO3499"/>
    </row>
    <row r="3500" spans="1:41" s="2" customFormat="1" x14ac:dyDescent="0.2">
      <c r="A3500"/>
      <c r="B3500"/>
      <c r="C3500"/>
      <c r="D3500"/>
      <c r="E3500"/>
      <c r="F3500"/>
      <c r="G3500"/>
      <c r="U3500"/>
      <c r="V3500"/>
      <c r="W3500"/>
      <c r="X3500"/>
      <c r="Y3500"/>
      <c r="Z3500"/>
      <c r="AA3500"/>
      <c r="AB3500"/>
      <c r="AL3500"/>
      <c r="AM3500"/>
      <c r="AN3500"/>
      <c r="AO3500"/>
    </row>
    <row r="3501" spans="1:41" s="2" customFormat="1" x14ac:dyDescent="0.2">
      <c r="A3501"/>
      <c r="B3501"/>
      <c r="C3501"/>
      <c r="D3501"/>
      <c r="E3501"/>
      <c r="F3501"/>
      <c r="G3501"/>
      <c r="U3501"/>
      <c r="V3501"/>
      <c r="W3501"/>
      <c r="X3501"/>
      <c r="Y3501"/>
      <c r="Z3501"/>
      <c r="AA3501"/>
      <c r="AB3501"/>
      <c r="AL3501"/>
      <c r="AM3501"/>
      <c r="AN3501"/>
      <c r="AO3501"/>
    </row>
    <row r="3502" spans="1:41" s="2" customFormat="1" x14ac:dyDescent="0.2">
      <c r="A3502"/>
      <c r="B3502"/>
      <c r="C3502"/>
      <c r="D3502"/>
      <c r="E3502"/>
      <c r="F3502"/>
      <c r="G3502"/>
      <c r="U3502"/>
      <c r="V3502"/>
      <c r="W3502"/>
      <c r="X3502"/>
      <c r="Y3502"/>
      <c r="Z3502"/>
      <c r="AA3502"/>
      <c r="AB3502"/>
      <c r="AL3502"/>
      <c r="AM3502"/>
      <c r="AN3502"/>
      <c r="AO3502"/>
    </row>
    <row r="3503" spans="1:41" s="2" customFormat="1" x14ac:dyDescent="0.2">
      <c r="A3503"/>
      <c r="B3503"/>
      <c r="C3503"/>
      <c r="D3503"/>
      <c r="E3503"/>
      <c r="F3503"/>
      <c r="G3503"/>
      <c r="U3503"/>
      <c r="V3503"/>
      <c r="W3503"/>
      <c r="X3503"/>
      <c r="Y3503"/>
      <c r="Z3503"/>
      <c r="AA3503"/>
      <c r="AB3503"/>
      <c r="AL3503"/>
      <c r="AM3503"/>
      <c r="AN3503"/>
      <c r="AO3503"/>
    </row>
    <row r="3504" spans="1:41" s="2" customFormat="1" x14ac:dyDescent="0.2">
      <c r="A3504"/>
      <c r="B3504"/>
      <c r="C3504"/>
      <c r="D3504"/>
      <c r="E3504"/>
      <c r="F3504"/>
      <c r="G3504"/>
      <c r="U3504"/>
      <c r="V3504"/>
      <c r="W3504"/>
      <c r="X3504"/>
      <c r="Y3504"/>
      <c r="Z3504"/>
      <c r="AA3504"/>
      <c r="AB3504"/>
      <c r="AL3504"/>
      <c r="AM3504"/>
      <c r="AN3504"/>
      <c r="AO3504"/>
    </row>
    <row r="3505" spans="1:41" s="2" customFormat="1" x14ac:dyDescent="0.2">
      <c r="A3505"/>
      <c r="B3505"/>
      <c r="C3505"/>
      <c r="D3505"/>
      <c r="E3505"/>
      <c r="F3505"/>
      <c r="G3505"/>
      <c r="U3505"/>
      <c r="V3505"/>
      <c r="W3505"/>
      <c r="X3505"/>
      <c r="Y3505"/>
      <c r="Z3505"/>
      <c r="AA3505"/>
      <c r="AB3505"/>
      <c r="AL3505"/>
      <c r="AM3505"/>
      <c r="AN3505"/>
      <c r="AO3505"/>
    </row>
    <row r="3506" spans="1:41" s="2" customFormat="1" x14ac:dyDescent="0.2">
      <c r="A3506"/>
      <c r="B3506"/>
      <c r="C3506"/>
      <c r="D3506"/>
      <c r="E3506"/>
      <c r="F3506"/>
      <c r="G3506"/>
      <c r="U3506"/>
      <c r="V3506"/>
      <c r="W3506"/>
      <c r="X3506"/>
      <c r="Y3506"/>
      <c r="Z3506"/>
      <c r="AA3506"/>
      <c r="AB3506"/>
      <c r="AL3506"/>
      <c r="AM3506"/>
      <c r="AN3506"/>
      <c r="AO3506"/>
    </row>
    <row r="3507" spans="1:41" s="2" customFormat="1" x14ac:dyDescent="0.2">
      <c r="A3507"/>
      <c r="B3507"/>
      <c r="C3507"/>
      <c r="D3507"/>
      <c r="E3507"/>
      <c r="F3507"/>
      <c r="G3507"/>
      <c r="U3507"/>
      <c r="V3507"/>
      <c r="W3507"/>
      <c r="X3507"/>
      <c r="Y3507"/>
      <c r="Z3507"/>
      <c r="AA3507"/>
      <c r="AB3507"/>
      <c r="AL3507"/>
      <c r="AM3507"/>
      <c r="AN3507"/>
      <c r="AO3507"/>
    </row>
    <row r="3508" spans="1:41" s="2" customFormat="1" x14ac:dyDescent="0.2">
      <c r="A3508"/>
      <c r="B3508"/>
      <c r="C3508"/>
      <c r="D3508"/>
      <c r="E3508"/>
      <c r="F3508"/>
      <c r="G3508"/>
      <c r="U3508"/>
      <c r="V3508"/>
      <c r="W3508"/>
      <c r="X3508"/>
      <c r="Y3508"/>
      <c r="Z3508"/>
      <c r="AA3508"/>
      <c r="AB3508"/>
      <c r="AL3508"/>
      <c r="AM3508"/>
      <c r="AN3508"/>
      <c r="AO3508"/>
    </row>
    <row r="3509" spans="1:41" s="2" customFormat="1" x14ac:dyDescent="0.2">
      <c r="A3509"/>
      <c r="B3509"/>
      <c r="C3509"/>
      <c r="D3509"/>
      <c r="E3509"/>
      <c r="F3509"/>
      <c r="G3509"/>
      <c r="U3509"/>
      <c r="V3509"/>
      <c r="W3509"/>
      <c r="X3509"/>
      <c r="Y3509"/>
      <c r="Z3509"/>
      <c r="AA3509"/>
      <c r="AB3509"/>
      <c r="AL3509"/>
      <c r="AM3509"/>
      <c r="AN3509"/>
      <c r="AO3509"/>
    </row>
    <row r="3510" spans="1:41" s="2" customFormat="1" x14ac:dyDescent="0.2">
      <c r="A3510"/>
      <c r="B3510"/>
      <c r="C3510"/>
      <c r="D3510"/>
      <c r="E3510"/>
      <c r="F3510"/>
      <c r="G3510"/>
      <c r="U3510"/>
      <c r="V3510"/>
      <c r="W3510"/>
      <c r="X3510"/>
      <c r="Y3510"/>
      <c r="Z3510"/>
      <c r="AA3510"/>
      <c r="AB3510"/>
      <c r="AL3510"/>
      <c r="AM3510"/>
      <c r="AN3510"/>
      <c r="AO3510"/>
    </row>
    <row r="3511" spans="1:41" s="2" customFormat="1" x14ac:dyDescent="0.2">
      <c r="A3511"/>
      <c r="B3511"/>
      <c r="C3511"/>
      <c r="D3511"/>
      <c r="E3511"/>
      <c r="F3511"/>
      <c r="G3511"/>
      <c r="U3511"/>
      <c r="V3511"/>
      <c r="W3511"/>
      <c r="X3511"/>
      <c r="Y3511"/>
      <c r="Z3511"/>
      <c r="AA3511"/>
      <c r="AB3511"/>
      <c r="AL3511"/>
      <c r="AM3511"/>
      <c r="AN3511"/>
      <c r="AO3511"/>
    </row>
    <row r="3512" spans="1:41" s="2" customFormat="1" x14ac:dyDescent="0.2">
      <c r="A3512"/>
      <c r="B3512"/>
      <c r="C3512"/>
      <c r="D3512"/>
      <c r="E3512"/>
      <c r="F3512"/>
      <c r="G3512"/>
      <c r="U3512"/>
      <c r="V3512"/>
      <c r="W3512"/>
      <c r="X3512"/>
      <c r="Y3512"/>
      <c r="Z3512"/>
      <c r="AA3512"/>
      <c r="AB3512"/>
      <c r="AL3512"/>
      <c r="AM3512"/>
      <c r="AN3512"/>
      <c r="AO3512"/>
    </row>
    <row r="3513" spans="1:41" s="2" customFormat="1" x14ac:dyDescent="0.2">
      <c r="A3513"/>
      <c r="B3513"/>
      <c r="C3513"/>
      <c r="D3513"/>
      <c r="E3513"/>
      <c r="F3513"/>
      <c r="G3513"/>
      <c r="U3513"/>
      <c r="V3513"/>
      <c r="W3513"/>
      <c r="X3513"/>
      <c r="Y3513"/>
      <c r="Z3513"/>
      <c r="AA3513"/>
      <c r="AB3513"/>
      <c r="AL3513"/>
      <c r="AM3513"/>
      <c r="AN3513"/>
      <c r="AO3513"/>
    </row>
    <row r="3514" spans="1:41" s="2" customFormat="1" x14ac:dyDescent="0.2">
      <c r="A3514"/>
      <c r="B3514"/>
      <c r="C3514"/>
      <c r="D3514"/>
      <c r="E3514"/>
      <c r="F3514"/>
      <c r="G3514"/>
      <c r="U3514"/>
      <c r="V3514"/>
      <c r="W3514"/>
      <c r="X3514"/>
      <c r="Y3514"/>
      <c r="Z3514"/>
      <c r="AA3514"/>
      <c r="AB3514"/>
      <c r="AL3514"/>
      <c r="AM3514"/>
      <c r="AN3514"/>
      <c r="AO3514"/>
    </row>
    <row r="3515" spans="1:41" s="2" customFormat="1" x14ac:dyDescent="0.2">
      <c r="A3515"/>
      <c r="B3515"/>
      <c r="C3515"/>
      <c r="D3515"/>
      <c r="E3515"/>
      <c r="F3515"/>
      <c r="G3515"/>
      <c r="U3515"/>
      <c r="V3515"/>
      <c r="W3515"/>
      <c r="X3515"/>
      <c r="Y3515"/>
      <c r="Z3515"/>
      <c r="AA3515"/>
      <c r="AB3515"/>
      <c r="AL3515"/>
      <c r="AM3515"/>
      <c r="AN3515"/>
      <c r="AO3515"/>
    </row>
    <row r="3516" spans="1:41" s="2" customFormat="1" x14ac:dyDescent="0.2">
      <c r="A3516"/>
      <c r="B3516"/>
      <c r="C3516"/>
      <c r="D3516"/>
      <c r="E3516"/>
      <c r="F3516"/>
      <c r="G3516"/>
      <c r="U3516"/>
      <c r="V3516"/>
      <c r="W3516"/>
      <c r="X3516"/>
      <c r="Y3516"/>
      <c r="Z3516"/>
      <c r="AA3516"/>
      <c r="AB3516"/>
      <c r="AL3516"/>
      <c r="AM3516"/>
      <c r="AN3516"/>
      <c r="AO3516"/>
    </row>
    <row r="3517" spans="1:41" s="2" customFormat="1" x14ac:dyDescent="0.2">
      <c r="A3517"/>
      <c r="B3517"/>
      <c r="C3517"/>
      <c r="D3517"/>
      <c r="E3517"/>
      <c r="F3517"/>
      <c r="G3517"/>
      <c r="U3517"/>
      <c r="V3517"/>
      <c r="W3517"/>
      <c r="X3517"/>
      <c r="Y3517"/>
      <c r="Z3517"/>
      <c r="AA3517"/>
      <c r="AB3517"/>
      <c r="AL3517"/>
      <c r="AM3517"/>
      <c r="AN3517"/>
      <c r="AO3517"/>
    </row>
    <row r="3518" spans="1:41" s="2" customFormat="1" x14ac:dyDescent="0.2">
      <c r="A3518"/>
      <c r="B3518"/>
      <c r="C3518"/>
      <c r="D3518"/>
      <c r="E3518"/>
      <c r="F3518"/>
      <c r="G3518"/>
      <c r="U3518"/>
      <c r="V3518"/>
      <c r="W3518"/>
      <c r="X3518"/>
      <c r="Y3518"/>
      <c r="Z3518"/>
      <c r="AA3518"/>
      <c r="AB3518"/>
      <c r="AL3518"/>
      <c r="AM3518"/>
      <c r="AN3518"/>
      <c r="AO3518"/>
    </row>
    <row r="3519" spans="1:41" s="2" customFormat="1" x14ac:dyDescent="0.2">
      <c r="A3519"/>
      <c r="B3519"/>
      <c r="C3519"/>
      <c r="D3519"/>
      <c r="E3519"/>
      <c r="F3519"/>
      <c r="G3519"/>
      <c r="U3519"/>
      <c r="V3519"/>
      <c r="W3519"/>
      <c r="X3519"/>
      <c r="Y3519"/>
      <c r="Z3519"/>
      <c r="AA3519"/>
      <c r="AB3519"/>
      <c r="AL3519"/>
      <c r="AM3519"/>
      <c r="AN3519"/>
      <c r="AO3519"/>
    </row>
    <row r="3520" spans="1:41" s="2" customFormat="1" x14ac:dyDescent="0.2">
      <c r="A3520"/>
      <c r="B3520"/>
      <c r="C3520"/>
      <c r="D3520"/>
      <c r="E3520"/>
      <c r="F3520"/>
      <c r="G3520"/>
      <c r="U3520"/>
      <c r="V3520"/>
      <c r="W3520"/>
      <c r="X3520"/>
      <c r="Y3520"/>
      <c r="Z3520"/>
      <c r="AA3520"/>
      <c r="AB3520"/>
      <c r="AL3520"/>
      <c r="AM3520"/>
      <c r="AN3520"/>
      <c r="AO3520"/>
    </row>
    <row r="3521" spans="1:41" s="2" customFormat="1" x14ac:dyDescent="0.2">
      <c r="A3521"/>
      <c r="B3521"/>
      <c r="C3521"/>
      <c r="D3521"/>
      <c r="E3521"/>
      <c r="F3521"/>
      <c r="G3521"/>
      <c r="U3521"/>
      <c r="V3521"/>
      <c r="W3521"/>
      <c r="X3521"/>
      <c r="Y3521"/>
      <c r="Z3521"/>
      <c r="AA3521"/>
      <c r="AB3521"/>
      <c r="AL3521"/>
      <c r="AM3521"/>
      <c r="AN3521"/>
      <c r="AO3521"/>
    </row>
    <row r="3522" spans="1:41" s="2" customFormat="1" x14ac:dyDescent="0.2">
      <c r="A3522"/>
      <c r="B3522"/>
      <c r="C3522"/>
      <c r="D3522"/>
      <c r="E3522"/>
      <c r="F3522"/>
      <c r="G3522"/>
      <c r="U3522"/>
      <c r="V3522"/>
      <c r="W3522"/>
      <c r="X3522"/>
      <c r="Y3522"/>
      <c r="Z3522"/>
      <c r="AA3522"/>
      <c r="AB3522"/>
      <c r="AL3522"/>
      <c r="AM3522"/>
      <c r="AN3522"/>
      <c r="AO3522"/>
    </row>
    <row r="3523" spans="1:41" s="2" customFormat="1" x14ac:dyDescent="0.2">
      <c r="A3523"/>
      <c r="B3523"/>
      <c r="C3523"/>
      <c r="D3523"/>
      <c r="E3523"/>
      <c r="F3523"/>
      <c r="G3523"/>
      <c r="U3523"/>
      <c r="V3523"/>
      <c r="W3523"/>
      <c r="X3523"/>
      <c r="Y3523"/>
      <c r="Z3523"/>
      <c r="AA3523"/>
      <c r="AB3523"/>
      <c r="AL3523"/>
      <c r="AM3523"/>
      <c r="AN3523"/>
      <c r="AO3523"/>
    </row>
    <row r="3524" spans="1:41" s="2" customFormat="1" x14ac:dyDescent="0.2">
      <c r="A3524"/>
      <c r="B3524"/>
      <c r="C3524"/>
      <c r="D3524"/>
      <c r="E3524"/>
      <c r="F3524"/>
      <c r="G3524"/>
      <c r="U3524"/>
      <c r="V3524"/>
      <c r="W3524"/>
      <c r="X3524"/>
      <c r="Y3524"/>
      <c r="Z3524"/>
      <c r="AA3524"/>
      <c r="AB3524"/>
      <c r="AL3524"/>
      <c r="AM3524"/>
      <c r="AN3524"/>
      <c r="AO3524"/>
    </row>
    <row r="3525" spans="1:41" s="2" customFormat="1" x14ac:dyDescent="0.2">
      <c r="A3525"/>
      <c r="B3525"/>
      <c r="C3525"/>
      <c r="D3525"/>
      <c r="E3525"/>
      <c r="F3525"/>
      <c r="G3525"/>
      <c r="U3525"/>
      <c r="V3525"/>
      <c r="W3525"/>
      <c r="X3525"/>
      <c r="Y3525"/>
      <c r="Z3525"/>
      <c r="AA3525"/>
      <c r="AB3525"/>
      <c r="AL3525"/>
      <c r="AM3525"/>
      <c r="AN3525"/>
      <c r="AO3525"/>
    </row>
    <row r="3526" spans="1:41" s="2" customFormat="1" x14ac:dyDescent="0.2">
      <c r="A3526"/>
      <c r="B3526"/>
      <c r="C3526"/>
      <c r="D3526"/>
      <c r="E3526"/>
      <c r="F3526"/>
      <c r="G3526"/>
      <c r="U3526"/>
      <c r="V3526"/>
      <c r="W3526"/>
      <c r="X3526"/>
      <c r="Y3526"/>
      <c r="Z3526"/>
      <c r="AA3526"/>
      <c r="AB3526"/>
      <c r="AL3526"/>
      <c r="AM3526"/>
      <c r="AN3526"/>
      <c r="AO3526"/>
    </row>
    <row r="3527" spans="1:41" s="2" customFormat="1" x14ac:dyDescent="0.2">
      <c r="A3527"/>
      <c r="B3527"/>
      <c r="C3527"/>
      <c r="D3527"/>
      <c r="E3527"/>
      <c r="F3527"/>
      <c r="G3527"/>
      <c r="U3527"/>
      <c r="V3527"/>
      <c r="W3527"/>
      <c r="X3527"/>
      <c r="Y3527"/>
      <c r="Z3527"/>
      <c r="AA3527"/>
      <c r="AB3527"/>
      <c r="AL3527"/>
      <c r="AM3527"/>
      <c r="AN3527"/>
      <c r="AO3527"/>
    </row>
    <row r="3528" spans="1:41" s="2" customFormat="1" x14ac:dyDescent="0.2">
      <c r="A3528"/>
      <c r="B3528"/>
      <c r="C3528"/>
      <c r="D3528"/>
      <c r="E3528"/>
      <c r="F3528"/>
      <c r="G3528"/>
      <c r="U3528"/>
      <c r="V3528"/>
      <c r="W3528"/>
      <c r="X3528"/>
      <c r="Y3528"/>
      <c r="Z3528"/>
      <c r="AA3528"/>
      <c r="AB3528"/>
      <c r="AL3528"/>
      <c r="AM3528"/>
      <c r="AN3528"/>
      <c r="AO3528"/>
    </row>
    <row r="3529" spans="1:41" s="2" customFormat="1" x14ac:dyDescent="0.2">
      <c r="A3529"/>
      <c r="B3529"/>
      <c r="C3529"/>
      <c r="D3529"/>
      <c r="E3529"/>
      <c r="F3529"/>
      <c r="G3529"/>
      <c r="U3529"/>
      <c r="V3529"/>
      <c r="W3529"/>
      <c r="X3529"/>
      <c r="Y3529"/>
      <c r="Z3529"/>
      <c r="AA3529"/>
      <c r="AB3529"/>
      <c r="AL3529"/>
      <c r="AM3529"/>
      <c r="AN3529"/>
      <c r="AO3529"/>
    </row>
    <row r="3530" spans="1:41" s="2" customFormat="1" x14ac:dyDescent="0.2">
      <c r="A3530"/>
      <c r="B3530"/>
      <c r="C3530"/>
      <c r="D3530"/>
      <c r="E3530"/>
      <c r="F3530"/>
      <c r="G3530"/>
      <c r="U3530"/>
      <c r="V3530"/>
      <c r="W3530"/>
      <c r="X3530"/>
      <c r="Y3530"/>
      <c r="Z3530"/>
      <c r="AA3530"/>
      <c r="AB3530"/>
      <c r="AL3530"/>
      <c r="AM3530"/>
      <c r="AN3530"/>
      <c r="AO3530"/>
    </row>
    <row r="3531" spans="1:41" s="2" customFormat="1" x14ac:dyDescent="0.2">
      <c r="A3531"/>
      <c r="B3531"/>
      <c r="C3531"/>
      <c r="D3531"/>
      <c r="E3531"/>
      <c r="F3531"/>
      <c r="G3531"/>
      <c r="U3531"/>
      <c r="V3531"/>
      <c r="W3531"/>
      <c r="X3531"/>
      <c r="Y3531"/>
      <c r="Z3531"/>
      <c r="AA3531"/>
      <c r="AB3531"/>
      <c r="AL3531"/>
      <c r="AM3531"/>
      <c r="AN3531"/>
      <c r="AO3531"/>
    </row>
    <row r="3532" spans="1:41" s="2" customFormat="1" x14ac:dyDescent="0.2">
      <c r="A3532"/>
      <c r="B3532"/>
      <c r="C3532"/>
      <c r="D3532"/>
      <c r="E3532"/>
      <c r="F3532"/>
      <c r="G3532"/>
      <c r="U3532"/>
      <c r="V3532"/>
      <c r="W3532"/>
      <c r="X3532"/>
      <c r="Y3532"/>
      <c r="Z3532"/>
      <c r="AA3532"/>
      <c r="AB3532"/>
      <c r="AL3532"/>
      <c r="AM3532"/>
      <c r="AN3532"/>
      <c r="AO3532"/>
    </row>
    <row r="3533" spans="1:41" s="2" customFormat="1" x14ac:dyDescent="0.2">
      <c r="A3533"/>
      <c r="B3533"/>
      <c r="C3533"/>
      <c r="D3533"/>
      <c r="E3533"/>
      <c r="F3533"/>
      <c r="G3533"/>
      <c r="U3533"/>
      <c r="V3533"/>
      <c r="W3533"/>
      <c r="X3533"/>
      <c r="Y3533"/>
      <c r="Z3533"/>
      <c r="AA3533"/>
      <c r="AB3533"/>
      <c r="AL3533"/>
      <c r="AM3533"/>
      <c r="AN3533"/>
      <c r="AO3533"/>
    </row>
    <row r="3534" spans="1:41" s="2" customFormat="1" x14ac:dyDescent="0.2">
      <c r="A3534"/>
      <c r="B3534"/>
      <c r="C3534"/>
      <c r="D3534"/>
      <c r="E3534"/>
      <c r="F3534"/>
      <c r="G3534"/>
      <c r="U3534"/>
      <c r="V3534"/>
      <c r="W3534"/>
      <c r="X3534"/>
      <c r="Y3534"/>
      <c r="Z3534"/>
      <c r="AA3534"/>
      <c r="AB3534"/>
      <c r="AL3534"/>
      <c r="AM3534"/>
      <c r="AN3534"/>
      <c r="AO3534"/>
    </row>
    <row r="3535" spans="1:41" s="2" customFormat="1" x14ac:dyDescent="0.2">
      <c r="A3535"/>
      <c r="B3535"/>
      <c r="C3535"/>
      <c r="D3535"/>
      <c r="E3535"/>
      <c r="F3535"/>
      <c r="G3535"/>
      <c r="U3535"/>
      <c r="V3535"/>
      <c r="W3535"/>
      <c r="X3535"/>
      <c r="Y3535"/>
      <c r="Z3535"/>
      <c r="AA3535"/>
      <c r="AB3535"/>
      <c r="AL3535"/>
      <c r="AM3535"/>
      <c r="AN3535"/>
      <c r="AO3535"/>
    </row>
    <row r="3536" spans="1:41" s="2" customFormat="1" x14ac:dyDescent="0.2">
      <c r="A3536"/>
      <c r="B3536"/>
      <c r="C3536"/>
      <c r="D3536"/>
      <c r="E3536"/>
      <c r="F3536"/>
      <c r="G3536"/>
      <c r="U3536"/>
      <c r="V3536"/>
      <c r="W3536"/>
      <c r="X3536"/>
      <c r="Y3536"/>
      <c r="Z3536"/>
      <c r="AA3536"/>
      <c r="AB3536"/>
      <c r="AL3536"/>
      <c r="AM3536"/>
      <c r="AN3536"/>
      <c r="AO3536"/>
    </row>
    <row r="3537" spans="1:41" s="2" customFormat="1" x14ac:dyDescent="0.2">
      <c r="A3537"/>
      <c r="B3537"/>
      <c r="C3537"/>
      <c r="D3537"/>
      <c r="E3537"/>
      <c r="F3537"/>
      <c r="G3537"/>
      <c r="U3537"/>
      <c r="V3537"/>
      <c r="W3537"/>
      <c r="X3537"/>
      <c r="Y3537"/>
      <c r="Z3537"/>
      <c r="AA3537"/>
      <c r="AB3537"/>
      <c r="AL3537"/>
      <c r="AM3537"/>
      <c r="AN3537"/>
      <c r="AO3537"/>
    </row>
    <row r="3538" spans="1:41" s="2" customFormat="1" x14ac:dyDescent="0.2">
      <c r="A3538"/>
      <c r="B3538"/>
      <c r="C3538"/>
      <c r="D3538"/>
      <c r="E3538"/>
      <c r="F3538"/>
      <c r="G3538"/>
      <c r="U3538"/>
      <c r="V3538"/>
      <c r="W3538"/>
      <c r="X3538"/>
      <c r="Y3538"/>
      <c r="Z3538"/>
      <c r="AA3538"/>
      <c r="AB3538"/>
      <c r="AL3538"/>
      <c r="AM3538"/>
      <c r="AN3538"/>
      <c r="AO3538"/>
    </row>
    <row r="3539" spans="1:41" s="2" customFormat="1" x14ac:dyDescent="0.2">
      <c r="A3539"/>
      <c r="B3539"/>
      <c r="C3539"/>
      <c r="D3539"/>
      <c r="E3539"/>
      <c r="F3539"/>
      <c r="G3539"/>
      <c r="U3539"/>
      <c r="V3539"/>
      <c r="W3539"/>
      <c r="X3539"/>
      <c r="Y3539"/>
      <c r="Z3539"/>
      <c r="AA3539"/>
      <c r="AB3539"/>
      <c r="AL3539"/>
      <c r="AM3539"/>
      <c r="AN3539"/>
      <c r="AO3539"/>
    </row>
    <row r="3540" spans="1:41" s="2" customFormat="1" x14ac:dyDescent="0.2">
      <c r="A3540"/>
      <c r="B3540"/>
      <c r="C3540"/>
      <c r="D3540"/>
      <c r="E3540"/>
      <c r="F3540"/>
      <c r="G3540"/>
      <c r="U3540"/>
      <c r="V3540"/>
      <c r="W3540"/>
      <c r="X3540"/>
      <c r="Y3540"/>
      <c r="Z3540"/>
      <c r="AA3540"/>
      <c r="AB3540"/>
      <c r="AL3540"/>
      <c r="AM3540"/>
      <c r="AN3540"/>
      <c r="AO3540"/>
    </row>
    <row r="3541" spans="1:41" s="2" customFormat="1" x14ac:dyDescent="0.2">
      <c r="A3541"/>
      <c r="B3541"/>
      <c r="C3541"/>
      <c r="D3541"/>
      <c r="E3541"/>
      <c r="F3541"/>
      <c r="G3541"/>
      <c r="U3541"/>
      <c r="V3541"/>
      <c r="W3541"/>
      <c r="X3541"/>
      <c r="Y3541"/>
      <c r="Z3541"/>
      <c r="AA3541"/>
      <c r="AB3541"/>
      <c r="AL3541"/>
      <c r="AM3541"/>
      <c r="AN3541"/>
      <c r="AO3541"/>
    </row>
    <row r="3542" spans="1:41" s="2" customFormat="1" x14ac:dyDescent="0.2">
      <c r="A3542"/>
      <c r="B3542"/>
      <c r="C3542"/>
      <c r="D3542"/>
      <c r="E3542"/>
      <c r="F3542"/>
      <c r="G3542"/>
      <c r="U3542"/>
      <c r="V3542"/>
      <c r="W3542"/>
      <c r="X3542"/>
      <c r="Y3542"/>
      <c r="Z3542"/>
      <c r="AA3542"/>
      <c r="AB3542"/>
      <c r="AL3542"/>
      <c r="AM3542"/>
      <c r="AN3542"/>
      <c r="AO3542"/>
    </row>
    <row r="3543" spans="1:41" s="2" customFormat="1" x14ac:dyDescent="0.2">
      <c r="A3543"/>
      <c r="B3543"/>
      <c r="C3543"/>
      <c r="D3543"/>
      <c r="E3543"/>
      <c r="F3543"/>
      <c r="G3543"/>
      <c r="U3543"/>
      <c r="V3543"/>
      <c r="W3543"/>
      <c r="X3543"/>
      <c r="Y3543"/>
      <c r="Z3543"/>
      <c r="AA3543"/>
      <c r="AB3543"/>
      <c r="AL3543"/>
      <c r="AM3543"/>
      <c r="AN3543"/>
      <c r="AO3543"/>
    </row>
    <row r="3544" spans="1:41" s="2" customFormat="1" x14ac:dyDescent="0.2">
      <c r="A3544"/>
      <c r="B3544"/>
      <c r="C3544"/>
      <c r="D3544"/>
      <c r="E3544"/>
      <c r="F3544"/>
      <c r="G3544"/>
      <c r="U3544"/>
      <c r="V3544"/>
      <c r="W3544"/>
      <c r="X3544"/>
      <c r="Y3544"/>
      <c r="Z3544"/>
      <c r="AA3544"/>
      <c r="AB3544"/>
      <c r="AL3544"/>
      <c r="AM3544"/>
      <c r="AN3544"/>
      <c r="AO3544"/>
    </row>
    <row r="3545" spans="1:41" s="2" customFormat="1" x14ac:dyDescent="0.2">
      <c r="A3545"/>
      <c r="B3545"/>
      <c r="C3545"/>
      <c r="D3545"/>
      <c r="E3545"/>
      <c r="F3545"/>
      <c r="G3545"/>
      <c r="U3545"/>
      <c r="V3545"/>
      <c r="W3545"/>
      <c r="X3545"/>
      <c r="Y3545"/>
      <c r="Z3545"/>
      <c r="AA3545"/>
      <c r="AB3545"/>
      <c r="AL3545"/>
      <c r="AM3545"/>
      <c r="AN3545"/>
      <c r="AO3545"/>
    </row>
    <row r="3546" spans="1:41" s="2" customFormat="1" x14ac:dyDescent="0.2">
      <c r="A3546"/>
      <c r="B3546"/>
      <c r="C3546"/>
      <c r="D3546"/>
      <c r="E3546"/>
      <c r="F3546"/>
      <c r="G3546"/>
      <c r="U3546"/>
      <c r="V3546"/>
      <c r="W3546"/>
      <c r="X3546"/>
      <c r="Y3546"/>
      <c r="Z3546"/>
      <c r="AA3546"/>
      <c r="AB3546"/>
      <c r="AL3546"/>
      <c r="AM3546"/>
      <c r="AN3546"/>
      <c r="AO3546"/>
    </row>
    <row r="3547" spans="1:41" s="2" customFormat="1" x14ac:dyDescent="0.2">
      <c r="A3547"/>
      <c r="B3547"/>
      <c r="C3547"/>
      <c r="D3547"/>
      <c r="E3547"/>
      <c r="F3547"/>
      <c r="G3547"/>
      <c r="U3547"/>
      <c r="V3547"/>
      <c r="W3547"/>
      <c r="X3547"/>
      <c r="Y3547"/>
      <c r="Z3547"/>
      <c r="AA3547"/>
      <c r="AB3547"/>
      <c r="AL3547"/>
      <c r="AM3547"/>
      <c r="AN3547"/>
      <c r="AO3547"/>
    </row>
    <row r="3548" spans="1:41" s="2" customFormat="1" x14ac:dyDescent="0.2">
      <c r="A3548"/>
      <c r="B3548"/>
      <c r="C3548"/>
      <c r="D3548"/>
      <c r="E3548"/>
      <c r="F3548"/>
      <c r="G3548"/>
      <c r="U3548"/>
      <c r="V3548"/>
      <c r="W3548"/>
      <c r="X3548"/>
      <c r="Y3548"/>
      <c r="Z3548"/>
      <c r="AA3548"/>
      <c r="AB3548"/>
      <c r="AL3548"/>
      <c r="AM3548"/>
      <c r="AN3548"/>
      <c r="AO3548"/>
    </row>
    <row r="3549" spans="1:41" s="2" customFormat="1" x14ac:dyDescent="0.2">
      <c r="A3549"/>
      <c r="B3549"/>
      <c r="C3549"/>
      <c r="D3549"/>
      <c r="E3549"/>
      <c r="F3549"/>
      <c r="G3549"/>
      <c r="U3549"/>
      <c r="V3549"/>
      <c r="W3549"/>
      <c r="X3549"/>
      <c r="Y3549"/>
      <c r="Z3549"/>
      <c r="AA3549"/>
      <c r="AB3549"/>
      <c r="AL3549"/>
      <c r="AM3549"/>
      <c r="AN3549"/>
      <c r="AO3549"/>
    </row>
    <row r="3550" spans="1:41" s="2" customFormat="1" x14ac:dyDescent="0.2">
      <c r="A3550"/>
      <c r="B3550"/>
      <c r="C3550"/>
      <c r="D3550"/>
      <c r="E3550"/>
      <c r="F3550"/>
      <c r="G3550"/>
      <c r="U3550"/>
      <c r="V3550"/>
      <c r="W3550"/>
      <c r="X3550"/>
      <c r="Y3550"/>
      <c r="Z3550"/>
      <c r="AA3550"/>
      <c r="AB3550"/>
      <c r="AL3550"/>
      <c r="AM3550"/>
      <c r="AN3550"/>
      <c r="AO3550"/>
    </row>
    <row r="3551" spans="1:41" s="2" customFormat="1" x14ac:dyDescent="0.2">
      <c r="A3551"/>
      <c r="B3551"/>
      <c r="C3551"/>
      <c r="D3551"/>
      <c r="E3551"/>
      <c r="F3551"/>
      <c r="G3551"/>
      <c r="U3551"/>
      <c r="V3551"/>
      <c r="W3551"/>
      <c r="X3551"/>
      <c r="Y3551"/>
      <c r="Z3551"/>
      <c r="AA3551"/>
      <c r="AB3551"/>
      <c r="AL3551"/>
      <c r="AM3551"/>
      <c r="AN3551"/>
      <c r="AO3551"/>
    </row>
    <row r="3552" spans="1:41" s="2" customFormat="1" x14ac:dyDescent="0.2">
      <c r="A3552"/>
      <c r="B3552"/>
      <c r="C3552"/>
      <c r="D3552"/>
      <c r="E3552"/>
      <c r="F3552"/>
      <c r="G3552"/>
      <c r="U3552"/>
      <c r="V3552"/>
      <c r="W3552"/>
      <c r="X3552"/>
      <c r="Y3552"/>
      <c r="Z3552"/>
      <c r="AA3552"/>
      <c r="AB3552"/>
      <c r="AL3552"/>
      <c r="AM3552"/>
      <c r="AN3552"/>
      <c r="AO3552"/>
    </row>
    <row r="3553" spans="1:41" s="2" customFormat="1" x14ac:dyDescent="0.2">
      <c r="A3553"/>
      <c r="B3553"/>
      <c r="C3553"/>
      <c r="D3553"/>
      <c r="E3553"/>
      <c r="F3553"/>
      <c r="G3553"/>
      <c r="U3553"/>
      <c r="V3553"/>
      <c r="W3553"/>
      <c r="X3553"/>
      <c r="Y3553"/>
      <c r="Z3553"/>
      <c r="AA3553"/>
      <c r="AB3553"/>
      <c r="AL3553"/>
      <c r="AM3553"/>
      <c r="AN3553"/>
      <c r="AO3553"/>
    </row>
    <row r="3554" spans="1:41" s="2" customFormat="1" x14ac:dyDescent="0.2">
      <c r="A3554"/>
      <c r="B3554"/>
      <c r="C3554"/>
      <c r="D3554"/>
      <c r="E3554"/>
      <c r="F3554"/>
      <c r="G3554"/>
      <c r="U3554"/>
      <c r="V3554"/>
      <c r="W3554"/>
      <c r="X3554"/>
      <c r="Y3554"/>
      <c r="Z3554"/>
      <c r="AA3554"/>
      <c r="AB3554"/>
      <c r="AL3554"/>
      <c r="AM3554"/>
      <c r="AN3554"/>
      <c r="AO3554"/>
    </row>
    <row r="3555" spans="1:41" s="2" customFormat="1" x14ac:dyDescent="0.2">
      <c r="A3555"/>
      <c r="B3555"/>
      <c r="C3555"/>
      <c r="D3555"/>
      <c r="E3555"/>
      <c r="F3555"/>
      <c r="G3555"/>
      <c r="U3555"/>
      <c r="V3555"/>
      <c r="W3555"/>
      <c r="X3555"/>
      <c r="Y3555"/>
      <c r="Z3555"/>
      <c r="AA3555"/>
      <c r="AB3555"/>
      <c r="AL3555"/>
      <c r="AM3555"/>
      <c r="AN3555"/>
      <c r="AO3555"/>
    </row>
    <row r="3556" spans="1:41" s="2" customFormat="1" x14ac:dyDescent="0.2">
      <c r="A3556"/>
      <c r="B3556"/>
      <c r="C3556"/>
      <c r="D3556"/>
      <c r="E3556"/>
      <c r="F3556"/>
      <c r="G3556"/>
      <c r="U3556"/>
      <c r="V3556"/>
      <c r="W3556"/>
      <c r="X3556"/>
      <c r="Y3556"/>
      <c r="Z3556"/>
      <c r="AA3556"/>
      <c r="AB3556"/>
      <c r="AL3556"/>
      <c r="AM3556"/>
      <c r="AN3556"/>
      <c r="AO3556"/>
    </row>
    <row r="3557" spans="1:41" s="2" customFormat="1" x14ac:dyDescent="0.2">
      <c r="A3557"/>
      <c r="B3557"/>
      <c r="C3557"/>
      <c r="D3557"/>
      <c r="E3557"/>
      <c r="F3557"/>
      <c r="G3557"/>
      <c r="U3557"/>
      <c r="V3557"/>
      <c r="W3557"/>
      <c r="X3557"/>
      <c r="Y3557"/>
      <c r="Z3557"/>
      <c r="AA3557"/>
      <c r="AB3557"/>
      <c r="AL3557"/>
      <c r="AM3557"/>
      <c r="AN3557"/>
      <c r="AO3557"/>
    </row>
    <row r="3558" spans="1:41" s="2" customFormat="1" x14ac:dyDescent="0.2">
      <c r="A3558"/>
      <c r="B3558"/>
      <c r="C3558"/>
      <c r="D3558"/>
      <c r="E3558"/>
      <c r="F3558"/>
      <c r="G3558"/>
      <c r="U3558"/>
      <c r="V3558"/>
      <c r="W3558"/>
      <c r="X3558"/>
      <c r="Y3558"/>
      <c r="Z3558"/>
      <c r="AA3558"/>
      <c r="AB3558"/>
      <c r="AL3558"/>
      <c r="AM3558"/>
      <c r="AN3558"/>
      <c r="AO3558"/>
    </row>
    <row r="3559" spans="1:41" s="2" customFormat="1" x14ac:dyDescent="0.2">
      <c r="A3559"/>
      <c r="B3559"/>
      <c r="C3559"/>
      <c r="D3559"/>
      <c r="E3559"/>
      <c r="F3559"/>
      <c r="G3559"/>
      <c r="U3559"/>
      <c r="V3559"/>
      <c r="W3559"/>
      <c r="X3559"/>
      <c r="Y3559"/>
      <c r="Z3559"/>
      <c r="AA3559"/>
      <c r="AB3559"/>
      <c r="AL3559"/>
      <c r="AM3559"/>
      <c r="AN3559"/>
      <c r="AO3559"/>
    </row>
    <row r="3560" spans="1:41" s="2" customFormat="1" x14ac:dyDescent="0.2">
      <c r="A3560"/>
      <c r="B3560"/>
      <c r="C3560"/>
      <c r="D3560"/>
      <c r="E3560"/>
      <c r="F3560"/>
      <c r="G3560"/>
      <c r="U3560"/>
      <c r="V3560"/>
      <c r="W3560"/>
      <c r="X3560"/>
      <c r="Y3560"/>
      <c r="Z3560"/>
      <c r="AA3560"/>
      <c r="AB3560"/>
      <c r="AL3560"/>
      <c r="AM3560"/>
      <c r="AN3560"/>
      <c r="AO3560"/>
    </row>
    <row r="3561" spans="1:41" s="2" customFormat="1" x14ac:dyDescent="0.2">
      <c r="A3561"/>
      <c r="B3561"/>
      <c r="C3561"/>
      <c r="D3561"/>
      <c r="E3561"/>
      <c r="F3561"/>
      <c r="G3561"/>
      <c r="U3561"/>
      <c r="V3561"/>
      <c r="W3561"/>
      <c r="X3561"/>
      <c r="Y3561"/>
      <c r="Z3561"/>
      <c r="AA3561"/>
      <c r="AB3561"/>
      <c r="AL3561"/>
      <c r="AM3561"/>
      <c r="AN3561"/>
      <c r="AO3561"/>
    </row>
    <row r="3562" spans="1:41" s="2" customFormat="1" x14ac:dyDescent="0.2">
      <c r="A3562"/>
      <c r="B3562"/>
      <c r="C3562"/>
      <c r="D3562"/>
      <c r="E3562"/>
      <c r="F3562"/>
      <c r="G3562"/>
      <c r="U3562"/>
      <c r="V3562"/>
      <c r="W3562"/>
      <c r="X3562"/>
      <c r="Y3562"/>
      <c r="Z3562"/>
      <c r="AA3562"/>
      <c r="AB3562"/>
      <c r="AL3562"/>
      <c r="AM3562"/>
      <c r="AN3562"/>
      <c r="AO3562"/>
    </row>
    <row r="3563" spans="1:41" s="2" customFormat="1" x14ac:dyDescent="0.2">
      <c r="A3563"/>
      <c r="B3563"/>
      <c r="C3563"/>
      <c r="D3563"/>
      <c r="E3563"/>
      <c r="F3563"/>
      <c r="G3563"/>
      <c r="U3563"/>
      <c r="V3563"/>
      <c r="W3563"/>
      <c r="X3563"/>
      <c r="Y3563"/>
      <c r="Z3563"/>
      <c r="AA3563"/>
      <c r="AB3563"/>
      <c r="AL3563"/>
      <c r="AM3563"/>
      <c r="AN3563"/>
      <c r="AO3563"/>
    </row>
    <row r="3564" spans="1:41" s="2" customFormat="1" x14ac:dyDescent="0.2">
      <c r="A3564"/>
      <c r="B3564"/>
      <c r="C3564"/>
      <c r="D3564"/>
      <c r="E3564"/>
      <c r="F3564"/>
      <c r="G3564"/>
      <c r="U3564"/>
      <c r="V3564"/>
      <c r="W3564"/>
      <c r="X3564"/>
      <c r="Y3564"/>
      <c r="Z3564"/>
      <c r="AA3564"/>
      <c r="AB3564"/>
      <c r="AL3564"/>
      <c r="AM3564"/>
      <c r="AN3564"/>
      <c r="AO3564"/>
    </row>
    <row r="3565" spans="1:41" s="2" customFormat="1" x14ac:dyDescent="0.2">
      <c r="A3565"/>
      <c r="B3565"/>
      <c r="C3565"/>
      <c r="D3565"/>
      <c r="E3565"/>
      <c r="F3565"/>
      <c r="G3565"/>
      <c r="U3565"/>
      <c r="V3565"/>
      <c r="W3565"/>
      <c r="X3565"/>
      <c r="Y3565"/>
      <c r="Z3565"/>
      <c r="AA3565"/>
      <c r="AB3565"/>
      <c r="AL3565"/>
      <c r="AM3565"/>
      <c r="AN3565"/>
      <c r="AO3565"/>
    </row>
    <row r="3566" spans="1:41" s="2" customFormat="1" x14ac:dyDescent="0.2">
      <c r="A3566"/>
      <c r="B3566"/>
      <c r="C3566"/>
      <c r="D3566"/>
      <c r="E3566"/>
      <c r="F3566"/>
      <c r="G3566"/>
      <c r="U3566"/>
      <c r="V3566"/>
      <c r="W3566"/>
      <c r="X3566"/>
      <c r="Y3566"/>
      <c r="Z3566"/>
      <c r="AA3566"/>
      <c r="AB3566"/>
      <c r="AL3566"/>
      <c r="AM3566"/>
      <c r="AN3566"/>
      <c r="AO3566"/>
    </row>
    <row r="3567" spans="1:41" s="2" customFormat="1" x14ac:dyDescent="0.2">
      <c r="A3567"/>
      <c r="B3567"/>
      <c r="C3567"/>
      <c r="D3567"/>
      <c r="E3567"/>
      <c r="F3567"/>
      <c r="G3567"/>
      <c r="U3567"/>
      <c r="V3567"/>
      <c r="W3567"/>
      <c r="X3567"/>
      <c r="Y3567"/>
      <c r="Z3567"/>
      <c r="AA3567"/>
      <c r="AB3567"/>
      <c r="AL3567"/>
      <c r="AM3567"/>
      <c r="AN3567"/>
      <c r="AO3567"/>
    </row>
    <row r="3568" spans="1:41" s="2" customFormat="1" x14ac:dyDescent="0.2">
      <c r="A3568"/>
      <c r="B3568"/>
      <c r="C3568"/>
      <c r="D3568"/>
      <c r="E3568"/>
      <c r="F3568"/>
      <c r="G3568"/>
      <c r="U3568"/>
      <c r="V3568"/>
      <c r="W3568"/>
      <c r="X3568"/>
      <c r="Y3568"/>
      <c r="Z3568"/>
      <c r="AA3568"/>
      <c r="AB3568"/>
      <c r="AL3568"/>
      <c r="AM3568"/>
      <c r="AN3568"/>
      <c r="AO3568"/>
    </row>
    <row r="3569" spans="1:41" s="2" customFormat="1" x14ac:dyDescent="0.2">
      <c r="A3569"/>
      <c r="B3569"/>
      <c r="C3569"/>
      <c r="D3569"/>
      <c r="E3569"/>
      <c r="F3569"/>
      <c r="G3569"/>
      <c r="U3569"/>
      <c r="V3569"/>
      <c r="W3569"/>
      <c r="X3569"/>
      <c r="Y3569"/>
      <c r="Z3569"/>
      <c r="AA3569"/>
      <c r="AB3569"/>
      <c r="AL3569"/>
      <c r="AM3569"/>
      <c r="AN3569"/>
      <c r="AO3569"/>
    </row>
    <row r="3570" spans="1:41" s="2" customFormat="1" x14ac:dyDescent="0.2">
      <c r="A3570"/>
      <c r="B3570"/>
      <c r="C3570"/>
      <c r="D3570"/>
      <c r="E3570"/>
      <c r="F3570"/>
      <c r="G3570"/>
      <c r="U3570"/>
      <c r="V3570"/>
      <c r="W3570"/>
      <c r="X3570"/>
      <c r="Y3570"/>
      <c r="Z3570"/>
      <c r="AA3570"/>
      <c r="AB3570"/>
      <c r="AL3570"/>
      <c r="AM3570"/>
      <c r="AN3570"/>
      <c r="AO3570"/>
    </row>
    <row r="3571" spans="1:41" s="2" customFormat="1" x14ac:dyDescent="0.2">
      <c r="A3571"/>
      <c r="B3571"/>
      <c r="C3571"/>
      <c r="D3571"/>
      <c r="E3571"/>
      <c r="F3571"/>
      <c r="G3571"/>
      <c r="U3571"/>
      <c r="V3571"/>
      <c r="W3571"/>
      <c r="X3571"/>
      <c r="Y3571"/>
      <c r="Z3571"/>
      <c r="AA3571"/>
      <c r="AB3571"/>
      <c r="AL3571"/>
      <c r="AM3571"/>
      <c r="AN3571"/>
      <c r="AO3571"/>
    </row>
    <row r="3572" spans="1:41" s="2" customFormat="1" x14ac:dyDescent="0.2">
      <c r="A3572"/>
      <c r="B3572"/>
      <c r="C3572"/>
      <c r="D3572"/>
      <c r="E3572"/>
      <c r="F3572"/>
      <c r="G3572"/>
      <c r="U3572"/>
      <c r="V3572"/>
      <c r="W3572"/>
      <c r="X3572"/>
      <c r="Y3572"/>
      <c r="Z3572"/>
      <c r="AA3572"/>
      <c r="AB3572"/>
      <c r="AL3572"/>
      <c r="AM3572"/>
      <c r="AN3572"/>
      <c r="AO3572"/>
    </row>
    <row r="3573" spans="1:41" s="2" customFormat="1" x14ac:dyDescent="0.2">
      <c r="A3573"/>
      <c r="B3573"/>
      <c r="C3573"/>
      <c r="D3573"/>
      <c r="E3573"/>
      <c r="F3573"/>
      <c r="G3573"/>
      <c r="U3573"/>
      <c r="V3573"/>
      <c r="W3573"/>
      <c r="X3573"/>
      <c r="Y3573"/>
      <c r="Z3573"/>
      <c r="AA3573"/>
      <c r="AB3573"/>
      <c r="AL3573"/>
      <c r="AM3573"/>
      <c r="AN3573"/>
      <c r="AO3573"/>
    </row>
    <row r="3574" spans="1:41" s="2" customFormat="1" x14ac:dyDescent="0.2">
      <c r="A3574"/>
      <c r="B3574"/>
      <c r="C3574"/>
      <c r="D3574"/>
      <c r="E3574"/>
      <c r="F3574"/>
      <c r="G3574"/>
      <c r="U3574"/>
      <c r="V3574"/>
      <c r="W3574"/>
      <c r="X3574"/>
      <c r="Y3574"/>
      <c r="Z3574"/>
      <c r="AA3574"/>
      <c r="AB3574"/>
      <c r="AL3574"/>
      <c r="AM3574"/>
      <c r="AN3574"/>
      <c r="AO3574"/>
    </row>
    <row r="3575" spans="1:41" s="2" customFormat="1" x14ac:dyDescent="0.2">
      <c r="A3575"/>
      <c r="B3575"/>
      <c r="C3575"/>
      <c r="D3575"/>
      <c r="E3575"/>
      <c r="F3575"/>
      <c r="G3575"/>
      <c r="U3575"/>
      <c r="V3575"/>
      <c r="W3575"/>
      <c r="X3575"/>
      <c r="Y3575"/>
      <c r="Z3575"/>
      <c r="AA3575"/>
      <c r="AB3575"/>
      <c r="AL3575"/>
      <c r="AM3575"/>
      <c r="AN3575"/>
      <c r="AO3575"/>
    </row>
    <row r="3576" spans="1:41" s="2" customFormat="1" x14ac:dyDescent="0.2">
      <c r="A3576"/>
      <c r="B3576"/>
      <c r="C3576"/>
      <c r="D3576"/>
      <c r="E3576"/>
      <c r="F3576"/>
      <c r="G3576"/>
      <c r="U3576"/>
      <c r="V3576"/>
      <c r="W3576"/>
      <c r="X3576"/>
      <c r="Y3576"/>
      <c r="Z3576"/>
      <c r="AA3576"/>
      <c r="AB3576"/>
      <c r="AL3576"/>
      <c r="AM3576"/>
      <c r="AN3576"/>
      <c r="AO3576"/>
    </row>
    <row r="3577" spans="1:41" s="2" customFormat="1" x14ac:dyDescent="0.2">
      <c r="A3577"/>
      <c r="B3577"/>
      <c r="C3577"/>
      <c r="D3577"/>
      <c r="E3577"/>
      <c r="F3577"/>
      <c r="G3577"/>
      <c r="U3577"/>
      <c r="V3577"/>
      <c r="W3577"/>
      <c r="X3577"/>
      <c r="Y3577"/>
      <c r="Z3577"/>
      <c r="AA3577"/>
      <c r="AB3577"/>
      <c r="AL3577"/>
      <c r="AM3577"/>
      <c r="AN3577"/>
      <c r="AO3577"/>
    </row>
    <row r="3578" spans="1:41" s="2" customFormat="1" x14ac:dyDescent="0.2">
      <c r="A3578"/>
      <c r="B3578"/>
      <c r="C3578"/>
      <c r="D3578"/>
      <c r="E3578"/>
      <c r="F3578"/>
      <c r="G3578"/>
      <c r="U3578"/>
      <c r="V3578"/>
      <c r="W3578"/>
      <c r="X3578"/>
      <c r="Y3578"/>
      <c r="Z3578"/>
      <c r="AA3578"/>
      <c r="AB3578"/>
      <c r="AL3578"/>
      <c r="AM3578"/>
      <c r="AN3578"/>
      <c r="AO3578"/>
    </row>
    <row r="3579" spans="1:41" s="2" customFormat="1" x14ac:dyDescent="0.2">
      <c r="A3579"/>
      <c r="B3579"/>
      <c r="C3579"/>
      <c r="D3579"/>
      <c r="E3579"/>
      <c r="F3579"/>
      <c r="G3579"/>
      <c r="U3579"/>
      <c r="V3579"/>
      <c r="W3579"/>
      <c r="X3579"/>
      <c r="Y3579"/>
      <c r="Z3579"/>
      <c r="AA3579"/>
      <c r="AB3579"/>
      <c r="AL3579"/>
      <c r="AM3579"/>
      <c r="AN3579"/>
      <c r="AO3579"/>
    </row>
    <row r="3580" spans="1:41" s="2" customFormat="1" x14ac:dyDescent="0.2">
      <c r="A3580"/>
      <c r="B3580"/>
      <c r="C3580"/>
      <c r="D3580"/>
      <c r="E3580"/>
      <c r="F3580"/>
      <c r="G3580"/>
      <c r="U3580"/>
      <c r="V3580"/>
      <c r="W3580"/>
      <c r="X3580"/>
      <c r="Y3580"/>
      <c r="Z3580"/>
      <c r="AA3580"/>
      <c r="AB3580"/>
      <c r="AL3580"/>
      <c r="AM3580"/>
      <c r="AN3580"/>
      <c r="AO3580"/>
    </row>
    <row r="3581" spans="1:41" s="2" customFormat="1" x14ac:dyDescent="0.2">
      <c r="A3581"/>
      <c r="B3581"/>
      <c r="C3581"/>
      <c r="D3581"/>
      <c r="E3581"/>
      <c r="F3581"/>
      <c r="G3581"/>
      <c r="U3581"/>
      <c r="V3581"/>
      <c r="W3581"/>
      <c r="X3581"/>
      <c r="Y3581"/>
      <c r="Z3581"/>
      <c r="AA3581"/>
      <c r="AB3581"/>
      <c r="AL3581"/>
      <c r="AM3581"/>
      <c r="AN3581"/>
      <c r="AO3581"/>
    </row>
    <row r="3582" spans="1:41" s="2" customFormat="1" x14ac:dyDescent="0.2">
      <c r="A3582"/>
      <c r="B3582"/>
      <c r="C3582"/>
      <c r="D3582"/>
      <c r="E3582"/>
      <c r="F3582"/>
      <c r="G3582"/>
      <c r="U3582"/>
      <c r="V3582"/>
      <c r="W3582"/>
      <c r="X3582"/>
      <c r="Y3582"/>
      <c r="Z3582"/>
      <c r="AA3582"/>
      <c r="AB3582"/>
      <c r="AL3582"/>
      <c r="AM3582"/>
      <c r="AN3582"/>
      <c r="AO3582"/>
    </row>
    <row r="3583" spans="1:41" s="2" customFormat="1" x14ac:dyDescent="0.2">
      <c r="A3583"/>
      <c r="B3583"/>
      <c r="C3583"/>
      <c r="D3583"/>
      <c r="E3583"/>
      <c r="F3583"/>
      <c r="G3583"/>
      <c r="U3583"/>
      <c r="V3583"/>
      <c r="W3583"/>
      <c r="X3583"/>
      <c r="Y3583"/>
      <c r="Z3583"/>
      <c r="AA3583"/>
      <c r="AB3583"/>
      <c r="AL3583"/>
      <c r="AM3583"/>
      <c r="AN3583"/>
      <c r="AO3583"/>
    </row>
    <row r="3584" spans="1:41" s="2" customFormat="1" x14ac:dyDescent="0.2">
      <c r="A3584"/>
      <c r="B3584"/>
      <c r="C3584"/>
      <c r="D3584"/>
      <c r="E3584"/>
      <c r="F3584"/>
      <c r="G3584"/>
      <c r="U3584"/>
      <c r="V3584"/>
      <c r="W3584"/>
      <c r="X3584"/>
      <c r="Y3584"/>
      <c r="Z3584"/>
      <c r="AA3584"/>
      <c r="AB3584"/>
      <c r="AL3584"/>
      <c r="AM3584"/>
      <c r="AN3584"/>
      <c r="AO3584"/>
    </row>
    <row r="3585" spans="1:41" s="2" customFormat="1" x14ac:dyDescent="0.2">
      <c r="A3585"/>
      <c r="B3585"/>
      <c r="C3585"/>
      <c r="D3585"/>
      <c r="E3585"/>
      <c r="F3585"/>
      <c r="G3585"/>
      <c r="U3585"/>
      <c r="V3585"/>
      <c r="W3585"/>
      <c r="X3585"/>
      <c r="Y3585"/>
      <c r="Z3585"/>
      <c r="AA3585"/>
      <c r="AB3585"/>
      <c r="AL3585"/>
      <c r="AM3585"/>
      <c r="AN3585"/>
      <c r="AO3585"/>
    </row>
    <row r="3586" spans="1:41" s="2" customFormat="1" x14ac:dyDescent="0.2">
      <c r="A3586"/>
      <c r="B3586"/>
      <c r="C3586"/>
      <c r="D3586"/>
      <c r="E3586"/>
      <c r="F3586"/>
      <c r="G3586"/>
      <c r="U3586"/>
      <c r="V3586"/>
      <c r="W3586"/>
      <c r="X3586"/>
      <c r="Y3586"/>
      <c r="Z3586"/>
      <c r="AA3586"/>
      <c r="AB3586"/>
      <c r="AL3586"/>
      <c r="AM3586"/>
      <c r="AN3586"/>
      <c r="AO3586"/>
    </row>
    <row r="3587" spans="1:41" s="2" customFormat="1" x14ac:dyDescent="0.2">
      <c r="A3587"/>
      <c r="B3587"/>
      <c r="C3587"/>
      <c r="D3587"/>
      <c r="E3587"/>
      <c r="F3587"/>
      <c r="G3587"/>
      <c r="U3587"/>
      <c r="V3587"/>
      <c r="W3587"/>
      <c r="X3587"/>
      <c r="Y3587"/>
      <c r="Z3587"/>
      <c r="AA3587"/>
      <c r="AB3587"/>
      <c r="AL3587"/>
      <c r="AM3587"/>
      <c r="AN3587"/>
      <c r="AO3587"/>
    </row>
    <row r="3588" spans="1:41" s="2" customFormat="1" x14ac:dyDescent="0.2">
      <c r="A3588"/>
      <c r="B3588"/>
      <c r="C3588"/>
      <c r="D3588"/>
      <c r="E3588"/>
      <c r="F3588"/>
      <c r="G3588"/>
      <c r="U3588"/>
      <c r="V3588"/>
      <c r="W3588"/>
      <c r="X3588"/>
      <c r="Y3588"/>
      <c r="Z3588"/>
      <c r="AA3588"/>
      <c r="AB3588"/>
      <c r="AL3588"/>
      <c r="AM3588"/>
      <c r="AN3588"/>
      <c r="AO3588"/>
    </row>
    <row r="3589" spans="1:41" s="2" customFormat="1" x14ac:dyDescent="0.2">
      <c r="A3589"/>
      <c r="B3589"/>
      <c r="C3589"/>
      <c r="D3589"/>
      <c r="E3589"/>
      <c r="F3589"/>
      <c r="G3589"/>
      <c r="U3589"/>
      <c r="V3589"/>
      <c r="W3589"/>
      <c r="X3589"/>
      <c r="Y3589"/>
      <c r="Z3589"/>
      <c r="AA3589"/>
      <c r="AB3589"/>
      <c r="AL3589"/>
      <c r="AM3589"/>
      <c r="AN3589"/>
      <c r="AO3589"/>
    </row>
    <row r="3590" spans="1:41" s="2" customFormat="1" x14ac:dyDescent="0.2">
      <c r="A3590"/>
      <c r="B3590"/>
      <c r="C3590"/>
      <c r="D3590"/>
      <c r="E3590"/>
      <c r="F3590"/>
      <c r="G3590"/>
      <c r="U3590"/>
      <c r="V3590"/>
      <c r="W3590"/>
      <c r="X3590"/>
      <c r="Y3590"/>
      <c r="Z3590"/>
      <c r="AA3590"/>
      <c r="AB3590"/>
      <c r="AL3590"/>
      <c r="AM3590"/>
      <c r="AN3590"/>
      <c r="AO3590"/>
    </row>
    <row r="3591" spans="1:41" s="2" customFormat="1" x14ac:dyDescent="0.2">
      <c r="A3591"/>
      <c r="B3591"/>
      <c r="C3591"/>
      <c r="D3591"/>
      <c r="E3591"/>
      <c r="F3591"/>
      <c r="G3591"/>
      <c r="U3591"/>
      <c r="V3591"/>
      <c r="W3591"/>
      <c r="X3591"/>
      <c r="Y3591"/>
      <c r="Z3591"/>
      <c r="AA3591"/>
      <c r="AB3591"/>
      <c r="AL3591"/>
      <c r="AM3591"/>
      <c r="AN3591"/>
      <c r="AO3591"/>
    </row>
    <row r="3592" spans="1:41" s="2" customFormat="1" x14ac:dyDescent="0.2">
      <c r="A3592"/>
      <c r="B3592"/>
      <c r="C3592"/>
      <c r="D3592"/>
      <c r="E3592"/>
      <c r="F3592"/>
      <c r="G3592"/>
      <c r="U3592"/>
      <c r="V3592"/>
      <c r="W3592"/>
      <c r="X3592"/>
      <c r="Y3592"/>
      <c r="Z3592"/>
      <c r="AA3592"/>
      <c r="AB3592"/>
      <c r="AL3592"/>
      <c r="AM3592"/>
      <c r="AN3592"/>
      <c r="AO3592"/>
    </row>
    <row r="3593" spans="1:41" s="2" customFormat="1" x14ac:dyDescent="0.2">
      <c r="A3593"/>
      <c r="B3593"/>
      <c r="C3593"/>
      <c r="D3593"/>
      <c r="E3593"/>
      <c r="F3593"/>
      <c r="G3593"/>
      <c r="U3593"/>
      <c r="V3593"/>
      <c r="W3593"/>
      <c r="X3593"/>
      <c r="Y3593"/>
      <c r="Z3593"/>
      <c r="AA3593"/>
      <c r="AB3593"/>
      <c r="AL3593"/>
      <c r="AM3593"/>
      <c r="AN3593"/>
      <c r="AO3593"/>
    </row>
    <row r="3594" spans="1:41" s="2" customFormat="1" x14ac:dyDescent="0.2">
      <c r="A3594"/>
      <c r="B3594"/>
      <c r="C3594"/>
      <c r="D3594"/>
      <c r="E3594"/>
      <c r="F3594"/>
      <c r="G3594"/>
      <c r="U3594"/>
      <c r="V3594"/>
      <c r="W3594"/>
      <c r="X3594"/>
      <c r="Y3594"/>
      <c r="Z3594"/>
      <c r="AA3594"/>
      <c r="AB3594"/>
      <c r="AL3594"/>
      <c r="AM3594"/>
      <c r="AN3594"/>
      <c r="AO3594"/>
    </row>
    <row r="3595" spans="1:41" s="2" customFormat="1" x14ac:dyDescent="0.2">
      <c r="A3595"/>
      <c r="B3595"/>
      <c r="C3595"/>
      <c r="D3595"/>
      <c r="E3595"/>
      <c r="F3595"/>
      <c r="G3595"/>
      <c r="U3595"/>
      <c r="V3595"/>
      <c r="W3595"/>
      <c r="X3595"/>
      <c r="Y3595"/>
      <c r="Z3595"/>
      <c r="AA3595"/>
      <c r="AB3595"/>
      <c r="AL3595"/>
      <c r="AM3595"/>
      <c r="AN3595"/>
      <c r="AO3595"/>
    </row>
    <row r="3596" spans="1:41" s="2" customFormat="1" x14ac:dyDescent="0.2">
      <c r="A3596"/>
      <c r="B3596"/>
      <c r="C3596"/>
      <c r="D3596"/>
      <c r="E3596"/>
      <c r="F3596"/>
      <c r="G3596"/>
      <c r="U3596"/>
      <c r="V3596"/>
      <c r="W3596"/>
      <c r="X3596"/>
      <c r="Y3596"/>
      <c r="Z3596"/>
      <c r="AA3596"/>
      <c r="AB3596"/>
      <c r="AL3596"/>
      <c r="AM3596"/>
      <c r="AN3596"/>
      <c r="AO3596"/>
    </row>
    <row r="3597" spans="1:41" s="2" customFormat="1" x14ac:dyDescent="0.2">
      <c r="A3597"/>
      <c r="B3597"/>
      <c r="C3597"/>
      <c r="D3597"/>
      <c r="E3597"/>
      <c r="F3597"/>
      <c r="G3597"/>
      <c r="U3597"/>
      <c r="V3597"/>
      <c r="W3597"/>
      <c r="X3597"/>
      <c r="Y3597"/>
      <c r="Z3597"/>
      <c r="AA3597"/>
      <c r="AB3597"/>
      <c r="AL3597"/>
      <c r="AM3597"/>
      <c r="AN3597"/>
      <c r="AO3597"/>
    </row>
    <row r="3598" spans="1:41" s="2" customFormat="1" x14ac:dyDescent="0.2">
      <c r="A3598"/>
      <c r="B3598"/>
      <c r="C3598"/>
      <c r="D3598"/>
      <c r="E3598"/>
      <c r="F3598"/>
      <c r="G3598"/>
      <c r="U3598"/>
      <c r="V3598"/>
      <c r="W3598"/>
      <c r="X3598"/>
      <c r="Y3598"/>
      <c r="Z3598"/>
      <c r="AA3598"/>
      <c r="AB3598"/>
      <c r="AL3598"/>
      <c r="AM3598"/>
      <c r="AN3598"/>
      <c r="AO3598"/>
    </row>
    <row r="3599" spans="1:41" s="2" customFormat="1" x14ac:dyDescent="0.2">
      <c r="A3599"/>
      <c r="B3599"/>
      <c r="C3599"/>
      <c r="D3599"/>
      <c r="E3599"/>
      <c r="F3599"/>
      <c r="G3599"/>
      <c r="U3599"/>
      <c r="V3599"/>
      <c r="W3599"/>
      <c r="X3599"/>
      <c r="Y3599"/>
      <c r="Z3599"/>
      <c r="AA3599"/>
      <c r="AB3599"/>
      <c r="AL3599"/>
      <c r="AM3599"/>
      <c r="AN3599"/>
      <c r="AO3599"/>
    </row>
    <row r="3600" spans="1:41" s="2" customFormat="1" x14ac:dyDescent="0.2">
      <c r="A3600"/>
      <c r="B3600"/>
      <c r="C3600"/>
      <c r="D3600"/>
      <c r="E3600"/>
      <c r="F3600"/>
      <c r="G3600"/>
      <c r="U3600"/>
      <c r="V3600"/>
      <c r="W3600"/>
      <c r="X3600"/>
      <c r="Y3600"/>
      <c r="Z3600"/>
      <c r="AA3600"/>
      <c r="AB3600"/>
      <c r="AL3600"/>
      <c r="AM3600"/>
      <c r="AN3600"/>
      <c r="AO3600"/>
    </row>
    <row r="3601" spans="1:41" s="2" customFormat="1" x14ac:dyDescent="0.2">
      <c r="A3601"/>
      <c r="B3601"/>
      <c r="C3601"/>
      <c r="D3601"/>
      <c r="E3601"/>
      <c r="F3601"/>
      <c r="G3601"/>
      <c r="U3601"/>
      <c r="V3601"/>
      <c r="W3601"/>
      <c r="X3601"/>
      <c r="Y3601"/>
      <c r="Z3601"/>
      <c r="AA3601"/>
      <c r="AB3601"/>
      <c r="AL3601"/>
      <c r="AM3601"/>
      <c r="AN3601"/>
      <c r="AO3601"/>
    </row>
    <row r="3602" spans="1:41" s="2" customFormat="1" x14ac:dyDescent="0.2">
      <c r="A3602"/>
      <c r="B3602"/>
      <c r="C3602"/>
      <c r="D3602"/>
      <c r="E3602"/>
      <c r="F3602"/>
      <c r="G3602"/>
      <c r="U3602"/>
      <c r="V3602"/>
      <c r="W3602"/>
      <c r="X3602"/>
      <c r="Y3602"/>
      <c r="Z3602"/>
      <c r="AA3602"/>
      <c r="AB3602"/>
      <c r="AL3602"/>
      <c r="AM3602"/>
      <c r="AN3602"/>
      <c r="AO3602"/>
    </row>
    <row r="3603" spans="1:41" s="2" customFormat="1" x14ac:dyDescent="0.2">
      <c r="A3603"/>
      <c r="B3603"/>
      <c r="C3603"/>
      <c r="D3603"/>
      <c r="E3603"/>
      <c r="F3603"/>
      <c r="G3603"/>
      <c r="U3603"/>
      <c r="V3603"/>
      <c r="W3603"/>
      <c r="X3603"/>
      <c r="Y3603"/>
      <c r="Z3603"/>
      <c r="AA3603"/>
      <c r="AB3603"/>
      <c r="AL3603"/>
      <c r="AM3603"/>
      <c r="AN3603"/>
      <c r="AO3603"/>
    </row>
    <row r="3604" spans="1:41" s="2" customFormat="1" x14ac:dyDescent="0.2">
      <c r="A3604"/>
      <c r="B3604"/>
      <c r="C3604"/>
      <c r="D3604"/>
      <c r="E3604"/>
      <c r="F3604"/>
      <c r="G3604"/>
      <c r="U3604"/>
      <c r="V3604"/>
      <c r="W3604"/>
      <c r="X3604"/>
      <c r="Y3604"/>
      <c r="Z3604"/>
      <c r="AA3604"/>
      <c r="AB3604"/>
      <c r="AL3604"/>
      <c r="AM3604"/>
      <c r="AN3604"/>
      <c r="AO3604"/>
    </row>
    <row r="3605" spans="1:41" s="2" customFormat="1" x14ac:dyDescent="0.2">
      <c r="A3605"/>
      <c r="B3605"/>
      <c r="C3605"/>
      <c r="D3605"/>
      <c r="E3605"/>
      <c r="F3605"/>
      <c r="G3605"/>
      <c r="U3605"/>
      <c r="V3605"/>
      <c r="W3605"/>
      <c r="X3605"/>
      <c r="Y3605"/>
      <c r="Z3605"/>
      <c r="AA3605"/>
      <c r="AB3605"/>
      <c r="AL3605"/>
      <c r="AM3605"/>
      <c r="AN3605"/>
      <c r="AO3605"/>
    </row>
    <row r="3606" spans="1:41" s="2" customFormat="1" x14ac:dyDescent="0.2">
      <c r="A3606"/>
      <c r="B3606"/>
      <c r="C3606"/>
      <c r="D3606"/>
      <c r="E3606"/>
      <c r="F3606"/>
      <c r="G3606"/>
      <c r="U3606"/>
      <c r="V3606"/>
      <c r="W3606"/>
      <c r="X3606"/>
      <c r="Y3606"/>
      <c r="Z3606"/>
      <c r="AA3606"/>
      <c r="AB3606"/>
      <c r="AL3606"/>
      <c r="AM3606"/>
      <c r="AN3606"/>
      <c r="AO3606"/>
    </row>
    <row r="3607" spans="1:41" s="2" customFormat="1" x14ac:dyDescent="0.2">
      <c r="A3607"/>
      <c r="B3607"/>
      <c r="C3607"/>
      <c r="D3607"/>
      <c r="E3607"/>
      <c r="F3607"/>
      <c r="G3607"/>
      <c r="U3607"/>
      <c r="V3607"/>
      <c r="W3607"/>
      <c r="X3607"/>
      <c r="Y3607"/>
      <c r="Z3607"/>
      <c r="AA3607"/>
      <c r="AB3607"/>
      <c r="AL3607"/>
      <c r="AM3607"/>
      <c r="AN3607"/>
      <c r="AO3607"/>
    </row>
    <row r="3608" spans="1:41" s="2" customFormat="1" x14ac:dyDescent="0.2">
      <c r="A3608"/>
      <c r="B3608"/>
      <c r="C3608"/>
      <c r="D3608"/>
      <c r="E3608"/>
      <c r="F3608"/>
      <c r="G3608"/>
      <c r="U3608"/>
      <c r="V3608"/>
      <c r="W3608"/>
      <c r="X3608"/>
      <c r="Y3608"/>
      <c r="Z3608"/>
      <c r="AA3608"/>
      <c r="AB3608"/>
      <c r="AL3608"/>
      <c r="AM3608"/>
      <c r="AN3608"/>
      <c r="AO3608"/>
    </row>
    <row r="3609" spans="1:41" s="2" customFormat="1" x14ac:dyDescent="0.2">
      <c r="A3609"/>
      <c r="B3609"/>
      <c r="C3609"/>
      <c r="D3609"/>
      <c r="E3609"/>
      <c r="F3609"/>
      <c r="G3609"/>
      <c r="U3609"/>
      <c r="V3609"/>
      <c r="W3609"/>
      <c r="X3609"/>
      <c r="Y3609"/>
      <c r="Z3609"/>
      <c r="AA3609"/>
      <c r="AB3609"/>
      <c r="AL3609"/>
      <c r="AM3609"/>
      <c r="AN3609"/>
      <c r="AO3609"/>
    </row>
    <row r="3610" spans="1:41" s="2" customFormat="1" x14ac:dyDescent="0.2">
      <c r="A3610"/>
      <c r="B3610"/>
      <c r="C3610"/>
      <c r="D3610"/>
      <c r="E3610"/>
      <c r="F3610"/>
      <c r="G3610"/>
      <c r="U3610"/>
      <c r="V3610"/>
      <c r="W3610"/>
      <c r="X3610"/>
      <c r="Y3610"/>
      <c r="Z3610"/>
      <c r="AA3610"/>
      <c r="AB3610"/>
      <c r="AL3610"/>
      <c r="AM3610"/>
      <c r="AN3610"/>
      <c r="AO3610"/>
    </row>
    <row r="3611" spans="1:41" s="2" customFormat="1" x14ac:dyDescent="0.2">
      <c r="A3611"/>
      <c r="B3611"/>
      <c r="C3611"/>
      <c r="D3611"/>
      <c r="E3611"/>
      <c r="F3611"/>
      <c r="G3611"/>
      <c r="U3611"/>
      <c r="V3611"/>
      <c r="W3611"/>
      <c r="X3611"/>
      <c r="Y3611"/>
      <c r="Z3611"/>
      <c r="AA3611"/>
      <c r="AB3611"/>
      <c r="AL3611"/>
      <c r="AM3611"/>
      <c r="AN3611"/>
      <c r="AO3611"/>
    </row>
    <row r="3612" spans="1:41" s="2" customFormat="1" x14ac:dyDescent="0.2">
      <c r="A3612"/>
      <c r="B3612"/>
      <c r="C3612"/>
      <c r="D3612"/>
      <c r="E3612"/>
      <c r="F3612"/>
      <c r="G3612"/>
      <c r="U3612"/>
      <c r="V3612"/>
      <c r="W3612"/>
      <c r="X3612"/>
      <c r="Y3612"/>
      <c r="Z3612"/>
      <c r="AA3612"/>
      <c r="AB3612"/>
      <c r="AL3612"/>
      <c r="AM3612"/>
      <c r="AN3612"/>
      <c r="AO3612"/>
    </row>
    <row r="3613" spans="1:41" s="2" customFormat="1" x14ac:dyDescent="0.2">
      <c r="A3613"/>
      <c r="B3613"/>
      <c r="C3613"/>
      <c r="D3613"/>
      <c r="E3613"/>
      <c r="F3613"/>
      <c r="G3613"/>
      <c r="U3613"/>
      <c r="V3613"/>
      <c r="W3613"/>
      <c r="X3613"/>
      <c r="Y3613"/>
      <c r="Z3613"/>
      <c r="AA3613"/>
      <c r="AB3613"/>
      <c r="AL3613"/>
      <c r="AM3613"/>
      <c r="AN3613"/>
      <c r="AO3613"/>
    </row>
    <row r="3614" spans="1:41" s="2" customFormat="1" x14ac:dyDescent="0.2">
      <c r="A3614"/>
      <c r="B3614"/>
      <c r="C3614"/>
      <c r="D3614"/>
      <c r="E3614"/>
      <c r="F3614"/>
      <c r="G3614"/>
      <c r="U3614"/>
      <c r="V3614"/>
      <c r="W3614"/>
      <c r="X3614"/>
      <c r="Y3614"/>
      <c r="Z3614"/>
      <c r="AA3614"/>
      <c r="AB3614"/>
      <c r="AL3614"/>
      <c r="AM3614"/>
      <c r="AN3614"/>
      <c r="AO3614"/>
    </row>
    <row r="3615" spans="1:41" s="2" customFormat="1" x14ac:dyDescent="0.2">
      <c r="A3615"/>
      <c r="B3615"/>
      <c r="C3615"/>
      <c r="D3615"/>
      <c r="E3615"/>
      <c r="F3615"/>
      <c r="G3615"/>
      <c r="U3615"/>
      <c r="V3615"/>
      <c r="W3615"/>
      <c r="X3615"/>
      <c r="Y3615"/>
      <c r="Z3615"/>
      <c r="AA3615"/>
      <c r="AB3615"/>
      <c r="AL3615"/>
      <c r="AM3615"/>
      <c r="AN3615"/>
      <c r="AO3615"/>
    </row>
    <row r="3616" spans="1:41" s="2" customFormat="1" x14ac:dyDescent="0.2">
      <c r="A3616"/>
      <c r="B3616"/>
      <c r="C3616"/>
      <c r="D3616"/>
      <c r="E3616"/>
      <c r="F3616"/>
      <c r="G3616"/>
      <c r="U3616"/>
      <c r="V3616"/>
      <c r="W3616"/>
      <c r="X3616"/>
      <c r="Y3616"/>
      <c r="Z3616"/>
      <c r="AA3616"/>
      <c r="AB3616"/>
      <c r="AL3616"/>
      <c r="AM3616"/>
      <c r="AN3616"/>
      <c r="AO3616"/>
    </row>
    <row r="3617" spans="1:41" s="2" customFormat="1" x14ac:dyDescent="0.2">
      <c r="A3617"/>
      <c r="B3617"/>
      <c r="C3617"/>
      <c r="D3617"/>
      <c r="E3617"/>
      <c r="F3617"/>
      <c r="G3617"/>
      <c r="U3617"/>
      <c r="V3617"/>
      <c r="W3617"/>
      <c r="X3617"/>
      <c r="Y3617"/>
      <c r="Z3617"/>
      <c r="AA3617"/>
      <c r="AB3617"/>
      <c r="AL3617"/>
      <c r="AM3617"/>
      <c r="AN3617"/>
      <c r="AO3617"/>
    </row>
    <row r="3618" spans="1:41" s="2" customFormat="1" x14ac:dyDescent="0.2">
      <c r="A3618"/>
      <c r="B3618"/>
      <c r="C3618"/>
      <c r="D3618"/>
      <c r="E3618"/>
      <c r="F3618"/>
      <c r="G3618"/>
      <c r="U3618"/>
      <c r="V3618"/>
      <c r="W3618"/>
      <c r="X3618"/>
      <c r="Y3618"/>
      <c r="Z3618"/>
      <c r="AA3618"/>
      <c r="AB3618"/>
      <c r="AL3618"/>
      <c r="AM3618"/>
      <c r="AN3618"/>
      <c r="AO3618"/>
    </row>
    <row r="3619" spans="1:41" s="2" customFormat="1" x14ac:dyDescent="0.2">
      <c r="A3619"/>
      <c r="B3619"/>
      <c r="C3619"/>
      <c r="D3619"/>
      <c r="E3619"/>
      <c r="F3619"/>
      <c r="G3619"/>
      <c r="U3619"/>
      <c r="V3619"/>
      <c r="W3619"/>
      <c r="X3619"/>
      <c r="Y3619"/>
      <c r="Z3619"/>
      <c r="AA3619"/>
      <c r="AB3619"/>
      <c r="AL3619"/>
      <c r="AM3619"/>
      <c r="AN3619"/>
      <c r="AO3619"/>
    </row>
    <row r="3620" spans="1:41" s="2" customFormat="1" x14ac:dyDescent="0.2">
      <c r="A3620"/>
      <c r="B3620"/>
      <c r="C3620"/>
      <c r="D3620"/>
      <c r="E3620"/>
      <c r="F3620"/>
      <c r="G3620"/>
      <c r="U3620"/>
      <c r="V3620"/>
      <c r="W3620"/>
      <c r="X3620"/>
      <c r="Y3620"/>
      <c r="Z3620"/>
      <c r="AA3620"/>
      <c r="AB3620"/>
      <c r="AL3620"/>
      <c r="AM3620"/>
      <c r="AN3620"/>
      <c r="AO3620"/>
    </row>
    <row r="3621" spans="1:41" s="2" customFormat="1" x14ac:dyDescent="0.2">
      <c r="A3621"/>
      <c r="B3621"/>
      <c r="C3621"/>
      <c r="D3621"/>
      <c r="E3621"/>
      <c r="F3621"/>
      <c r="G3621"/>
      <c r="U3621"/>
      <c r="V3621"/>
      <c r="W3621"/>
      <c r="X3621"/>
      <c r="Y3621"/>
      <c r="Z3621"/>
      <c r="AA3621"/>
      <c r="AB3621"/>
      <c r="AL3621"/>
      <c r="AM3621"/>
      <c r="AN3621"/>
      <c r="AO3621"/>
    </row>
    <row r="3622" spans="1:41" s="2" customFormat="1" x14ac:dyDescent="0.2">
      <c r="A3622"/>
      <c r="B3622"/>
      <c r="C3622"/>
      <c r="D3622"/>
      <c r="E3622"/>
      <c r="F3622"/>
      <c r="G3622"/>
      <c r="U3622"/>
      <c r="V3622"/>
      <c r="W3622"/>
      <c r="X3622"/>
      <c r="Y3622"/>
      <c r="Z3622"/>
      <c r="AA3622"/>
      <c r="AB3622"/>
      <c r="AL3622"/>
      <c r="AM3622"/>
      <c r="AN3622"/>
      <c r="AO3622"/>
    </row>
    <row r="3623" spans="1:41" s="2" customFormat="1" x14ac:dyDescent="0.2">
      <c r="A3623"/>
      <c r="B3623"/>
      <c r="C3623"/>
      <c r="D3623"/>
      <c r="E3623"/>
      <c r="F3623"/>
      <c r="G3623"/>
      <c r="U3623"/>
      <c r="V3623"/>
      <c r="W3623"/>
      <c r="X3623"/>
      <c r="Y3623"/>
      <c r="Z3623"/>
      <c r="AA3623"/>
      <c r="AB3623"/>
      <c r="AL3623"/>
      <c r="AM3623"/>
      <c r="AN3623"/>
      <c r="AO3623"/>
    </row>
    <row r="3624" spans="1:41" s="2" customFormat="1" x14ac:dyDescent="0.2">
      <c r="A3624"/>
      <c r="B3624"/>
      <c r="C3624"/>
      <c r="D3624"/>
      <c r="E3624"/>
      <c r="F3624"/>
      <c r="G3624"/>
      <c r="U3624"/>
      <c r="V3624"/>
      <c r="W3624"/>
      <c r="X3624"/>
      <c r="Y3624"/>
      <c r="Z3624"/>
      <c r="AA3624"/>
      <c r="AB3624"/>
      <c r="AL3624"/>
      <c r="AM3624"/>
      <c r="AN3624"/>
      <c r="AO3624"/>
    </row>
    <row r="3625" spans="1:41" s="2" customFormat="1" x14ac:dyDescent="0.2">
      <c r="A3625"/>
      <c r="B3625"/>
      <c r="C3625"/>
      <c r="D3625"/>
      <c r="E3625"/>
      <c r="F3625"/>
      <c r="G3625"/>
      <c r="U3625"/>
      <c r="V3625"/>
      <c r="W3625"/>
      <c r="X3625"/>
      <c r="Y3625"/>
      <c r="Z3625"/>
      <c r="AA3625"/>
      <c r="AB3625"/>
      <c r="AL3625"/>
      <c r="AM3625"/>
      <c r="AN3625"/>
      <c r="AO3625"/>
    </row>
    <row r="3626" spans="1:41" s="2" customFormat="1" x14ac:dyDescent="0.2">
      <c r="A3626"/>
      <c r="B3626"/>
      <c r="C3626"/>
      <c r="D3626"/>
      <c r="E3626"/>
      <c r="F3626"/>
      <c r="G3626"/>
      <c r="U3626"/>
      <c r="V3626"/>
      <c r="W3626"/>
      <c r="X3626"/>
      <c r="Y3626"/>
      <c r="Z3626"/>
      <c r="AA3626"/>
      <c r="AB3626"/>
      <c r="AL3626"/>
      <c r="AM3626"/>
      <c r="AN3626"/>
      <c r="AO3626"/>
    </row>
    <row r="3627" spans="1:41" s="2" customFormat="1" x14ac:dyDescent="0.2">
      <c r="A3627"/>
      <c r="B3627"/>
      <c r="C3627"/>
      <c r="D3627"/>
      <c r="E3627"/>
      <c r="F3627"/>
      <c r="G3627"/>
      <c r="U3627"/>
      <c r="V3627"/>
      <c r="W3627"/>
      <c r="X3627"/>
      <c r="Y3627"/>
      <c r="Z3627"/>
      <c r="AA3627"/>
      <c r="AB3627"/>
      <c r="AL3627"/>
      <c r="AM3627"/>
      <c r="AN3627"/>
      <c r="AO3627"/>
    </row>
    <row r="3628" spans="1:41" s="2" customFormat="1" x14ac:dyDescent="0.2">
      <c r="A3628"/>
      <c r="B3628"/>
      <c r="C3628"/>
      <c r="D3628"/>
      <c r="E3628"/>
      <c r="F3628"/>
      <c r="G3628"/>
      <c r="U3628"/>
      <c r="V3628"/>
      <c r="W3628"/>
      <c r="X3628"/>
      <c r="Y3628"/>
      <c r="Z3628"/>
      <c r="AA3628"/>
      <c r="AB3628"/>
      <c r="AL3628"/>
      <c r="AM3628"/>
      <c r="AN3628"/>
      <c r="AO3628"/>
    </row>
    <row r="3629" spans="1:41" s="2" customFormat="1" x14ac:dyDescent="0.2">
      <c r="A3629"/>
      <c r="B3629"/>
      <c r="C3629"/>
      <c r="D3629"/>
      <c r="E3629"/>
      <c r="F3629"/>
      <c r="G3629"/>
      <c r="U3629"/>
      <c r="V3629"/>
      <c r="W3629"/>
      <c r="X3629"/>
      <c r="Y3629"/>
      <c r="Z3629"/>
      <c r="AA3629"/>
      <c r="AB3629"/>
      <c r="AL3629"/>
      <c r="AM3629"/>
      <c r="AN3629"/>
      <c r="AO3629"/>
    </row>
    <row r="3630" spans="1:41" s="2" customFormat="1" x14ac:dyDescent="0.2">
      <c r="A3630"/>
      <c r="B3630"/>
      <c r="C3630"/>
      <c r="D3630"/>
      <c r="E3630"/>
      <c r="F3630"/>
      <c r="G3630"/>
      <c r="U3630"/>
      <c r="V3630"/>
      <c r="W3630"/>
      <c r="X3630"/>
      <c r="Y3630"/>
      <c r="Z3630"/>
      <c r="AA3630"/>
      <c r="AB3630"/>
      <c r="AL3630"/>
      <c r="AM3630"/>
      <c r="AN3630"/>
      <c r="AO3630"/>
    </row>
    <row r="3631" spans="1:41" s="2" customFormat="1" x14ac:dyDescent="0.2">
      <c r="A3631"/>
      <c r="B3631"/>
      <c r="C3631"/>
      <c r="D3631"/>
      <c r="E3631"/>
      <c r="F3631"/>
      <c r="G3631"/>
      <c r="U3631"/>
      <c r="V3631"/>
      <c r="W3631"/>
      <c r="X3631"/>
      <c r="Y3631"/>
      <c r="Z3631"/>
      <c r="AA3631"/>
      <c r="AB3631"/>
      <c r="AL3631"/>
      <c r="AM3631"/>
      <c r="AN3631"/>
      <c r="AO3631"/>
    </row>
    <row r="3632" spans="1:41" s="2" customFormat="1" x14ac:dyDescent="0.2">
      <c r="A3632"/>
      <c r="B3632"/>
      <c r="C3632"/>
      <c r="D3632"/>
      <c r="E3632"/>
      <c r="F3632"/>
      <c r="G3632"/>
      <c r="U3632"/>
      <c r="V3632"/>
      <c r="W3632"/>
      <c r="X3632"/>
      <c r="Y3632"/>
      <c r="Z3632"/>
      <c r="AA3632"/>
      <c r="AB3632"/>
      <c r="AL3632"/>
      <c r="AM3632"/>
      <c r="AN3632"/>
      <c r="AO3632"/>
    </row>
    <row r="3633" spans="1:41" s="2" customFormat="1" x14ac:dyDescent="0.2">
      <c r="A3633"/>
      <c r="B3633"/>
      <c r="C3633"/>
      <c r="D3633"/>
      <c r="E3633"/>
      <c r="F3633"/>
      <c r="G3633"/>
      <c r="U3633"/>
      <c r="V3633"/>
      <c r="W3633"/>
      <c r="X3633"/>
      <c r="Y3633"/>
      <c r="Z3633"/>
      <c r="AA3633"/>
      <c r="AB3633"/>
      <c r="AL3633"/>
      <c r="AM3633"/>
      <c r="AN3633"/>
      <c r="AO3633"/>
    </row>
    <row r="3634" spans="1:41" s="2" customFormat="1" x14ac:dyDescent="0.2">
      <c r="A3634"/>
      <c r="B3634"/>
      <c r="C3634"/>
      <c r="D3634"/>
      <c r="E3634"/>
      <c r="F3634"/>
      <c r="G3634"/>
      <c r="U3634"/>
      <c r="V3634"/>
      <c r="W3634"/>
      <c r="X3634"/>
      <c r="Y3634"/>
      <c r="Z3634"/>
      <c r="AA3634"/>
      <c r="AB3634"/>
      <c r="AL3634"/>
      <c r="AM3634"/>
      <c r="AN3634"/>
      <c r="AO3634"/>
    </row>
    <row r="3635" spans="1:41" s="2" customFormat="1" x14ac:dyDescent="0.2">
      <c r="A3635"/>
      <c r="B3635"/>
      <c r="C3635"/>
      <c r="D3635"/>
      <c r="E3635"/>
      <c r="F3635"/>
      <c r="G3635"/>
      <c r="U3635"/>
      <c r="V3635"/>
      <c r="W3635"/>
      <c r="X3635"/>
      <c r="Y3635"/>
      <c r="Z3635"/>
      <c r="AA3635"/>
      <c r="AB3635"/>
      <c r="AL3635"/>
      <c r="AM3635"/>
      <c r="AN3635"/>
      <c r="AO3635"/>
    </row>
    <row r="3636" spans="1:41" s="2" customFormat="1" x14ac:dyDescent="0.2">
      <c r="A3636"/>
      <c r="B3636"/>
      <c r="C3636"/>
      <c r="D3636"/>
      <c r="E3636"/>
      <c r="F3636"/>
      <c r="G3636"/>
      <c r="U3636"/>
      <c r="V3636"/>
      <c r="W3636"/>
      <c r="X3636"/>
      <c r="Y3636"/>
      <c r="Z3636"/>
      <c r="AA3636"/>
      <c r="AB3636"/>
      <c r="AL3636"/>
      <c r="AM3636"/>
      <c r="AN3636"/>
      <c r="AO3636"/>
    </row>
    <row r="3637" spans="1:41" s="2" customFormat="1" x14ac:dyDescent="0.2">
      <c r="A3637"/>
      <c r="B3637"/>
      <c r="C3637"/>
      <c r="D3637"/>
      <c r="E3637"/>
      <c r="F3637"/>
      <c r="G3637"/>
      <c r="U3637"/>
      <c r="V3637"/>
      <c r="W3637"/>
      <c r="X3637"/>
      <c r="Y3637"/>
      <c r="Z3637"/>
      <c r="AA3637"/>
      <c r="AB3637"/>
      <c r="AL3637"/>
      <c r="AM3637"/>
      <c r="AN3637"/>
      <c r="AO3637"/>
    </row>
    <row r="3638" spans="1:41" s="2" customFormat="1" x14ac:dyDescent="0.2">
      <c r="A3638"/>
      <c r="B3638"/>
      <c r="C3638"/>
      <c r="D3638"/>
      <c r="E3638"/>
      <c r="F3638"/>
      <c r="G3638"/>
      <c r="U3638"/>
      <c r="V3638"/>
      <c r="W3638"/>
      <c r="X3638"/>
      <c r="Y3638"/>
      <c r="Z3638"/>
      <c r="AA3638"/>
      <c r="AB3638"/>
      <c r="AL3638"/>
      <c r="AM3638"/>
      <c r="AN3638"/>
      <c r="AO3638"/>
    </row>
    <row r="3639" spans="1:41" s="2" customFormat="1" x14ac:dyDescent="0.2">
      <c r="A3639"/>
      <c r="B3639"/>
      <c r="C3639"/>
      <c r="D3639"/>
      <c r="E3639"/>
      <c r="F3639"/>
      <c r="G3639"/>
      <c r="U3639"/>
      <c r="V3639"/>
      <c r="W3639"/>
      <c r="X3639"/>
      <c r="Y3639"/>
      <c r="Z3639"/>
      <c r="AA3639"/>
      <c r="AB3639"/>
      <c r="AL3639"/>
      <c r="AM3639"/>
      <c r="AN3639"/>
      <c r="AO3639"/>
    </row>
    <row r="3640" spans="1:41" s="2" customFormat="1" x14ac:dyDescent="0.2">
      <c r="A3640"/>
      <c r="B3640"/>
      <c r="C3640"/>
      <c r="D3640"/>
      <c r="E3640"/>
      <c r="F3640"/>
      <c r="G3640"/>
      <c r="U3640"/>
      <c r="V3640"/>
      <c r="W3640"/>
      <c r="X3640"/>
      <c r="Y3640"/>
      <c r="Z3640"/>
      <c r="AA3640"/>
      <c r="AB3640"/>
      <c r="AL3640"/>
      <c r="AM3640"/>
      <c r="AN3640"/>
      <c r="AO3640"/>
    </row>
    <row r="3641" spans="1:41" s="2" customFormat="1" x14ac:dyDescent="0.2">
      <c r="A3641"/>
      <c r="B3641"/>
      <c r="C3641"/>
      <c r="D3641"/>
      <c r="E3641"/>
      <c r="F3641"/>
      <c r="G3641"/>
      <c r="U3641"/>
      <c r="V3641"/>
      <c r="W3641"/>
      <c r="X3641"/>
      <c r="Y3641"/>
      <c r="Z3641"/>
      <c r="AA3641"/>
      <c r="AB3641"/>
      <c r="AL3641"/>
      <c r="AM3641"/>
      <c r="AN3641"/>
      <c r="AO3641"/>
    </row>
    <row r="3642" spans="1:41" s="2" customFormat="1" x14ac:dyDescent="0.2">
      <c r="A3642"/>
      <c r="B3642"/>
      <c r="C3642"/>
      <c r="D3642"/>
      <c r="E3642"/>
      <c r="F3642"/>
      <c r="G3642"/>
      <c r="U3642"/>
      <c r="V3642"/>
      <c r="W3642"/>
      <c r="X3642"/>
      <c r="Y3642"/>
      <c r="Z3642"/>
      <c r="AA3642"/>
      <c r="AB3642"/>
      <c r="AL3642"/>
      <c r="AM3642"/>
      <c r="AN3642"/>
      <c r="AO3642"/>
    </row>
    <row r="3643" spans="1:41" s="2" customFormat="1" x14ac:dyDescent="0.2">
      <c r="A3643"/>
      <c r="B3643"/>
      <c r="C3643"/>
      <c r="D3643"/>
      <c r="E3643"/>
      <c r="F3643"/>
      <c r="G3643"/>
      <c r="U3643"/>
      <c r="V3643"/>
      <c r="W3643"/>
      <c r="X3643"/>
      <c r="Y3643"/>
      <c r="Z3643"/>
      <c r="AA3643"/>
      <c r="AB3643"/>
      <c r="AL3643"/>
      <c r="AM3643"/>
      <c r="AN3643"/>
      <c r="AO3643"/>
    </row>
    <row r="3644" spans="1:41" s="2" customFormat="1" x14ac:dyDescent="0.2">
      <c r="A3644"/>
      <c r="B3644"/>
      <c r="C3644"/>
      <c r="D3644"/>
      <c r="E3644"/>
      <c r="F3644"/>
      <c r="G3644"/>
      <c r="U3644"/>
      <c r="V3644"/>
      <c r="W3644"/>
      <c r="X3644"/>
      <c r="Y3644"/>
      <c r="Z3644"/>
      <c r="AA3644"/>
      <c r="AB3644"/>
      <c r="AL3644"/>
      <c r="AM3644"/>
      <c r="AN3644"/>
      <c r="AO3644"/>
    </row>
    <row r="3645" spans="1:41" s="2" customFormat="1" x14ac:dyDescent="0.2">
      <c r="A3645"/>
      <c r="B3645"/>
      <c r="C3645"/>
      <c r="D3645"/>
      <c r="E3645"/>
      <c r="F3645"/>
      <c r="G3645"/>
      <c r="U3645"/>
      <c r="V3645"/>
      <c r="W3645"/>
      <c r="X3645"/>
      <c r="Y3645"/>
      <c r="Z3645"/>
      <c r="AA3645"/>
      <c r="AB3645"/>
      <c r="AL3645"/>
      <c r="AM3645"/>
      <c r="AN3645"/>
      <c r="AO3645"/>
    </row>
    <row r="3646" spans="1:41" s="2" customFormat="1" x14ac:dyDescent="0.2">
      <c r="A3646"/>
      <c r="B3646"/>
      <c r="C3646"/>
      <c r="D3646"/>
      <c r="E3646"/>
      <c r="F3646"/>
      <c r="G3646"/>
      <c r="U3646"/>
      <c r="V3646"/>
      <c r="W3646"/>
      <c r="X3646"/>
      <c r="Y3646"/>
      <c r="Z3646"/>
      <c r="AA3646"/>
      <c r="AB3646"/>
      <c r="AL3646"/>
      <c r="AM3646"/>
      <c r="AN3646"/>
      <c r="AO3646"/>
    </row>
    <row r="3647" spans="1:41" s="2" customFormat="1" x14ac:dyDescent="0.2">
      <c r="A3647"/>
      <c r="B3647"/>
      <c r="C3647"/>
      <c r="D3647"/>
      <c r="E3647"/>
      <c r="F3647"/>
      <c r="G3647"/>
      <c r="U3647"/>
      <c r="V3647"/>
      <c r="W3647"/>
      <c r="X3647"/>
      <c r="Y3647"/>
      <c r="Z3647"/>
      <c r="AA3647"/>
      <c r="AB3647"/>
      <c r="AL3647"/>
      <c r="AM3647"/>
      <c r="AN3647"/>
      <c r="AO3647"/>
    </row>
    <row r="3648" spans="1:41" s="2" customFormat="1" x14ac:dyDescent="0.2">
      <c r="A3648"/>
      <c r="B3648"/>
      <c r="C3648"/>
      <c r="D3648"/>
      <c r="E3648"/>
      <c r="F3648"/>
      <c r="G3648"/>
      <c r="U3648"/>
      <c r="V3648"/>
      <c r="W3648"/>
      <c r="X3648"/>
      <c r="Y3648"/>
      <c r="Z3648"/>
      <c r="AA3648"/>
      <c r="AB3648"/>
      <c r="AL3648"/>
      <c r="AM3648"/>
      <c r="AN3648"/>
      <c r="AO3648"/>
    </row>
    <row r="3649" spans="1:41" s="2" customFormat="1" x14ac:dyDescent="0.2">
      <c r="A3649"/>
      <c r="B3649"/>
      <c r="C3649"/>
      <c r="D3649"/>
      <c r="E3649"/>
      <c r="F3649"/>
      <c r="G3649"/>
      <c r="U3649"/>
      <c r="V3649"/>
      <c r="W3649"/>
      <c r="X3649"/>
      <c r="Y3649"/>
      <c r="Z3649"/>
      <c r="AA3649"/>
      <c r="AB3649"/>
      <c r="AL3649"/>
      <c r="AM3649"/>
      <c r="AN3649"/>
      <c r="AO3649"/>
    </row>
    <row r="3650" spans="1:41" s="2" customFormat="1" x14ac:dyDescent="0.2">
      <c r="A3650"/>
      <c r="B3650"/>
      <c r="C3650"/>
      <c r="D3650"/>
      <c r="E3650"/>
      <c r="F3650"/>
      <c r="G3650"/>
      <c r="U3650"/>
      <c r="V3650"/>
      <c r="W3650"/>
      <c r="X3650"/>
      <c r="Y3650"/>
      <c r="Z3650"/>
      <c r="AA3650"/>
      <c r="AB3650"/>
      <c r="AL3650"/>
      <c r="AM3650"/>
      <c r="AN3650"/>
      <c r="AO3650"/>
    </row>
    <row r="3651" spans="1:41" s="2" customFormat="1" x14ac:dyDescent="0.2">
      <c r="A3651"/>
      <c r="B3651"/>
      <c r="C3651"/>
      <c r="D3651"/>
      <c r="E3651"/>
      <c r="F3651"/>
      <c r="G3651"/>
      <c r="U3651"/>
      <c r="V3651"/>
      <c r="W3651"/>
      <c r="X3651"/>
      <c r="Y3651"/>
      <c r="Z3651"/>
      <c r="AA3651"/>
      <c r="AB3651"/>
      <c r="AL3651"/>
      <c r="AM3651"/>
      <c r="AN3651"/>
      <c r="AO3651"/>
    </row>
    <row r="3652" spans="1:41" s="2" customFormat="1" x14ac:dyDescent="0.2">
      <c r="A3652"/>
      <c r="B3652"/>
      <c r="C3652"/>
      <c r="D3652"/>
      <c r="E3652"/>
      <c r="F3652"/>
      <c r="G3652"/>
      <c r="U3652"/>
      <c r="V3652"/>
      <c r="W3652"/>
      <c r="X3652"/>
      <c r="Y3652"/>
      <c r="Z3652"/>
      <c r="AA3652"/>
      <c r="AB3652"/>
      <c r="AL3652"/>
      <c r="AM3652"/>
      <c r="AN3652"/>
      <c r="AO3652"/>
    </row>
    <row r="3653" spans="1:41" s="2" customFormat="1" x14ac:dyDescent="0.2">
      <c r="A3653"/>
      <c r="B3653"/>
      <c r="C3653"/>
      <c r="D3653"/>
      <c r="E3653"/>
      <c r="F3653"/>
      <c r="G3653"/>
      <c r="U3653"/>
      <c r="V3653"/>
      <c r="W3653"/>
      <c r="X3653"/>
      <c r="Y3653"/>
      <c r="Z3653"/>
      <c r="AA3653"/>
      <c r="AB3653"/>
      <c r="AL3653"/>
      <c r="AM3653"/>
      <c r="AN3653"/>
      <c r="AO3653"/>
    </row>
    <row r="3654" spans="1:41" s="2" customFormat="1" x14ac:dyDescent="0.2">
      <c r="A3654"/>
      <c r="B3654"/>
      <c r="C3654"/>
      <c r="D3654"/>
      <c r="E3654"/>
      <c r="F3654"/>
      <c r="G3654"/>
      <c r="U3654"/>
      <c r="V3654"/>
      <c r="W3654"/>
      <c r="X3654"/>
      <c r="Y3654"/>
      <c r="Z3654"/>
      <c r="AA3654"/>
      <c r="AB3654"/>
      <c r="AL3654"/>
      <c r="AM3654"/>
      <c r="AN3654"/>
      <c r="AO3654"/>
    </row>
    <row r="3655" spans="1:41" s="2" customFormat="1" x14ac:dyDescent="0.2">
      <c r="A3655"/>
      <c r="B3655"/>
      <c r="C3655"/>
      <c r="D3655"/>
      <c r="E3655"/>
      <c r="F3655"/>
      <c r="G3655"/>
      <c r="U3655"/>
      <c r="V3655"/>
      <c r="W3655"/>
      <c r="X3655"/>
      <c r="Y3655"/>
      <c r="Z3655"/>
      <c r="AA3655"/>
      <c r="AB3655"/>
      <c r="AL3655"/>
      <c r="AM3655"/>
      <c r="AN3655"/>
      <c r="AO3655"/>
    </row>
    <row r="3656" spans="1:41" s="2" customFormat="1" x14ac:dyDescent="0.2">
      <c r="A3656"/>
      <c r="B3656"/>
      <c r="C3656"/>
      <c r="D3656"/>
      <c r="E3656"/>
      <c r="F3656"/>
      <c r="G3656"/>
      <c r="U3656"/>
      <c r="V3656"/>
      <c r="W3656"/>
      <c r="X3656"/>
      <c r="Y3656"/>
      <c r="Z3656"/>
      <c r="AA3656"/>
      <c r="AB3656"/>
      <c r="AL3656"/>
      <c r="AM3656"/>
      <c r="AN3656"/>
      <c r="AO3656"/>
    </row>
    <row r="3657" spans="1:41" s="2" customFormat="1" x14ac:dyDescent="0.2">
      <c r="A3657"/>
      <c r="B3657"/>
      <c r="C3657"/>
      <c r="D3657"/>
      <c r="E3657"/>
      <c r="F3657"/>
      <c r="G3657"/>
      <c r="U3657"/>
      <c r="V3657"/>
      <c r="W3657"/>
      <c r="X3657"/>
      <c r="Y3657"/>
      <c r="Z3657"/>
      <c r="AA3657"/>
      <c r="AB3657"/>
      <c r="AL3657"/>
      <c r="AM3657"/>
      <c r="AN3657"/>
      <c r="AO3657"/>
    </row>
    <row r="3658" spans="1:41" s="2" customFormat="1" x14ac:dyDescent="0.2">
      <c r="A3658"/>
      <c r="B3658"/>
      <c r="C3658"/>
      <c r="D3658"/>
      <c r="E3658"/>
      <c r="F3658"/>
      <c r="G3658"/>
      <c r="U3658"/>
      <c r="V3658"/>
      <c r="W3658"/>
      <c r="X3658"/>
      <c r="Y3658"/>
      <c r="Z3658"/>
      <c r="AA3658"/>
      <c r="AB3658"/>
      <c r="AL3658"/>
      <c r="AM3658"/>
      <c r="AN3658"/>
      <c r="AO3658"/>
    </row>
    <row r="3659" spans="1:41" s="2" customFormat="1" x14ac:dyDescent="0.2">
      <c r="A3659"/>
      <c r="B3659"/>
      <c r="C3659"/>
      <c r="D3659"/>
      <c r="E3659"/>
      <c r="F3659"/>
      <c r="G3659"/>
      <c r="U3659"/>
      <c r="V3659"/>
      <c r="W3659"/>
      <c r="X3659"/>
      <c r="Y3659"/>
      <c r="Z3659"/>
      <c r="AA3659"/>
      <c r="AB3659"/>
      <c r="AL3659"/>
      <c r="AM3659"/>
      <c r="AN3659"/>
      <c r="AO3659"/>
    </row>
    <row r="3660" spans="1:41" s="2" customFormat="1" x14ac:dyDescent="0.2">
      <c r="A3660"/>
      <c r="B3660"/>
      <c r="C3660"/>
      <c r="D3660"/>
      <c r="E3660"/>
      <c r="F3660"/>
      <c r="G3660"/>
      <c r="U3660"/>
      <c r="V3660"/>
      <c r="W3660"/>
      <c r="X3660"/>
      <c r="Y3660"/>
      <c r="Z3660"/>
      <c r="AA3660"/>
      <c r="AB3660"/>
      <c r="AL3660"/>
      <c r="AM3660"/>
      <c r="AN3660"/>
      <c r="AO3660"/>
    </row>
    <row r="3661" spans="1:41" s="2" customFormat="1" x14ac:dyDescent="0.2">
      <c r="A3661"/>
      <c r="B3661"/>
      <c r="C3661"/>
      <c r="D3661"/>
      <c r="E3661"/>
      <c r="F3661"/>
      <c r="G3661"/>
      <c r="U3661"/>
      <c r="V3661"/>
      <c r="W3661"/>
      <c r="X3661"/>
      <c r="Y3661"/>
      <c r="Z3661"/>
      <c r="AA3661"/>
      <c r="AB3661"/>
      <c r="AL3661"/>
      <c r="AM3661"/>
      <c r="AN3661"/>
      <c r="AO3661"/>
    </row>
    <row r="3662" spans="1:41" s="2" customFormat="1" x14ac:dyDescent="0.2">
      <c r="A3662"/>
      <c r="B3662"/>
      <c r="C3662"/>
      <c r="D3662"/>
      <c r="E3662"/>
      <c r="F3662"/>
      <c r="G3662"/>
      <c r="U3662"/>
      <c r="V3662"/>
      <c r="W3662"/>
      <c r="X3662"/>
      <c r="Y3662"/>
      <c r="Z3662"/>
      <c r="AA3662"/>
      <c r="AB3662"/>
      <c r="AL3662"/>
      <c r="AM3662"/>
      <c r="AN3662"/>
      <c r="AO3662"/>
    </row>
    <row r="3663" spans="1:41" s="2" customFormat="1" x14ac:dyDescent="0.2">
      <c r="A3663"/>
      <c r="B3663"/>
      <c r="C3663"/>
      <c r="D3663"/>
      <c r="E3663"/>
      <c r="F3663"/>
      <c r="G3663"/>
      <c r="U3663"/>
      <c r="V3663"/>
      <c r="W3663"/>
      <c r="X3663"/>
      <c r="Y3663"/>
      <c r="Z3663"/>
      <c r="AA3663"/>
      <c r="AB3663"/>
      <c r="AL3663"/>
      <c r="AM3663"/>
      <c r="AN3663"/>
      <c r="AO3663"/>
    </row>
    <row r="3664" spans="1:41" s="2" customFormat="1" x14ac:dyDescent="0.2">
      <c r="A3664"/>
      <c r="B3664"/>
      <c r="C3664"/>
      <c r="D3664"/>
      <c r="E3664"/>
      <c r="F3664"/>
      <c r="G3664"/>
      <c r="U3664"/>
      <c r="V3664"/>
      <c r="W3664"/>
      <c r="X3664"/>
      <c r="Y3664"/>
      <c r="Z3664"/>
      <c r="AA3664"/>
      <c r="AB3664"/>
      <c r="AL3664"/>
      <c r="AM3664"/>
      <c r="AN3664"/>
      <c r="AO3664"/>
    </row>
    <row r="3665" spans="1:41" s="2" customFormat="1" x14ac:dyDescent="0.2">
      <c r="A3665"/>
      <c r="B3665"/>
      <c r="C3665"/>
      <c r="D3665"/>
      <c r="E3665"/>
      <c r="F3665"/>
      <c r="G3665"/>
      <c r="U3665"/>
      <c r="V3665"/>
      <c r="W3665"/>
      <c r="X3665"/>
      <c r="Y3665"/>
      <c r="Z3665"/>
      <c r="AA3665"/>
      <c r="AB3665"/>
      <c r="AL3665"/>
      <c r="AM3665"/>
      <c r="AN3665"/>
      <c r="AO3665"/>
    </row>
    <row r="3666" spans="1:41" s="2" customFormat="1" x14ac:dyDescent="0.2">
      <c r="A3666"/>
      <c r="B3666"/>
      <c r="C3666"/>
      <c r="D3666"/>
      <c r="E3666"/>
      <c r="F3666"/>
      <c r="G3666"/>
      <c r="U3666"/>
      <c r="V3666"/>
      <c r="W3666"/>
      <c r="X3666"/>
      <c r="Y3666"/>
      <c r="Z3666"/>
      <c r="AA3666"/>
      <c r="AB3666"/>
      <c r="AL3666"/>
      <c r="AM3666"/>
      <c r="AN3666"/>
      <c r="AO3666"/>
    </row>
    <row r="3667" spans="1:41" s="2" customFormat="1" x14ac:dyDescent="0.2">
      <c r="A3667"/>
      <c r="B3667"/>
      <c r="C3667"/>
      <c r="D3667"/>
      <c r="E3667"/>
      <c r="F3667"/>
      <c r="G3667"/>
      <c r="U3667"/>
      <c r="V3667"/>
      <c r="W3667"/>
      <c r="X3667"/>
      <c r="Y3667"/>
      <c r="Z3667"/>
      <c r="AA3667"/>
      <c r="AB3667"/>
      <c r="AL3667"/>
      <c r="AM3667"/>
      <c r="AN3667"/>
      <c r="AO3667"/>
    </row>
    <row r="3668" spans="1:41" s="2" customFormat="1" x14ac:dyDescent="0.2">
      <c r="A3668"/>
      <c r="B3668"/>
      <c r="C3668"/>
      <c r="D3668"/>
      <c r="E3668"/>
      <c r="F3668"/>
      <c r="G3668"/>
      <c r="U3668"/>
      <c r="V3668"/>
      <c r="W3668"/>
      <c r="X3668"/>
      <c r="Y3668"/>
      <c r="Z3668"/>
      <c r="AA3668"/>
      <c r="AB3668"/>
      <c r="AL3668"/>
      <c r="AM3668"/>
      <c r="AN3668"/>
      <c r="AO3668"/>
    </row>
    <row r="3669" spans="1:41" s="2" customFormat="1" x14ac:dyDescent="0.2">
      <c r="A3669"/>
      <c r="B3669"/>
      <c r="C3669"/>
      <c r="D3669"/>
      <c r="E3669"/>
      <c r="F3669"/>
      <c r="G3669"/>
      <c r="U3669"/>
      <c r="V3669"/>
      <c r="W3669"/>
      <c r="X3669"/>
      <c r="Y3669"/>
      <c r="Z3669"/>
      <c r="AA3669"/>
      <c r="AB3669"/>
      <c r="AL3669"/>
      <c r="AM3669"/>
      <c r="AN3669"/>
      <c r="AO3669"/>
    </row>
    <row r="3670" spans="1:41" s="2" customFormat="1" x14ac:dyDescent="0.2">
      <c r="A3670"/>
      <c r="B3670"/>
      <c r="C3670"/>
      <c r="D3670"/>
      <c r="E3670"/>
      <c r="F3670"/>
      <c r="G3670"/>
      <c r="U3670"/>
      <c r="V3670"/>
      <c r="W3670"/>
      <c r="X3670"/>
      <c r="Y3670"/>
      <c r="Z3670"/>
      <c r="AA3670"/>
      <c r="AB3670"/>
      <c r="AL3670"/>
      <c r="AM3670"/>
      <c r="AN3670"/>
      <c r="AO3670"/>
    </row>
    <row r="3671" spans="1:41" s="2" customFormat="1" x14ac:dyDescent="0.2">
      <c r="A3671"/>
      <c r="B3671"/>
      <c r="C3671"/>
      <c r="D3671"/>
      <c r="E3671"/>
      <c r="F3671"/>
      <c r="G3671"/>
      <c r="U3671"/>
      <c r="V3671"/>
      <c r="W3671"/>
      <c r="X3671"/>
      <c r="Y3671"/>
      <c r="Z3671"/>
      <c r="AA3671"/>
      <c r="AB3671"/>
      <c r="AL3671"/>
      <c r="AM3671"/>
      <c r="AN3671"/>
      <c r="AO3671"/>
    </row>
    <row r="3672" spans="1:41" s="2" customFormat="1" x14ac:dyDescent="0.2">
      <c r="A3672"/>
      <c r="B3672"/>
      <c r="C3672"/>
      <c r="D3672"/>
      <c r="E3672"/>
      <c r="F3672"/>
      <c r="G3672"/>
      <c r="U3672"/>
      <c r="V3672"/>
      <c r="W3672"/>
      <c r="X3672"/>
      <c r="Y3672"/>
      <c r="Z3672"/>
      <c r="AA3672"/>
      <c r="AB3672"/>
      <c r="AL3672"/>
      <c r="AM3672"/>
      <c r="AN3672"/>
      <c r="AO3672"/>
    </row>
    <row r="3673" spans="1:41" s="2" customFormat="1" x14ac:dyDescent="0.2">
      <c r="A3673"/>
      <c r="B3673"/>
      <c r="C3673"/>
      <c r="D3673"/>
      <c r="E3673"/>
      <c r="F3673"/>
      <c r="G3673"/>
      <c r="U3673"/>
      <c r="V3673"/>
      <c r="W3673"/>
      <c r="X3673"/>
      <c r="Y3673"/>
      <c r="Z3673"/>
      <c r="AA3673"/>
      <c r="AB3673"/>
      <c r="AL3673"/>
      <c r="AM3673"/>
      <c r="AN3673"/>
      <c r="AO3673"/>
    </row>
    <row r="3674" spans="1:41" s="2" customFormat="1" x14ac:dyDescent="0.2">
      <c r="A3674"/>
      <c r="B3674"/>
      <c r="C3674"/>
      <c r="D3674"/>
      <c r="E3674"/>
      <c r="F3674"/>
      <c r="G3674"/>
      <c r="U3674"/>
      <c r="V3674"/>
      <c r="W3674"/>
      <c r="X3674"/>
      <c r="Y3674"/>
      <c r="Z3674"/>
      <c r="AA3674"/>
      <c r="AB3674"/>
      <c r="AL3674"/>
      <c r="AM3674"/>
      <c r="AN3674"/>
      <c r="AO3674"/>
    </row>
    <row r="3675" spans="1:41" s="2" customFormat="1" x14ac:dyDescent="0.2">
      <c r="A3675"/>
      <c r="B3675"/>
      <c r="C3675"/>
      <c r="D3675"/>
      <c r="E3675"/>
      <c r="F3675"/>
      <c r="G3675"/>
      <c r="U3675"/>
      <c r="V3675"/>
      <c r="W3675"/>
      <c r="X3675"/>
      <c r="Y3675"/>
      <c r="Z3675"/>
      <c r="AA3675"/>
      <c r="AB3675"/>
      <c r="AL3675"/>
      <c r="AM3675"/>
      <c r="AN3675"/>
      <c r="AO3675"/>
    </row>
    <row r="3676" spans="1:41" s="2" customFormat="1" x14ac:dyDescent="0.2">
      <c r="A3676"/>
      <c r="B3676"/>
      <c r="C3676"/>
      <c r="D3676"/>
      <c r="E3676"/>
      <c r="F3676"/>
      <c r="G3676"/>
      <c r="U3676"/>
      <c r="V3676"/>
      <c r="W3676"/>
      <c r="X3676"/>
      <c r="Y3676"/>
      <c r="Z3676"/>
      <c r="AA3676"/>
      <c r="AB3676"/>
      <c r="AL3676"/>
      <c r="AM3676"/>
      <c r="AN3676"/>
      <c r="AO3676"/>
    </row>
    <row r="3677" spans="1:41" s="2" customFormat="1" x14ac:dyDescent="0.2">
      <c r="A3677"/>
      <c r="B3677"/>
      <c r="C3677"/>
      <c r="D3677"/>
      <c r="E3677"/>
      <c r="F3677"/>
      <c r="G3677"/>
      <c r="U3677"/>
      <c r="V3677"/>
      <c r="W3677"/>
      <c r="X3677"/>
      <c r="Y3677"/>
      <c r="Z3677"/>
      <c r="AA3677"/>
      <c r="AB3677"/>
      <c r="AL3677"/>
      <c r="AM3677"/>
      <c r="AN3677"/>
      <c r="AO3677"/>
    </row>
    <row r="3678" spans="1:41" s="2" customFormat="1" x14ac:dyDescent="0.2">
      <c r="A3678"/>
      <c r="B3678"/>
      <c r="C3678"/>
      <c r="D3678"/>
      <c r="E3678"/>
      <c r="F3678"/>
      <c r="G3678"/>
      <c r="U3678"/>
      <c r="V3678"/>
      <c r="W3678"/>
      <c r="X3678"/>
      <c r="Y3678"/>
      <c r="Z3678"/>
      <c r="AA3678"/>
      <c r="AB3678"/>
      <c r="AL3678"/>
      <c r="AM3678"/>
      <c r="AN3678"/>
      <c r="AO3678"/>
    </row>
    <row r="3679" spans="1:41" s="2" customFormat="1" x14ac:dyDescent="0.2">
      <c r="A3679"/>
      <c r="B3679"/>
      <c r="C3679"/>
      <c r="D3679"/>
      <c r="E3679"/>
      <c r="F3679"/>
      <c r="G3679"/>
      <c r="U3679"/>
      <c r="V3679"/>
      <c r="W3679"/>
      <c r="X3679"/>
      <c r="Y3679"/>
      <c r="Z3679"/>
      <c r="AA3679"/>
      <c r="AB3679"/>
      <c r="AL3679"/>
      <c r="AM3679"/>
      <c r="AN3679"/>
      <c r="AO3679"/>
    </row>
    <row r="3680" spans="1:41" s="2" customFormat="1" x14ac:dyDescent="0.2">
      <c r="A3680"/>
      <c r="B3680"/>
      <c r="C3680"/>
      <c r="D3680"/>
      <c r="E3680"/>
      <c r="F3680"/>
      <c r="G3680"/>
      <c r="U3680"/>
      <c r="V3680"/>
      <c r="W3680"/>
      <c r="X3680"/>
      <c r="Y3680"/>
      <c r="Z3680"/>
      <c r="AA3680"/>
      <c r="AB3680"/>
      <c r="AL3680"/>
      <c r="AM3680"/>
      <c r="AN3680"/>
      <c r="AO3680"/>
    </row>
    <row r="3681" spans="1:41" s="2" customFormat="1" x14ac:dyDescent="0.2">
      <c r="A3681"/>
      <c r="B3681"/>
      <c r="C3681"/>
      <c r="D3681"/>
      <c r="E3681"/>
      <c r="F3681"/>
      <c r="G3681"/>
      <c r="U3681"/>
      <c r="V3681"/>
      <c r="W3681"/>
      <c r="X3681"/>
      <c r="Y3681"/>
      <c r="Z3681"/>
      <c r="AA3681"/>
      <c r="AB3681"/>
      <c r="AL3681"/>
      <c r="AM3681"/>
      <c r="AN3681"/>
      <c r="AO3681"/>
    </row>
    <row r="3682" spans="1:41" s="2" customFormat="1" x14ac:dyDescent="0.2">
      <c r="A3682"/>
      <c r="B3682"/>
      <c r="C3682"/>
      <c r="D3682"/>
      <c r="E3682"/>
      <c r="F3682"/>
      <c r="G3682"/>
      <c r="U3682"/>
      <c r="V3682"/>
      <c r="W3682"/>
      <c r="X3682"/>
      <c r="Y3682"/>
      <c r="Z3682"/>
      <c r="AA3682"/>
      <c r="AB3682"/>
      <c r="AL3682"/>
      <c r="AM3682"/>
      <c r="AN3682"/>
      <c r="AO3682"/>
    </row>
    <row r="3683" spans="1:41" s="2" customFormat="1" x14ac:dyDescent="0.2">
      <c r="A3683"/>
      <c r="B3683"/>
      <c r="C3683"/>
      <c r="D3683"/>
      <c r="E3683"/>
      <c r="F3683"/>
      <c r="G3683"/>
      <c r="U3683"/>
      <c r="V3683"/>
      <c r="W3683"/>
      <c r="X3683"/>
      <c r="Y3683"/>
      <c r="Z3683"/>
      <c r="AA3683"/>
      <c r="AB3683"/>
      <c r="AL3683"/>
      <c r="AM3683"/>
      <c r="AN3683"/>
      <c r="AO3683"/>
    </row>
    <row r="3684" spans="1:41" s="2" customFormat="1" x14ac:dyDescent="0.2">
      <c r="A3684"/>
      <c r="B3684"/>
      <c r="C3684"/>
      <c r="D3684"/>
      <c r="E3684"/>
      <c r="F3684"/>
      <c r="G3684"/>
      <c r="U3684"/>
      <c r="V3684"/>
      <c r="W3684"/>
      <c r="X3684"/>
      <c r="Y3684"/>
      <c r="Z3684"/>
      <c r="AA3684"/>
      <c r="AB3684"/>
      <c r="AL3684"/>
      <c r="AM3684"/>
      <c r="AN3684"/>
      <c r="AO3684"/>
    </row>
    <row r="3685" spans="1:41" s="2" customFormat="1" x14ac:dyDescent="0.2">
      <c r="A3685"/>
      <c r="B3685"/>
      <c r="C3685"/>
      <c r="D3685"/>
      <c r="E3685"/>
      <c r="F3685"/>
      <c r="G3685"/>
      <c r="U3685"/>
      <c r="V3685"/>
      <c r="W3685"/>
      <c r="X3685"/>
      <c r="Y3685"/>
      <c r="Z3685"/>
      <c r="AA3685"/>
      <c r="AB3685"/>
      <c r="AL3685"/>
      <c r="AM3685"/>
      <c r="AN3685"/>
      <c r="AO3685"/>
    </row>
    <row r="3686" spans="1:41" s="2" customFormat="1" x14ac:dyDescent="0.2">
      <c r="A3686"/>
      <c r="B3686"/>
      <c r="C3686"/>
      <c r="D3686"/>
      <c r="E3686"/>
      <c r="F3686"/>
      <c r="G3686"/>
      <c r="U3686"/>
      <c r="V3686"/>
      <c r="W3686"/>
      <c r="X3686"/>
      <c r="Y3686"/>
      <c r="Z3686"/>
      <c r="AA3686"/>
      <c r="AB3686"/>
      <c r="AL3686"/>
      <c r="AM3686"/>
      <c r="AN3686"/>
      <c r="AO3686"/>
    </row>
    <row r="3687" spans="1:41" s="2" customFormat="1" x14ac:dyDescent="0.2">
      <c r="A3687"/>
      <c r="B3687"/>
      <c r="C3687"/>
      <c r="D3687"/>
      <c r="E3687"/>
      <c r="F3687"/>
      <c r="G3687"/>
      <c r="U3687"/>
      <c r="V3687"/>
      <c r="W3687"/>
      <c r="X3687"/>
      <c r="Y3687"/>
      <c r="Z3687"/>
      <c r="AA3687"/>
      <c r="AB3687"/>
      <c r="AL3687"/>
      <c r="AM3687"/>
      <c r="AN3687"/>
      <c r="AO3687"/>
    </row>
    <row r="3688" spans="1:41" s="2" customFormat="1" x14ac:dyDescent="0.2">
      <c r="A3688"/>
      <c r="B3688"/>
      <c r="C3688"/>
      <c r="D3688"/>
      <c r="E3688"/>
      <c r="F3688"/>
      <c r="G3688"/>
      <c r="U3688"/>
      <c r="V3688"/>
      <c r="W3688"/>
      <c r="X3688"/>
      <c r="Y3688"/>
      <c r="Z3688"/>
      <c r="AA3688"/>
      <c r="AB3688"/>
      <c r="AL3688"/>
      <c r="AM3688"/>
      <c r="AN3688"/>
      <c r="AO3688"/>
    </row>
    <row r="3689" spans="1:41" s="2" customFormat="1" x14ac:dyDescent="0.2">
      <c r="A3689"/>
      <c r="B3689"/>
      <c r="C3689"/>
      <c r="D3689"/>
      <c r="E3689"/>
      <c r="F3689"/>
      <c r="G3689"/>
      <c r="U3689"/>
      <c r="V3689"/>
      <c r="W3689"/>
      <c r="X3689"/>
      <c r="Y3689"/>
      <c r="Z3689"/>
      <c r="AA3689"/>
      <c r="AB3689"/>
      <c r="AL3689"/>
      <c r="AM3689"/>
      <c r="AN3689"/>
      <c r="AO3689"/>
    </row>
    <row r="3690" spans="1:41" s="2" customFormat="1" x14ac:dyDescent="0.2">
      <c r="A3690"/>
      <c r="B3690"/>
      <c r="C3690"/>
      <c r="D3690"/>
      <c r="E3690"/>
      <c r="F3690"/>
      <c r="G3690"/>
      <c r="U3690"/>
      <c r="V3690"/>
      <c r="W3690"/>
      <c r="X3690"/>
      <c r="Y3690"/>
      <c r="Z3690"/>
      <c r="AA3690"/>
      <c r="AB3690"/>
      <c r="AL3690"/>
      <c r="AM3690"/>
      <c r="AN3690"/>
      <c r="AO3690"/>
    </row>
    <row r="3691" spans="1:41" s="2" customFormat="1" x14ac:dyDescent="0.2">
      <c r="A3691"/>
      <c r="B3691"/>
      <c r="C3691"/>
      <c r="D3691"/>
      <c r="E3691"/>
      <c r="F3691"/>
      <c r="G3691"/>
      <c r="U3691"/>
      <c r="V3691"/>
      <c r="W3691"/>
      <c r="X3691"/>
      <c r="Y3691"/>
      <c r="Z3691"/>
      <c r="AA3691"/>
      <c r="AB3691"/>
      <c r="AL3691"/>
      <c r="AM3691"/>
      <c r="AN3691"/>
      <c r="AO3691"/>
    </row>
    <row r="3692" spans="1:41" s="2" customFormat="1" x14ac:dyDescent="0.2">
      <c r="A3692"/>
      <c r="B3692"/>
      <c r="C3692"/>
      <c r="D3692"/>
      <c r="E3692"/>
      <c r="F3692"/>
      <c r="G3692"/>
      <c r="U3692"/>
      <c r="V3692"/>
      <c r="W3692"/>
      <c r="X3692"/>
      <c r="Y3692"/>
      <c r="Z3692"/>
      <c r="AA3692"/>
      <c r="AB3692"/>
      <c r="AL3692"/>
      <c r="AM3692"/>
      <c r="AN3692"/>
      <c r="AO3692"/>
    </row>
    <row r="3693" spans="1:41" s="2" customFormat="1" x14ac:dyDescent="0.2">
      <c r="A3693"/>
      <c r="B3693"/>
      <c r="C3693"/>
      <c r="D3693"/>
      <c r="E3693"/>
      <c r="F3693"/>
      <c r="G3693"/>
      <c r="U3693"/>
      <c r="V3693"/>
      <c r="W3693"/>
      <c r="X3693"/>
      <c r="Y3693"/>
      <c r="Z3693"/>
      <c r="AA3693"/>
      <c r="AB3693"/>
      <c r="AL3693"/>
      <c r="AM3693"/>
      <c r="AN3693"/>
      <c r="AO3693"/>
    </row>
    <row r="3694" spans="1:41" s="2" customFormat="1" x14ac:dyDescent="0.2">
      <c r="A3694"/>
      <c r="B3694"/>
      <c r="C3694"/>
      <c r="D3694"/>
      <c r="E3694"/>
      <c r="F3694"/>
      <c r="G3694"/>
      <c r="U3694"/>
      <c r="V3694"/>
      <c r="W3694"/>
      <c r="X3694"/>
      <c r="Y3694"/>
      <c r="Z3694"/>
      <c r="AA3694"/>
      <c r="AB3694"/>
      <c r="AL3694"/>
      <c r="AM3694"/>
      <c r="AN3694"/>
      <c r="AO3694"/>
    </row>
    <row r="3695" spans="1:41" s="2" customFormat="1" x14ac:dyDescent="0.2">
      <c r="A3695"/>
      <c r="B3695"/>
      <c r="C3695"/>
      <c r="D3695"/>
      <c r="E3695"/>
      <c r="F3695"/>
      <c r="G3695"/>
      <c r="U3695"/>
      <c r="V3695"/>
      <c r="W3695"/>
      <c r="X3695"/>
      <c r="Y3695"/>
      <c r="Z3695"/>
      <c r="AA3695"/>
      <c r="AB3695"/>
      <c r="AL3695"/>
      <c r="AM3695"/>
      <c r="AN3695"/>
      <c r="AO3695"/>
    </row>
    <row r="3696" spans="1:41" s="2" customFormat="1" x14ac:dyDescent="0.2">
      <c r="A3696"/>
      <c r="B3696"/>
      <c r="C3696"/>
      <c r="D3696"/>
      <c r="E3696"/>
      <c r="F3696"/>
      <c r="G3696"/>
      <c r="U3696"/>
      <c r="V3696"/>
      <c r="W3696"/>
      <c r="X3696"/>
      <c r="Y3696"/>
      <c r="Z3696"/>
      <c r="AA3696"/>
      <c r="AB3696"/>
      <c r="AL3696"/>
      <c r="AM3696"/>
      <c r="AN3696"/>
      <c r="AO3696"/>
    </row>
    <row r="3697" spans="1:41" s="2" customFormat="1" x14ac:dyDescent="0.2">
      <c r="A3697"/>
      <c r="B3697"/>
      <c r="C3697"/>
      <c r="D3697"/>
      <c r="E3697"/>
      <c r="F3697"/>
      <c r="G3697"/>
      <c r="U3697"/>
      <c r="V3697"/>
      <c r="W3697"/>
      <c r="X3697"/>
      <c r="Y3697"/>
      <c r="Z3697"/>
      <c r="AA3697"/>
      <c r="AB3697"/>
      <c r="AL3697"/>
      <c r="AM3697"/>
      <c r="AN3697"/>
      <c r="AO3697"/>
    </row>
    <row r="3698" spans="1:41" s="2" customFormat="1" x14ac:dyDescent="0.2">
      <c r="A3698"/>
      <c r="B3698"/>
      <c r="C3698"/>
      <c r="D3698"/>
      <c r="E3698"/>
      <c r="F3698"/>
      <c r="G3698"/>
      <c r="U3698"/>
      <c r="V3698"/>
      <c r="W3698"/>
      <c r="X3698"/>
      <c r="Y3698"/>
      <c r="Z3698"/>
      <c r="AA3698"/>
      <c r="AB3698"/>
      <c r="AL3698"/>
      <c r="AM3698"/>
      <c r="AN3698"/>
      <c r="AO3698"/>
    </row>
    <row r="3699" spans="1:41" s="2" customFormat="1" x14ac:dyDescent="0.2">
      <c r="A3699"/>
      <c r="B3699"/>
      <c r="C3699"/>
      <c r="D3699"/>
      <c r="E3699"/>
      <c r="F3699"/>
      <c r="G3699"/>
      <c r="U3699"/>
      <c r="V3699"/>
      <c r="W3699"/>
      <c r="X3699"/>
      <c r="Y3699"/>
      <c r="Z3699"/>
      <c r="AA3699"/>
      <c r="AB3699"/>
      <c r="AL3699"/>
      <c r="AM3699"/>
      <c r="AN3699"/>
      <c r="AO3699"/>
    </row>
    <row r="3700" spans="1:41" s="2" customFormat="1" x14ac:dyDescent="0.2">
      <c r="A3700"/>
      <c r="B3700"/>
      <c r="C3700"/>
      <c r="D3700"/>
      <c r="E3700"/>
      <c r="F3700"/>
      <c r="G3700"/>
      <c r="U3700"/>
      <c r="V3700"/>
      <c r="W3700"/>
      <c r="X3700"/>
      <c r="Y3700"/>
      <c r="Z3700"/>
      <c r="AA3700"/>
      <c r="AB3700"/>
      <c r="AL3700"/>
      <c r="AM3700"/>
      <c r="AN3700"/>
      <c r="AO3700"/>
    </row>
    <row r="3701" spans="1:41" s="2" customFormat="1" x14ac:dyDescent="0.2">
      <c r="A3701"/>
      <c r="B3701"/>
      <c r="C3701"/>
      <c r="D3701"/>
      <c r="E3701"/>
      <c r="F3701"/>
      <c r="G3701"/>
      <c r="U3701"/>
      <c r="V3701"/>
      <c r="W3701"/>
      <c r="X3701"/>
      <c r="Y3701"/>
      <c r="Z3701"/>
      <c r="AA3701"/>
      <c r="AB3701"/>
      <c r="AL3701"/>
      <c r="AM3701"/>
      <c r="AN3701"/>
      <c r="AO3701"/>
    </row>
    <row r="3702" spans="1:41" s="2" customFormat="1" x14ac:dyDescent="0.2">
      <c r="A3702"/>
      <c r="B3702"/>
      <c r="C3702"/>
      <c r="D3702"/>
      <c r="E3702"/>
      <c r="F3702"/>
      <c r="G3702"/>
      <c r="U3702"/>
      <c r="V3702"/>
      <c r="W3702"/>
      <c r="X3702"/>
      <c r="Y3702"/>
      <c r="Z3702"/>
      <c r="AA3702"/>
      <c r="AB3702"/>
      <c r="AL3702"/>
      <c r="AM3702"/>
      <c r="AN3702"/>
      <c r="AO3702"/>
    </row>
    <row r="3703" spans="1:41" s="2" customFormat="1" x14ac:dyDescent="0.2">
      <c r="A3703"/>
      <c r="B3703"/>
      <c r="C3703"/>
      <c r="D3703"/>
      <c r="E3703"/>
      <c r="F3703"/>
      <c r="G3703"/>
      <c r="U3703"/>
      <c r="V3703"/>
      <c r="W3703"/>
      <c r="X3703"/>
      <c r="Y3703"/>
      <c r="Z3703"/>
      <c r="AA3703"/>
      <c r="AB3703"/>
      <c r="AL3703"/>
      <c r="AM3703"/>
      <c r="AN3703"/>
      <c r="AO3703"/>
    </row>
    <row r="3704" spans="1:41" s="2" customFormat="1" x14ac:dyDescent="0.2">
      <c r="A3704"/>
      <c r="B3704"/>
      <c r="C3704"/>
      <c r="D3704"/>
      <c r="E3704"/>
      <c r="F3704"/>
      <c r="G3704"/>
      <c r="U3704"/>
      <c r="V3704"/>
      <c r="W3704"/>
      <c r="X3704"/>
      <c r="Y3704"/>
      <c r="Z3704"/>
      <c r="AA3704"/>
      <c r="AB3704"/>
      <c r="AL3704"/>
      <c r="AM3704"/>
      <c r="AN3704"/>
      <c r="AO3704"/>
    </row>
    <row r="3705" spans="1:41" s="2" customFormat="1" x14ac:dyDescent="0.2">
      <c r="A3705"/>
      <c r="B3705"/>
      <c r="C3705"/>
      <c r="D3705"/>
      <c r="E3705"/>
      <c r="F3705"/>
      <c r="G3705"/>
      <c r="U3705"/>
      <c r="V3705"/>
      <c r="W3705"/>
      <c r="X3705"/>
      <c r="Y3705"/>
      <c r="Z3705"/>
      <c r="AA3705"/>
      <c r="AB3705"/>
      <c r="AL3705"/>
      <c r="AM3705"/>
      <c r="AN3705"/>
      <c r="AO3705"/>
    </row>
    <row r="3706" spans="1:41" s="2" customFormat="1" x14ac:dyDescent="0.2">
      <c r="A3706"/>
      <c r="B3706"/>
      <c r="C3706"/>
      <c r="D3706"/>
      <c r="E3706"/>
      <c r="F3706"/>
      <c r="G3706"/>
      <c r="U3706"/>
      <c r="V3706"/>
      <c r="W3706"/>
      <c r="X3706"/>
      <c r="Y3706"/>
      <c r="Z3706"/>
      <c r="AA3706"/>
      <c r="AB3706"/>
      <c r="AL3706"/>
      <c r="AM3706"/>
      <c r="AN3706"/>
      <c r="AO3706"/>
    </row>
    <row r="3707" spans="1:41" s="2" customFormat="1" x14ac:dyDescent="0.2">
      <c r="A3707"/>
      <c r="B3707"/>
      <c r="C3707"/>
      <c r="D3707"/>
      <c r="E3707"/>
      <c r="F3707"/>
      <c r="G3707"/>
      <c r="U3707"/>
      <c r="V3707"/>
      <c r="W3707"/>
      <c r="X3707"/>
      <c r="Y3707"/>
      <c r="Z3707"/>
      <c r="AA3707"/>
      <c r="AB3707"/>
      <c r="AL3707"/>
      <c r="AM3707"/>
      <c r="AN3707"/>
      <c r="AO3707"/>
    </row>
    <row r="3708" spans="1:41" s="2" customFormat="1" x14ac:dyDescent="0.2">
      <c r="A3708"/>
      <c r="B3708"/>
      <c r="C3708"/>
      <c r="D3708"/>
      <c r="E3708"/>
      <c r="F3708"/>
      <c r="G3708"/>
      <c r="U3708"/>
      <c r="V3708"/>
      <c r="W3708"/>
      <c r="X3708"/>
      <c r="Y3708"/>
      <c r="Z3708"/>
      <c r="AA3708"/>
      <c r="AB3708"/>
      <c r="AL3708"/>
      <c r="AM3708"/>
      <c r="AN3708"/>
      <c r="AO3708"/>
    </row>
    <row r="3709" spans="1:41" s="2" customFormat="1" x14ac:dyDescent="0.2">
      <c r="A3709"/>
      <c r="B3709"/>
      <c r="C3709"/>
      <c r="D3709"/>
      <c r="E3709"/>
      <c r="F3709"/>
      <c r="G3709"/>
      <c r="U3709"/>
      <c r="V3709"/>
      <c r="W3709"/>
      <c r="X3709"/>
      <c r="Y3709"/>
      <c r="Z3709"/>
      <c r="AA3709"/>
      <c r="AB3709"/>
      <c r="AL3709"/>
      <c r="AM3709"/>
      <c r="AN3709"/>
      <c r="AO3709"/>
    </row>
    <row r="3710" spans="1:41" s="2" customFormat="1" x14ac:dyDescent="0.2">
      <c r="A3710"/>
      <c r="B3710"/>
      <c r="C3710"/>
      <c r="D3710"/>
      <c r="E3710"/>
      <c r="F3710"/>
      <c r="G3710"/>
      <c r="U3710"/>
      <c r="V3710"/>
      <c r="W3710"/>
      <c r="X3710"/>
      <c r="Y3710"/>
      <c r="Z3710"/>
      <c r="AA3710"/>
      <c r="AB3710"/>
      <c r="AL3710"/>
      <c r="AM3710"/>
      <c r="AN3710"/>
      <c r="AO3710"/>
    </row>
    <row r="3711" spans="1:41" s="2" customFormat="1" x14ac:dyDescent="0.2">
      <c r="A3711"/>
      <c r="B3711"/>
      <c r="C3711"/>
      <c r="D3711"/>
      <c r="E3711"/>
      <c r="F3711"/>
      <c r="G3711"/>
      <c r="U3711"/>
      <c r="V3711"/>
      <c r="W3711"/>
      <c r="X3711"/>
      <c r="Y3711"/>
      <c r="Z3711"/>
      <c r="AA3711"/>
      <c r="AB3711"/>
      <c r="AL3711"/>
      <c r="AM3711"/>
      <c r="AN3711"/>
      <c r="AO3711"/>
    </row>
    <row r="3712" spans="1:41" s="2" customFormat="1" x14ac:dyDescent="0.2">
      <c r="A3712"/>
      <c r="B3712"/>
      <c r="C3712"/>
      <c r="D3712"/>
      <c r="E3712"/>
      <c r="F3712"/>
      <c r="G3712"/>
      <c r="U3712"/>
      <c r="V3712"/>
      <c r="W3712"/>
      <c r="X3712"/>
      <c r="Y3712"/>
      <c r="Z3712"/>
      <c r="AA3712"/>
      <c r="AB3712"/>
      <c r="AL3712"/>
      <c r="AM3712"/>
      <c r="AN3712"/>
      <c r="AO3712"/>
    </row>
    <row r="3713" spans="1:41" s="2" customFormat="1" x14ac:dyDescent="0.2">
      <c r="A3713"/>
      <c r="B3713"/>
      <c r="C3713"/>
      <c r="D3713"/>
      <c r="E3713"/>
      <c r="F3713"/>
      <c r="G3713"/>
      <c r="U3713"/>
      <c r="V3713"/>
      <c r="W3713"/>
      <c r="X3713"/>
      <c r="Y3713"/>
      <c r="Z3713"/>
      <c r="AA3713"/>
      <c r="AB3713"/>
      <c r="AL3713"/>
      <c r="AM3713"/>
      <c r="AN3713"/>
      <c r="AO3713"/>
    </row>
    <row r="3714" spans="1:41" s="2" customFormat="1" x14ac:dyDescent="0.2">
      <c r="A3714"/>
      <c r="B3714"/>
      <c r="C3714"/>
      <c r="D3714"/>
      <c r="E3714"/>
      <c r="F3714"/>
      <c r="G3714"/>
      <c r="U3714"/>
      <c r="V3714"/>
      <c r="W3714"/>
      <c r="X3714"/>
      <c r="Y3714"/>
      <c r="Z3714"/>
      <c r="AA3714"/>
      <c r="AB3714"/>
      <c r="AL3714"/>
      <c r="AM3714"/>
      <c r="AN3714"/>
      <c r="AO3714"/>
    </row>
    <row r="3715" spans="1:41" s="2" customFormat="1" x14ac:dyDescent="0.2">
      <c r="A3715"/>
      <c r="B3715"/>
      <c r="C3715"/>
      <c r="D3715"/>
      <c r="E3715"/>
      <c r="F3715"/>
      <c r="G3715"/>
      <c r="U3715"/>
      <c r="V3715"/>
      <c r="W3715"/>
      <c r="X3715"/>
      <c r="Y3715"/>
      <c r="Z3715"/>
      <c r="AA3715"/>
      <c r="AB3715"/>
      <c r="AL3715"/>
      <c r="AM3715"/>
      <c r="AN3715"/>
      <c r="AO3715"/>
    </row>
    <row r="3716" spans="1:41" s="2" customFormat="1" x14ac:dyDescent="0.2">
      <c r="A3716"/>
      <c r="B3716"/>
      <c r="C3716"/>
      <c r="D3716"/>
      <c r="E3716"/>
      <c r="F3716"/>
      <c r="G3716"/>
      <c r="U3716"/>
      <c r="V3716"/>
      <c r="W3716"/>
      <c r="X3716"/>
      <c r="Y3716"/>
      <c r="Z3716"/>
      <c r="AA3716"/>
      <c r="AB3716"/>
      <c r="AL3716"/>
      <c r="AM3716"/>
      <c r="AN3716"/>
      <c r="AO3716"/>
    </row>
    <row r="3717" spans="1:41" s="2" customFormat="1" x14ac:dyDescent="0.2">
      <c r="A3717"/>
      <c r="B3717"/>
      <c r="C3717"/>
      <c r="D3717"/>
      <c r="E3717"/>
      <c r="F3717"/>
      <c r="G3717"/>
      <c r="U3717"/>
      <c r="V3717"/>
      <c r="W3717"/>
      <c r="X3717"/>
      <c r="Y3717"/>
      <c r="Z3717"/>
      <c r="AA3717"/>
      <c r="AB3717"/>
      <c r="AL3717"/>
      <c r="AM3717"/>
      <c r="AN3717"/>
      <c r="AO3717"/>
    </row>
    <row r="3718" spans="1:41" s="2" customFormat="1" x14ac:dyDescent="0.2">
      <c r="A3718"/>
      <c r="B3718"/>
      <c r="C3718"/>
      <c r="D3718"/>
      <c r="E3718"/>
      <c r="F3718"/>
      <c r="G3718"/>
      <c r="U3718"/>
      <c r="V3718"/>
      <c r="W3718"/>
      <c r="X3718"/>
      <c r="Y3718"/>
      <c r="Z3718"/>
      <c r="AA3718"/>
      <c r="AB3718"/>
      <c r="AL3718"/>
      <c r="AM3718"/>
      <c r="AN3718"/>
      <c r="AO3718"/>
    </row>
    <row r="3719" spans="1:41" s="2" customFormat="1" x14ac:dyDescent="0.2">
      <c r="A3719"/>
      <c r="B3719"/>
      <c r="C3719"/>
      <c r="D3719"/>
      <c r="E3719"/>
      <c r="F3719"/>
      <c r="G3719"/>
      <c r="U3719"/>
      <c r="V3719"/>
      <c r="W3719"/>
      <c r="X3719"/>
      <c r="Y3719"/>
      <c r="Z3719"/>
      <c r="AA3719"/>
      <c r="AB3719"/>
      <c r="AL3719"/>
      <c r="AM3719"/>
      <c r="AN3719"/>
      <c r="AO3719"/>
    </row>
    <row r="3720" spans="1:41" s="2" customFormat="1" x14ac:dyDescent="0.2">
      <c r="A3720"/>
      <c r="B3720"/>
      <c r="C3720"/>
      <c r="D3720"/>
      <c r="E3720"/>
      <c r="F3720"/>
      <c r="G3720"/>
      <c r="U3720"/>
      <c r="V3720"/>
      <c r="W3720"/>
      <c r="X3720"/>
      <c r="Y3720"/>
      <c r="Z3720"/>
      <c r="AA3720"/>
      <c r="AB3720"/>
      <c r="AL3720"/>
      <c r="AM3720"/>
      <c r="AN3720"/>
      <c r="AO3720"/>
    </row>
    <row r="3721" spans="1:41" s="2" customFormat="1" x14ac:dyDescent="0.2">
      <c r="A3721"/>
      <c r="B3721"/>
      <c r="C3721"/>
      <c r="D3721"/>
      <c r="E3721"/>
      <c r="F3721"/>
      <c r="G3721"/>
      <c r="U3721"/>
      <c r="V3721"/>
      <c r="W3721"/>
      <c r="X3721"/>
      <c r="Y3721"/>
      <c r="Z3721"/>
      <c r="AA3721"/>
      <c r="AB3721"/>
      <c r="AL3721"/>
      <c r="AM3721"/>
      <c r="AN3721"/>
      <c r="AO3721"/>
    </row>
    <row r="3722" spans="1:41" s="2" customFormat="1" x14ac:dyDescent="0.2">
      <c r="A3722"/>
      <c r="B3722"/>
      <c r="C3722"/>
      <c r="D3722"/>
      <c r="E3722"/>
      <c r="F3722"/>
      <c r="G3722"/>
      <c r="U3722"/>
      <c r="V3722"/>
      <c r="W3722"/>
      <c r="X3722"/>
      <c r="Y3722"/>
      <c r="Z3722"/>
      <c r="AA3722"/>
      <c r="AB3722"/>
      <c r="AL3722"/>
      <c r="AM3722"/>
      <c r="AN3722"/>
      <c r="AO3722"/>
    </row>
    <row r="3723" spans="1:41" s="2" customFormat="1" x14ac:dyDescent="0.2">
      <c r="A3723"/>
      <c r="B3723"/>
      <c r="C3723"/>
      <c r="D3723"/>
      <c r="E3723"/>
      <c r="F3723"/>
      <c r="G3723"/>
      <c r="U3723"/>
      <c r="V3723"/>
      <c r="W3723"/>
      <c r="X3723"/>
      <c r="Y3723"/>
      <c r="Z3723"/>
      <c r="AA3723"/>
      <c r="AB3723"/>
      <c r="AL3723"/>
      <c r="AM3723"/>
      <c r="AN3723"/>
      <c r="AO3723"/>
    </row>
    <row r="3724" spans="1:41" s="2" customFormat="1" x14ac:dyDescent="0.2">
      <c r="A3724"/>
      <c r="B3724"/>
      <c r="C3724"/>
      <c r="D3724"/>
      <c r="E3724"/>
      <c r="F3724"/>
      <c r="G3724"/>
      <c r="U3724"/>
      <c r="V3724"/>
      <c r="W3724"/>
      <c r="X3724"/>
      <c r="Y3724"/>
      <c r="Z3724"/>
      <c r="AA3724"/>
      <c r="AB3724"/>
      <c r="AL3724"/>
      <c r="AM3724"/>
      <c r="AN3724"/>
      <c r="AO3724"/>
    </row>
    <row r="3725" spans="1:41" s="2" customFormat="1" x14ac:dyDescent="0.2">
      <c r="A3725"/>
      <c r="B3725"/>
      <c r="C3725"/>
      <c r="D3725"/>
      <c r="E3725"/>
      <c r="F3725"/>
      <c r="G3725"/>
      <c r="U3725"/>
      <c r="V3725"/>
      <c r="W3725"/>
      <c r="X3725"/>
      <c r="Y3725"/>
      <c r="Z3725"/>
      <c r="AA3725"/>
      <c r="AB3725"/>
      <c r="AL3725"/>
      <c r="AM3725"/>
      <c r="AN3725"/>
      <c r="AO3725"/>
    </row>
    <row r="3726" spans="1:41" s="2" customFormat="1" x14ac:dyDescent="0.2">
      <c r="A3726"/>
      <c r="B3726"/>
      <c r="C3726"/>
      <c r="D3726"/>
      <c r="E3726"/>
      <c r="F3726"/>
      <c r="G3726"/>
      <c r="U3726"/>
      <c r="V3726"/>
      <c r="W3726"/>
      <c r="X3726"/>
      <c r="Y3726"/>
      <c r="Z3726"/>
      <c r="AA3726"/>
      <c r="AB3726"/>
      <c r="AL3726"/>
      <c r="AM3726"/>
      <c r="AN3726"/>
      <c r="AO3726"/>
    </row>
    <row r="3727" spans="1:41" s="2" customFormat="1" x14ac:dyDescent="0.2">
      <c r="A3727"/>
      <c r="B3727"/>
      <c r="C3727"/>
      <c r="D3727"/>
      <c r="E3727"/>
      <c r="F3727"/>
      <c r="G3727"/>
      <c r="U3727"/>
      <c r="V3727"/>
      <c r="W3727"/>
      <c r="X3727"/>
      <c r="Y3727"/>
      <c r="Z3727"/>
      <c r="AA3727"/>
      <c r="AB3727"/>
      <c r="AL3727"/>
      <c r="AM3727"/>
      <c r="AN3727"/>
      <c r="AO3727"/>
    </row>
    <row r="3728" spans="1:41" s="2" customFormat="1" x14ac:dyDescent="0.2">
      <c r="A3728"/>
      <c r="B3728"/>
      <c r="C3728"/>
      <c r="D3728"/>
      <c r="E3728"/>
      <c r="F3728"/>
      <c r="G3728"/>
      <c r="U3728"/>
      <c r="V3728"/>
      <c r="W3728"/>
      <c r="X3728"/>
      <c r="Y3728"/>
      <c r="Z3728"/>
      <c r="AA3728"/>
      <c r="AB3728"/>
      <c r="AL3728"/>
      <c r="AM3728"/>
      <c r="AN3728"/>
      <c r="AO3728"/>
    </row>
    <row r="3729" spans="1:41" s="2" customFormat="1" x14ac:dyDescent="0.2">
      <c r="A3729"/>
      <c r="B3729"/>
      <c r="C3729"/>
      <c r="D3729"/>
      <c r="E3729"/>
      <c r="F3729"/>
      <c r="G3729"/>
      <c r="U3729"/>
      <c r="V3729"/>
      <c r="W3729"/>
      <c r="X3729"/>
      <c r="Y3729"/>
      <c r="Z3729"/>
      <c r="AA3729"/>
      <c r="AB3729"/>
      <c r="AL3729"/>
      <c r="AM3729"/>
      <c r="AN3729"/>
      <c r="AO3729"/>
    </row>
    <row r="3730" spans="1:41" s="2" customFormat="1" x14ac:dyDescent="0.2">
      <c r="A3730"/>
      <c r="B3730"/>
      <c r="C3730"/>
      <c r="D3730"/>
      <c r="E3730"/>
      <c r="F3730"/>
      <c r="G3730"/>
      <c r="U3730"/>
      <c r="V3730"/>
      <c r="W3730"/>
      <c r="X3730"/>
      <c r="Y3730"/>
      <c r="Z3730"/>
      <c r="AA3730"/>
      <c r="AB3730"/>
      <c r="AL3730"/>
      <c r="AM3730"/>
      <c r="AN3730"/>
      <c r="AO3730"/>
    </row>
    <row r="3731" spans="1:41" s="2" customFormat="1" x14ac:dyDescent="0.2">
      <c r="A3731"/>
      <c r="B3731"/>
      <c r="C3731"/>
      <c r="D3731"/>
      <c r="E3731"/>
      <c r="F3731"/>
      <c r="G3731"/>
      <c r="U3731"/>
      <c r="V3731"/>
      <c r="W3731"/>
      <c r="X3731"/>
      <c r="Y3731"/>
      <c r="Z3731"/>
      <c r="AA3731"/>
      <c r="AB3731"/>
      <c r="AL3731"/>
      <c r="AM3731"/>
      <c r="AN3731"/>
      <c r="AO3731"/>
    </row>
    <row r="3732" spans="1:41" s="2" customFormat="1" x14ac:dyDescent="0.2">
      <c r="A3732"/>
      <c r="B3732"/>
      <c r="C3732"/>
      <c r="D3732"/>
      <c r="E3732"/>
      <c r="F3732"/>
      <c r="G3732"/>
      <c r="U3732"/>
      <c r="V3732"/>
      <c r="W3732"/>
      <c r="X3732"/>
      <c r="Y3732"/>
      <c r="Z3732"/>
      <c r="AA3732"/>
      <c r="AB3732"/>
      <c r="AL3732"/>
      <c r="AM3732"/>
      <c r="AN3732"/>
      <c r="AO3732"/>
    </row>
    <row r="3733" spans="1:41" s="2" customFormat="1" x14ac:dyDescent="0.2">
      <c r="A3733"/>
      <c r="B3733"/>
      <c r="C3733"/>
      <c r="D3733"/>
      <c r="E3733"/>
      <c r="F3733"/>
      <c r="G3733"/>
      <c r="U3733"/>
      <c r="V3733"/>
      <c r="W3733"/>
      <c r="X3733"/>
      <c r="Y3733"/>
      <c r="Z3733"/>
      <c r="AA3733"/>
      <c r="AB3733"/>
      <c r="AL3733"/>
      <c r="AM3733"/>
      <c r="AN3733"/>
      <c r="AO3733"/>
    </row>
    <row r="3734" spans="1:41" s="2" customFormat="1" x14ac:dyDescent="0.2">
      <c r="A3734"/>
      <c r="B3734"/>
      <c r="C3734"/>
      <c r="D3734"/>
      <c r="E3734"/>
      <c r="F3734"/>
      <c r="G3734"/>
      <c r="U3734"/>
      <c r="V3734"/>
      <c r="W3734"/>
      <c r="X3734"/>
      <c r="Y3734"/>
      <c r="Z3734"/>
      <c r="AA3734"/>
      <c r="AB3734"/>
      <c r="AL3734"/>
      <c r="AM3734"/>
      <c r="AN3734"/>
      <c r="AO3734"/>
    </row>
    <row r="3735" spans="1:41" s="2" customFormat="1" x14ac:dyDescent="0.2">
      <c r="A3735"/>
      <c r="B3735"/>
      <c r="C3735"/>
      <c r="D3735"/>
      <c r="E3735"/>
      <c r="F3735"/>
      <c r="G3735"/>
      <c r="U3735"/>
      <c r="V3735"/>
      <c r="W3735"/>
      <c r="X3735"/>
      <c r="Y3735"/>
      <c r="Z3735"/>
      <c r="AA3735"/>
      <c r="AB3735"/>
      <c r="AL3735"/>
      <c r="AM3735"/>
      <c r="AN3735"/>
      <c r="AO3735"/>
    </row>
    <row r="3736" spans="1:41" s="2" customFormat="1" x14ac:dyDescent="0.2">
      <c r="A3736"/>
      <c r="B3736"/>
      <c r="C3736"/>
      <c r="D3736"/>
      <c r="E3736"/>
      <c r="F3736"/>
      <c r="G3736"/>
      <c r="U3736"/>
      <c r="V3736"/>
      <c r="W3736"/>
      <c r="X3736"/>
      <c r="Y3736"/>
      <c r="Z3736"/>
      <c r="AA3736"/>
      <c r="AB3736"/>
      <c r="AL3736"/>
      <c r="AM3736"/>
      <c r="AN3736"/>
      <c r="AO3736"/>
    </row>
    <row r="3737" spans="1:41" s="2" customFormat="1" x14ac:dyDescent="0.2">
      <c r="A3737"/>
      <c r="B3737"/>
      <c r="C3737"/>
      <c r="D3737"/>
      <c r="E3737"/>
      <c r="F3737"/>
      <c r="G3737"/>
      <c r="U3737"/>
      <c r="V3737"/>
      <c r="W3737"/>
      <c r="X3737"/>
      <c r="Y3737"/>
      <c r="Z3737"/>
      <c r="AA3737"/>
      <c r="AB3737"/>
      <c r="AL3737"/>
      <c r="AM3737"/>
      <c r="AN3737"/>
      <c r="AO3737"/>
    </row>
    <row r="3738" spans="1:41" s="2" customFormat="1" x14ac:dyDescent="0.2">
      <c r="A3738"/>
      <c r="B3738"/>
      <c r="C3738"/>
      <c r="D3738"/>
      <c r="E3738"/>
      <c r="F3738"/>
      <c r="G3738"/>
      <c r="U3738"/>
      <c r="V3738"/>
      <c r="W3738"/>
      <c r="X3738"/>
      <c r="Y3738"/>
      <c r="Z3738"/>
      <c r="AA3738"/>
      <c r="AB3738"/>
      <c r="AL3738"/>
      <c r="AM3738"/>
      <c r="AN3738"/>
      <c r="AO3738"/>
    </row>
    <row r="3739" spans="1:41" s="2" customFormat="1" x14ac:dyDescent="0.2">
      <c r="A3739"/>
      <c r="B3739"/>
      <c r="C3739"/>
      <c r="D3739"/>
      <c r="E3739"/>
      <c r="F3739"/>
      <c r="G3739"/>
      <c r="U3739"/>
      <c r="V3739"/>
      <c r="W3739"/>
      <c r="X3739"/>
      <c r="Y3739"/>
      <c r="Z3739"/>
      <c r="AA3739"/>
      <c r="AB3739"/>
      <c r="AL3739"/>
      <c r="AM3739"/>
      <c r="AN3739"/>
      <c r="AO3739"/>
    </row>
    <row r="3740" spans="1:41" s="2" customFormat="1" x14ac:dyDescent="0.2">
      <c r="A3740"/>
      <c r="B3740"/>
      <c r="C3740"/>
      <c r="D3740"/>
      <c r="E3740"/>
      <c r="F3740"/>
      <c r="G3740"/>
      <c r="U3740"/>
      <c r="V3740"/>
      <c r="W3740"/>
      <c r="X3740"/>
      <c r="Y3740"/>
      <c r="Z3740"/>
      <c r="AA3740"/>
      <c r="AB3740"/>
      <c r="AL3740"/>
      <c r="AM3740"/>
      <c r="AN3740"/>
      <c r="AO3740"/>
    </row>
    <row r="3741" spans="1:41" s="2" customFormat="1" x14ac:dyDescent="0.2">
      <c r="A3741"/>
      <c r="B3741"/>
      <c r="C3741"/>
      <c r="D3741"/>
      <c r="E3741"/>
      <c r="F3741"/>
      <c r="G3741"/>
      <c r="U3741"/>
      <c r="V3741"/>
      <c r="W3741"/>
      <c r="X3741"/>
      <c r="Y3741"/>
      <c r="Z3741"/>
      <c r="AA3741"/>
      <c r="AB3741"/>
      <c r="AL3741"/>
      <c r="AM3741"/>
      <c r="AN3741"/>
      <c r="AO3741"/>
    </row>
    <row r="3742" spans="1:41" s="2" customFormat="1" x14ac:dyDescent="0.2">
      <c r="A3742"/>
      <c r="B3742"/>
      <c r="C3742"/>
      <c r="D3742"/>
      <c r="E3742"/>
      <c r="F3742"/>
      <c r="G3742"/>
      <c r="U3742"/>
      <c r="V3742"/>
      <c r="W3742"/>
      <c r="X3742"/>
      <c r="Y3742"/>
      <c r="Z3742"/>
      <c r="AA3742"/>
      <c r="AB3742"/>
      <c r="AL3742"/>
      <c r="AM3742"/>
      <c r="AN3742"/>
      <c r="AO3742"/>
    </row>
    <row r="3743" spans="1:41" s="2" customFormat="1" x14ac:dyDescent="0.2">
      <c r="A3743"/>
      <c r="B3743"/>
      <c r="C3743"/>
      <c r="D3743"/>
      <c r="E3743"/>
      <c r="F3743"/>
      <c r="G3743"/>
      <c r="U3743"/>
      <c r="V3743"/>
      <c r="W3743"/>
      <c r="X3743"/>
      <c r="Y3743"/>
      <c r="Z3743"/>
      <c r="AA3743"/>
      <c r="AB3743"/>
      <c r="AL3743"/>
      <c r="AM3743"/>
      <c r="AN3743"/>
      <c r="AO3743"/>
    </row>
    <row r="3744" spans="1:41" s="2" customFormat="1" x14ac:dyDescent="0.2">
      <c r="A3744"/>
      <c r="B3744"/>
      <c r="C3744"/>
      <c r="D3744"/>
      <c r="E3744"/>
      <c r="F3744"/>
      <c r="G3744"/>
      <c r="U3744"/>
      <c r="V3744"/>
      <c r="W3744"/>
      <c r="X3744"/>
      <c r="Y3744"/>
      <c r="Z3744"/>
      <c r="AA3744"/>
      <c r="AB3744"/>
      <c r="AL3744"/>
      <c r="AM3744"/>
      <c r="AN3744"/>
      <c r="AO3744"/>
    </row>
    <row r="3745" spans="1:41" s="2" customFormat="1" x14ac:dyDescent="0.2">
      <c r="A3745"/>
      <c r="B3745"/>
      <c r="C3745"/>
      <c r="D3745"/>
      <c r="E3745"/>
      <c r="F3745"/>
      <c r="G3745"/>
      <c r="U3745"/>
      <c r="V3745"/>
      <c r="W3745"/>
      <c r="X3745"/>
      <c r="Y3745"/>
      <c r="Z3745"/>
      <c r="AA3745"/>
      <c r="AB3745"/>
      <c r="AL3745"/>
      <c r="AM3745"/>
      <c r="AN3745"/>
      <c r="AO3745"/>
    </row>
    <row r="3746" spans="1:41" s="2" customFormat="1" x14ac:dyDescent="0.2">
      <c r="A3746"/>
      <c r="B3746"/>
      <c r="C3746"/>
      <c r="D3746"/>
      <c r="E3746"/>
      <c r="F3746"/>
      <c r="G3746"/>
      <c r="U3746"/>
      <c r="V3746"/>
      <c r="W3746"/>
      <c r="X3746"/>
      <c r="Y3746"/>
      <c r="Z3746"/>
      <c r="AA3746"/>
      <c r="AB3746"/>
      <c r="AL3746"/>
      <c r="AM3746"/>
      <c r="AN3746"/>
      <c r="AO3746"/>
    </row>
    <row r="3747" spans="1:41" s="2" customFormat="1" x14ac:dyDescent="0.2">
      <c r="A3747"/>
      <c r="B3747"/>
      <c r="C3747"/>
      <c r="D3747"/>
      <c r="E3747"/>
      <c r="F3747"/>
      <c r="G3747"/>
      <c r="U3747"/>
      <c r="V3747"/>
      <c r="W3747"/>
      <c r="X3747"/>
      <c r="Y3747"/>
      <c r="Z3747"/>
      <c r="AA3747"/>
      <c r="AB3747"/>
      <c r="AL3747"/>
      <c r="AM3747"/>
      <c r="AN3747"/>
      <c r="AO3747"/>
    </row>
    <row r="3748" spans="1:41" s="2" customFormat="1" x14ac:dyDescent="0.2">
      <c r="A3748"/>
      <c r="B3748"/>
      <c r="C3748"/>
      <c r="D3748"/>
      <c r="E3748"/>
      <c r="F3748"/>
      <c r="G3748"/>
      <c r="U3748"/>
      <c r="V3748"/>
      <c r="W3748"/>
      <c r="X3748"/>
      <c r="Y3748"/>
      <c r="Z3748"/>
      <c r="AA3748"/>
      <c r="AB3748"/>
      <c r="AL3748"/>
      <c r="AM3748"/>
      <c r="AN3748"/>
      <c r="AO3748"/>
    </row>
    <row r="3749" spans="1:41" s="2" customFormat="1" x14ac:dyDescent="0.2">
      <c r="A3749"/>
      <c r="B3749"/>
      <c r="C3749"/>
      <c r="D3749"/>
      <c r="E3749"/>
      <c r="F3749"/>
      <c r="G3749"/>
      <c r="U3749"/>
      <c r="V3749"/>
      <c r="W3749"/>
      <c r="X3749"/>
      <c r="Y3749"/>
      <c r="Z3749"/>
      <c r="AA3749"/>
      <c r="AB3749"/>
      <c r="AL3749"/>
      <c r="AM3749"/>
      <c r="AN3749"/>
      <c r="AO3749"/>
    </row>
    <row r="3750" spans="1:41" s="2" customFormat="1" x14ac:dyDescent="0.2">
      <c r="A3750"/>
      <c r="B3750"/>
      <c r="C3750"/>
      <c r="D3750"/>
      <c r="E3750"/>
      <c r="F3750"/>
      <c r="G3750"/>
      <c r="U3750"/>
      <c r="V3750"/>
      <c r="W3750"/>
      <c r="X3750"/>
      <c r="Y3750"/>
      <c r="Z3750"/>
      <c r="AA3750"/>
      <c r="AB3750"/>
      <c r="AL3750"/>
      <c r="AM3750"/>
      <c r="AN3750"/>
      <c r="AO3750"/>
    </row>
    <row r="3751" spans="1:41" s="2" customFormat="1" x14ac:dyDescent="0.2">
      <c r="A3751"/>
      <c r="B3751"/>
      <c r="C3751"/>
      <c r="D3751"/>
      <c r="E3751"/>
      <c r="F3751"/>
      <c r="G3751"/>
      <c r="U3751"/>
      <c r="V3751"/>
      <c r="W3751"/>
      <c r="X3751"/>
      <c r="Y3751"/>
      <c r="Z3751"/>
      <c r="AA3751"/>
      <c r="AB3751"/>
      <c r="AL3751"/>
      <c r="AM3751"/>
      <c r="AN3751"/>
      <c r="AO3751"/>
    </row>
    <row r="3752" spans="1:41" s="2" customFormat="1" x14ac:dyDescent="0.2">
      <c r="A3752"/>
      <c r="B3752"/>
      <c r="C3752"/>
      <c r="D3752"/>
      <c r="E3752"/>
      <c r="F3752"/>
      <c r="G3752"/>
      <c r="U3752"/>
      <c r="V3752"/>
      <c r="W3752"/>
      <c r="X3752"/>
      <c r="Y3752"/>
      <c r="Z3752"/>
      <c r="AA3752"/>
      <c r="AB3752"/>
      <c r="AL3752"/>
      <c r="AM3752"/>
      <c r="AN3752"/>
      <c r="AO3752"/>
    </row>
    <row r="3753" spans="1:41" s="2" customFormat="1" x14ac:dyDescent="0.2">
      <c r="A3753"/>
      <c r="B3753"/>
      <c r="C3753"/>
      <c r="D3753"/>
      <c r="E3753"/>
      <c r="F3753"/>
      <c r="G3753"/>
      <c r="U3753"/>
      <c r="V3753"/>
      <c r="W3753"/>
      <c r="X3753"/>
      <c r="Y3753"/>
      <c r="Z3753"/>
      <c r="AA3753"/>
      <c r="AB3753"/>
      <c r="AL3753"/>
      <c r="AM3753"/>
      <c r="AN3753"/>
      <c r="AO3753"/>
    </row>
    <row r="3754" spans="1:41" s="2" customFormat="1" x14ac:dyDescent="0.2">
      <c r="A3754"/>
      <c r="B3754"/>
      <c r="C3754"/>
      <c r="D3754"/>
      <c r="E3754"/>
      <c r="F3754"/>
      <c r="G3754"/>
      <c r="U3754"/>
      <c r="V3754"/>
      <c r="W3754"/>
      <c r="X3754"/>
      <c r="Y3754"/>
      <c r="Z3754"/>
      <c r="AA3754"/>
      <c r="AB3754"/>
      <c r="AL3754"/>
      <c r="AM3754"/>
      <c r="AN3754"/>
      <c r="AO3754"/>
    </row>
    <row r="3755" spans="1:41" s="2" customFormat="1" x14ac:dyDescent="0.2">
      <c r="A3755"/>
      <c r="B3755"/>
      <c r="C3755"/>
      <c r="D3755"/>
      <c r="E3755"/>
      <c r="F3755"/>
      <c r="G3755"/>
      <c r="U3755"/>
      <c r="V3755"/>
      <c r="W3755"/>
      <c r="X3755"/>
      <c r="Y3755"/>
      <c r="Z3755"/>
      <c r="AA3755"/>
      <c r="AB3755"/>
      <c r="AL3755"/>
      <c r="AM3755"/>
      <c r="AN3755"/>
      <c r="AO3755"/>
    </row>
    <row r="3756" spans="1:41" s="2" customFormat="1" x14ac:dyDescent="0.2">
      <c r="A3756"/>
      <c r="B3756"/>
      <c r="C3756"/>
      <c r="D3756"/>
      <c r="E3756"/>
      <c r="F3756"/>
      <c r="G3756"/>
      <c r="U3756"/>
      <c r="V3756"/>
      <c r="W3756"/>
      <c r="X3756"/>
      <c r="Y3756"/>
      <c r="Z3756"/>
      <c r="AA3756"/>
      <c r="AB3756"/>
      <c r="AL3756"/>
      <c r="AM3756"/>
      <c r="AN3756"/>
      <c r="AO3756"/>
    </row>
    <row r="3757" spans="1:41" s="2" customFormat="1" x14ac:dyDescent="0.2">
      <c r="A3757"/>
      <c r="B3757"/>
      <c r="C3757"/>
      <c r="D3757"/>
      <c r="E3757"/>
      <c r="F3757"/>
      <c r="G3757"/>
      <c r="U3757"/>
      <c r="V3757"/>
      <c r="W3757"/>
      <c r="X3757"/>
      <c r="Y3757"/>
      <c r="Z3757"/>
      <c r="AA3757"/>
      <c r="AB3757"/>
      <c r="AL3757"/>
      <c r="AM3757"/>
      <c r="AN3757"/>
      <c r="AO3757"/>
    </row>
    <row r="3758" spans="1:41" s="2" customFormat="1" x14ac:dyDescent="0.2">
      <c r="A3758"/>
      <c r="B3758"/>
      <c r="C3758"/>
      <c r="D3758"/>
      <c r="E3758"/>
      <c r="F3758"/>
      <c r="G3758"/>
      <c r="U3758"/>
      <c r="V3758"/>
      <c r="W3758"/>
      <c r="X3758"/>
      <c r="Y3758"/>
      <c r="Z3758"/>
      <c r="AA3758"/>
      <c r="AB3758"/>
      <c r="AL3758"/>
      <c r="AM3758"/>
      <c r="AN3758"/>
      <c r="AO3758"/>
    </row>
    <row r="3759" spans="1:41" s="2" customFormat="1" x14ac:dyDescent="0.2">
      <c r="A3759"/>
      <c r="B3759"/>
      <c r="C3759"/>
      <c r="D3759"/>
      <c r="E3759"/>
      <c r="F3759"/>
      <c r="G3759"/>
      <c r="U3759"/>
      <c r="V3759"/>
      <c r="W3759"/>
      <c r="X3759"/>
      <c r="Y3759"/>
      <c r="Z3759"/>
      <c r="AA3759"/>
      <c r="AB3759"/>
      <c r="AL3759"/>
      <c r="AM3759"/>
      <c r="AN3759"/>
      <c r="AO3759"/>
    </row>
    <row r="3760" spans="1:41" s="2" customFormat="1" x14ac:dyDescent="0.2">
      <c r="A3760"/>
      <c r="B3760"/>
      <c r="C3760"/>
      <c r="D3760"/>
      <c r="E3760"/>
      <c r="F3760"/>
      <c r="G3760"/>
      <c r="U3760"/>
      <c r="V3760"/>
      <c r="W3760"/>
      <c r="X3760"/>
      <c r="Y3760"/>
      <c r="Z3760"/>
      <c r="AA3760"/>
      <c r="AB3760"/>
      <c r="AL3760"/>
      <c r="AM3760"/>
      <c r="AN3760"/>
      <c r="AO3760"/>
    </row>
    <row r="3761" spans="1:41" s="2" customFormat="1" x14ac:dyDescent="0.2">
      <c r="A3761"/>
      <c r="B3761"/>
      <c r="C3761"/>
      <c r="D3761"/>
      <c r="E3761"/>
      <c r="F3761"/>
      <c r="G3761"/>
      <c r="U3761"/>
      <c r="V3761"/>
      <c r="W3761"/>
      <c r="X3761"/>
      <c r="Y3761"/>
      <c r="Z3761"/>
      <c r="AA3761"/>
      <c r="AB3761"/>
      <c r="AL3761"/>
      <c r="AM3761"/>
      <c r="AN3761"/>
      <c r="AO3761"/>
    </row>
    <row r="3762" spans="1:41" s="2" customFormat="1" x14ac:dyDescent="0.2">
      <c r="A3762"/>
      <c r="B3762"/>
      <c r="C3762"/>
      <c r="D3762"/>
      <c r="E3762"/>
      <c r="F3762"/>
      <c r="G3762"/>
      <c r="U3762"/>
      <c r="V3762"/>
      <c r="W3762"/>
      <c r="X3762"/>
      <c r="Y3762"/>
      <c r="Z3762"/>
      <c r="AA3762"/>
      <c r="AB3762"/>
      <c r="AL3762"/>
      <c r="AM3762"/>
      <c r="AN3762"/>
      <c r="AO3762"/>
    </row>
    <row r="3763" spans="1:41" s="2" customFormat="1" x14ac:dyDescent="0.2">
      <c r="A3763"/>
      <c r="B3763"/>
      <c r="C3763"/>
      <c r="D3763"/>
      <c r="E3763"/>
      <c r="F3763"/>
      <c r="G3763"/>
      <c r="U3763"/>
      <c r="V3763"/>
      <c r="W3763"/>
      <c r="X3763"/>
      <c r="Y3763"/>
      <c r="Z3763"/>
      <c r="AA3763"/>
      <c r="AB3763"/>
      <c r="AL3763"/>
      <c r="AM3763"/>
      <c r="AN3763"/>
      <c r="AO3763"/>
    </row>
    <row r="3764" spans="1:41" s="2" customFormat="1" x14ac:dyDescent="0.2">
      <c r="A3764"/>
      <c r="B3764"/>
      <c r="C3764"/>
      <c r="D3764"/>
      <c r="E3764"/>
      <c r="F3764"/>
      <c r="G3764"/>
      <c r="U3764"/>
      <c r="V3764"/>
      <c r="W3764"/>
      <c r="X3764"/>
      <c r="Y3764"/>
      <c r="Z3764"/>
      <c r="AA3764"/>
      <c r="AB3764"/>
      <c r="AL3764"/>
      <c r="AM3764"/>
      <c r="AN3764"/>
      <c r="AO3764"/>
    </row>
    <row r="3765" spans="1:41" s="2" customFormat="1" x14ac:dyDescent="0.2">
      <c r="A3765"/>
      <c r="B3765"/>
      <c r="C3765"/>
      <c r="D3765"/>
      <c r="E3765"/>
      <c r="F3765"/>
      <c r="G3765"/>
      <c r="U3765"/>
      <c r="V3765"/>
      <c r="W3765"/>
      <c r="X3765"/>
      <c r="Y3765"/>
      <c r="Z3765"/>
      <c r="AA3765"/>
      <c r="AB3765"/>
      <c r="AL3765"/>
      <c r="AM3765"/>
      <c r="AN3765"/>
      <c r="AO3765"/>
    </row>
    <row r="3766" spans="1:41" s="2" customFormat="1" x14ac:dyDescent="0.2">
      <c r="A3766"/>
      <c r="B3766"/>
      <c r="C3766"/>
      <c r="D3766"/>
      <c r="E3766"/>
      <c r="F3766"/>
      <c r="G3766"/>
      <c r="U3766"/>
      <c r="V3766"/>
      <c r="W3766"/>
      <c r="X3766"/>
      <c r="Y3766"/>
      <c r="Z3766"/>
      <c r="AA3766"/>
      <c r="AB3766"/>
      <c r="AL3766"/>
      <c r="AM3766"/>
      <c r="AN3766"/>
      <c r="AO3766"/>
    </row>
    <row r="3767" spans="1:41" s="2" customFormat="1" x14ac:dyDescent="0.2">
      <c r="A3767"/>
      <c r="B3767"/>
      <c r="C3767"/>
      <c r="D3767"/>
      <c r="E3767"/>
      <c r="F3767"/>
      <c r="G3767"/>
      <c r="U3767"/>
      <c r="V3767"/>
      <c r="W3767"/>
      <c r="X3767"/>
      <c r="Y3767"/>
      <c r="Z3767"/>
      <c r="AA3767"/>
      <c r="AB3767"/>
      <c r="AL3767"/>
      <c r="AM3767"/>
      <c r="AN3767"/>
      <c r="AO3767"/>
    </row>
    <row r="3768" spans="1:41" s="2" customFormat="1" x14ac:dyDescent="0.2">
      <c r="A3768"/>
      <c r="B3768"/>
      <c r="C3768"/>
      <c r="D3768"/>
      <c r="E3768"/>
      <c r="F3768"/>
      <c r="G3768"/>
      <c r="U3768"/>
      <c r="V3768"/>
      <c r="W3768"/>
      <c r="X3768"/>
      <c r="Y3768"/>
      <c r="Z3768"/>
      <c r="AA3768"/>
      <c r="AB3768"/>
      <c r="AL3768"/>
      <c r="AM3768"/>
      <c r="AN3768"/>
      <c r="AO3768"/>
    </row>
    <row r="3769" spans="1:41" s="2" customFormat="1" x14ac:dyDescent="0.2">
      <c r="A3769"/>
      <c r="B3769"/>
      <c r="C3769"/>
      <c r="D3769"/>
      <c r="E3769"/>
      <c r="F3769"/>
      <c r="G3769"/>
      <c r="U3769"/>
      <c r="V3769"/>
      <c r="W3769"/>
      <c r="X3769"/>
      <c r="Y3769"/>
      <c r="Z3769"/>
      <c r="AA3769"/>
      <c r="AB3769"/>
      <c r="AL3769"/>
      <c r="AM3769"/>
      <c r="AN3769"/>
      <c r="AO3769"/>
    </row>
    <row r="3770" spans="1:41" s="2" customFormat="1" x14ac:dyDescent="0.2">
      <c r="A3770"/>
      <c r="B3770"/>
      <c r="C3770"/>
      <c r="D3770"/>
      <c r="E3770"/>
      <c r="F3770"/>
      <c r="G3770"/>
      <c r="U3770"/>
      <c r="V3770"/>
      <c r="W3770"/>
      <c r="X3770"/>
      <c r="Y3770"/>
      <c r="Z3770"/>
      <c r="AA3770"/>
      <c r="AB3770"/>
      <c r="AL3770"/>
      <c r="AM3770"/>
      <c r="AN3770"/>
      <c r="AO3770"/>
    </row>
    <row r="3771" spans="1:41" s="2" customFormat="1" x14ac:dyDescent="0.2">
      <c r="A3771"/>
      <c r="B3771"/>
      <c r="C3771"/>
      <c r="D3771"/>
      <c r="E3771"/>
      <c r="F3771"/>
      <c r="G3771"/>
      <c r="U3771"/>
      <c r="V3771"/>
      <c r="W3771"/>
      <c r="X3771"/>
      <c r="Y3771"/>
      <c r="Z3771"/>
      <c r="AA3771"/>
      <c r="AB3771"/>
      <c r="AL3771"/>
      <c r="AM3771"/>
      <c r="AN3771"/>
      <c r="AO3771"/>
    </row>
    <row r="3772" spans="1:41" s="2" customFormat="1" x14ac:dyDescent="0.2">
      <c r="A3772"/>
      <c r="B3772"/>
      <c r="C3772"/>
      <c r="D3772"/>
      <c r="E3772"/>
      <c r="F3772"/>
      <c r="G3772"/>
      <c r="U3772"/>
      <c r="V3772"/>
      <c r="W3772"/>
      <c r="X3772"/>
      <c r="Y3772"/>
      <c r="Z3772"/>
      <c r="AA3772"/>
      <c r="AB3772"/>
      <c r="AL3772"/>
      <c r="AM3772"/>
      <c r="AN3772"/>
      <c r="AO3772"/>
    </row>
    <row r="3773" spans="1:41" s="2" customFormat="1" x14ac:dyDescent="0.2">
      <c r="A3773"/>
      <c r="B3773"/>
      <c r="C3773"/>
      <c r="D3773"/>
      <c r="E3773"/>
      <c r="F3773"/>
      <c r="G3773"/>
      <c r="U3773"/>
      <c r="V3773"/>
      <c r="W3773"/>
      <c r="X3773"/>
      <c r="Y3773"/>
      <c r="Z3773"/>
      <c r="AA3773"/>
      <c r="AB3773"/>
      <c r="AL3773"/>
      <c r="AM3773"/>
      <c r="AN3773"/>
      <c r="AO3773"/>
    </row>
    <row r="3774" spans="1:41" s="2" customFormat="1" x14ac:dyDescent="0.2">
      <c r="A3774"/>
      <c r="B3774"/>
      <c r="C3774"/>
      <c r="D3774"/>
      <c r="E3774"/>
      <c r="F3774"/>
      <c r="G3774"/>
      <c r="U3774"/>
      <c r="V3774"/>
      <c r="W3774"/>
      <c r="X3774"/>
      <c r="Y3774"/>
      <c r="Z3774"/>
      <c r="AA3774"/>
      <c r="AB3774"/>
      <c r="AL3774"/>
      <c r="AM3774"/>
      <c r="AN3774"/>
      <c r="AO3774"/>
    </row>
    <row r="3775" spans="1:41" s="2" customFormat="1" x14ac:dyDescent="0.2">
      <c r="A3775"/>
      <c r="B3775"/>
      <c r="C3775"/>
      <c r="D3775"/>
      <c r="E3775"/>
      <c r="F3775"/>
      <c r="G3775"/>
      <c r="U3775"/>
      <c r="V3775"/>
      <c r="W3775"/>
      <c r="X3775"/>
      <c r="Y3775"/>
      <c r="Z3775"/>
      <c r="AA3775"/>
      <c r="AB3775"/>
      <c r="AL3775"/>
      <c r="AM3775"/>
      <c r="AN3775"/>
      <c r="AO3775"/>
    </row>
    <row r="3776" spans="1:41" s="2" customFormat="1" x14ac:dyDescent="0.2">
      <c r="A3776"/>
      <c r="B3776"/>
      <c r="C3776"/>
      <c r="D3776"/>
      <c r="E3776"/>
      <c r="F3776"/>
      <c r="G3776"/>
      <c r="U3776"/>
      <c r="V3776"/>
      <c r="W3776"/>
      <c r="X3776"/>
      <c r="Y3776"/>
      <c r="Z3776"/>
      <c r="AA3776"/>
      <c r="AB3776"/>
      <c r="AL3776"/>
      <c r="AM3776"/>
      <c r="AN3776"/>
      <c r="AO3776"/>
    </row>
    <row r="3777" spans="1:41" s="2" customFormat="1" x14ac:dyDescent="0.2">
      <c r="A3777"/>
      <c r="B3777"/>
      <c r="C3777"/>
      <c r="D3777"/>
      <c r="E3777"/>
      <c r="F3777"/>
      <c r="G3777"/>
      <c r="U3777"/>
      <c r="V3777"/>
      <c r="W3777"/>
      <c r="X3777"/>
      <c r="Y3777"/>
      <c r="Z3777"/>
      <c r="AA3777"/>
      <c r="AB3777"/>
      <c r="AL3777"/>
      <c r="AM3777"/>
      <c r="AN3777"/>
      <c r="AO3777"/>
    </row>
    <row r="3778" spans="1:41" s="2" customFormat="1" x14ac:dyDescent="0.2">
      <c r="A3778"/>
      <c r="B3778"/>
      <c r="C3778"/>
      <c r="D3778"/>
      <c r="E3778"/>
      <c r="F3778"/>
      <c r="G3778"/>
      <c r="U3778"/>
      <c r="V3778"/>
      <c r="W3778"/>
      <c r="X3778"/>
      <c r="Y3778"/>
      <c r="Z3778"/>
      <c r="AA3778"/>
      <c r="AB3778"/>
      <c r="AL3778"/>
      <c r="AM3778"/>
      <c r="AN3778"/>
      <c r="AO3778"/>
    </row>
    <row r="3779" spans="1:41" s="2" customFormat="1" x14ac:dyDescent="0.2">
      <c r="A3779"/>
      <c r="B3779"/>
      <c r="C3779"/>
      <c r="D3779"/>
      <c r="E3779"/>
      <c r="F3779"/>
      <c r="G3779"/>
      <c r="U3779"/>
      <c r="V3779"/>
      <c r="W3779"/>
      <c r="X3779"/>
      <c r="Y3779"/>
      <c r="Z3779"/>
      <c r="AA3779"/>
      <c r="AB3779"/>
      <c r="AL3779"/>
      <c r="AM3779"/>
      <c r="AN3779"/>
      <c r="AO3779"/>
    </row>
    <row r="3780" spans="1:41" s="2" customFormat="1" x14ac:dyDescent="0.2">
      <c r="A3780"/>
      <c r="B3780"/>
      <c r="C3780"/>
      <c r="D3780"/>
      <c r="E3780"/>
      <c r="F3780"/>
      <c r="G3780"/>
      <c r="U3780"/>
      <c r="V3780"/>
      <c r="W3780"/>
      <c r="X3780"/>
      <c r="Y3780"/>
      <c r="Z3780"/>
      <c r="AA3780"/>
      <c r="AB3780"/>
      <c r="AL3780"/>
      <c r="AM3780"/>
      <c r="AN3780"/>
      <c r="AO3780"/>
    </row>
    <row r="3781" spans="1:41" s="2" customFormat="1" x14ac:dyDescent="0.2">
      <c r="A3781"/>
      <c r="B3781"/>
      <c r="C3781"/>
      <c r="D3781"/>
      <c r="E3781"/>
      <c r="F3781"/>
      <c r="G3781"/>
      <c r="U3781"/>
      <c r="V3781"/>
      <c r="W3781"/>
      <c r="X3781"/>
      <c r="Y3781"/>
      <c r="Z3781"/>
      <c r="AA3781"/>
      <c r="AB3781"/>
      <c r="AL3781"/>
      <c r="AM3781"/>
      <c r="AN3781"/>
      <c r="AO3781"/>
    </row>
    <row r="3782" spans="1:41" s="2" customFormat="1" x14ac:dyDescent="0.2">
      <c r="A3782"/>
      <c r="B3782"/>
      <c r="C3782"/>
      <c r="D3782"/>
      <c r="E3782"/>
      <c r="F3782"/>
      <c r="G3782"/>
      <c r="U3782"/>
      <c r="V3782"/>
      <c r="W3782"/>
      <c r="X3782"/>
      <c r="Y3782"/>
      <c r="Z3782"/>
      <c r="AA3782"/>
      <c r="AB3782"/>
      <c r="AL3782"/>
      <c r="AM3782"/>
      <c r="AN3782"/>
      <c r="AO3782"/>
    </row>
    <row r="3783" spans="1:41" s="2" customFormat="1" x14ac:dyDescent="0.2">
      <c r="A3783"/>
      <c r="B3783"/>
      <c r="C3783"/>
      <c r="D3783"/>
      <c r="E3783"/>
      <c r="F3783"/>
      <c r="G3783"/>
      <c r="U3783"/>
      <c r="V3783"/>
      <c r="W3783"/>
      <c r="X3783"/>
      <c r="Y3783"/>
      <c r="Z3783"/>
      <c r="AA3783"/>
      <c r="AB3783"/>
      <c r="AL3783"/>
      <c r="AM3783"/>
      <c r="AN3783"/>
      <c r="AO3783"/>
    </row>
    <row r="3784" spans="1:41" s="2" customFormat="1" x14ac:dyDescent="0.2">
      <c r="A3784"/>
      <c r="B3784"/>
      <c r="C3784"/>
      <c r="D3784"/>
      <c r="E3784"/>
      <c r="F3784"/>
      <c r="G3784"/>
      <c r="U3784"/>
      <c r="V3784"/>
      <c r="W3784"/>
      <c r="X3784"/>
      <c r="Y3784"/>
      <c r="Z3784"/>
      <c r="AA3784"/>
      <c r="AB3784"/>
      <c r="AL3784"/>
      <c r="AM3784"/>
      <c r="AN3784"/>
      <c r="AO3784"/>
    </row>
    <row r="3785" spans="1:41" s="2" customFormat="1" x14ac:dyDescent="0.2">
      <c r="A3785"/>
      <c r="B3785"/>
      <c r="C3785"/>
      <c r="D3785"/>
      <c r="E3785"/>
      <c r="F3785"/>
      <c r="G3785"/>
      <c r="U3785"/>
      <c r="V3785"/>
      <c r="W3785"/>
      <c r="X3785"/>
      <c r="Y3785"/>
      <c r="Z3785"/>
      <c r="AA3785"/>
      <c r="AB3785"/>
      <c r="AL3785"/>
      <c r="AM3785"/>
      <c r="AN3785"/>
      <c r="AO3785"/>
    </row>
    <row r="3786" spans="1:41" s="2" customFormat="1" x14ac:dyDescent="0.2">
      <c r="A3786"/>
      <c r="B3786"/>
      <c r="C3786"/>
      <c r="D3786"/>
      <c r="E3786"/>
      <c r="F3786"/>
      <c r="G3786"/>
      <c r="U3786"/>
      <c r="V3786"/>
      <c r="W3786"/>
      <c r="X3786"/>
      <c r="Y3786"/>
      <c r="Z3786"/>
      <c r="AA3786"/>
      <c r="AB3786"/>
      <c r="AL3786"/>
      <c r="AM3786"/>
      <c r="AN3786"/>
      <c r="AO3786"/>
    </row>
    <row r="3787" spans="1:41" s="2" customFormat="1" x14ac:dyDescent="0.2">
      <c r="A3787"/>
      <c r="B3787"/>
      <c r="C3787"/>
      <c r="D3787"/>
      <c r="E3787"/>
      <c r="F3787"/>
      <c r="G3787"/>
      <c r="U3787"/>
      <c r="V3787"/>
      <c r="W3787"/>
      <c r="X3787"/>
      <c r="Y3787"/>
      <c r="Z3787"/>
      <c r="AA3787"/>
      <c r="AB3787"/>
      <c r="AL3787"/>
      <c r="AM3787"/>
      <c r="AN3787"/>
      <c r="AO3787"/>
    </row>
    <row r="3788" spans="1:41" s="2" customFormat="1" x14ac:dyDescent="0.2">
      <c r="A3788"/>
      <c r="B3788"/>
      <c r="C3788"/>
      <c r="D3788"/>
      <c r="E3788"/>
      <c r="F3788"/>
      <c r="G3788"/>
      <c r="U3788"/>
      <c r="V3788"/>
      <c r="W3788"/>
      <c r="X3788"/>
      <c r="Y3788"/>
      <c r="Z3788"/>
      <c r="AA3788"/>
      <c r="AB3788"/>
      <c r="AL3788"/>
      <c r="AM3788"/>
      <c r="AN3788"/>
      <c r="AO3788"/>
    </row>
    <row r="3789" spans="1:41" s="2" customFormat="1" x14ac:dyDescent="0.2">
      <c r="A3789"/>
      <c r="B3789"/>
      <c r="C3789"/>
      <c r="D3789"/>
      <c r="E3789"/>
      <c r="F3789"/>
      <c r="G3789"/>
      <c r="U3789"/>
      <c r="V3789"/>
      <c r="W3789"/>
      <c r="X3789"/>
      <c r="Y3789"/>
      <c r="Z3789"/>
      <c r="AA3789"/>
      <c r="AB3789"/>
      <c r="AL3789"/>
      <c r="AM3789"/>
      <c r="AN3789"/>
      <c r="AO3789"/>
    </row>
    <row r="3790" spans="1:41" s="2" customFormat="1" x14ac:dyDescent="0.2">
      <c r="A3790"/>
      <c r="B3790"/>
      <c r="C3790"/>
      <c r="D3790"/>
      <c r="E3790"/>
      <c r="F3790"/>
      <c r="G3790"/>
      <c r="U3790"/>
      <c r="V3790"/>
      <c r="W3790"/>
      <c r="X3790"/>
      <c r="Y3790"/>
      <c r="Z3790"/>
      <c r="AA3790"/>
      <c r="AB3790"/>
      <c r="AL3790"/>
      <c r="AM3790"/>
      <c r="AN3790"/>
      <c r="AO3790"/>
    </row>
    <row r="3791" spans="1:41" s="2" customFormat="1" x14ac:dyDescent="0.2">
      <c r="A3791"/>
      <c r="B3791"/>
      <c r="C3791"/>
      <c r="D3791"/>
      <c r="E3791"/>
      <c r="F3791"/>
      <c r="G3791"/>
      <c r="U3791"/>
      <c r="V3791"/>
      <c r="W3791"/>
      <c r="X3791"/>
      <c r="Y3791"/>
      <c r="Z3791"/>
      <c r="AA3791"/>
      <c r="AB3791"/>
      <c r="AL3791"/>
      <c r="AM3791"/>
      <c r="AN3791"/>
      <c r="AO3791"/>
    </row>
    <row r="3792" spans="1:41" s="2" customFormat="1" x14ac:dyDescent="0.2">
      <c r="A3792"/>
      <c r="B3792"/>
      <c r="C3792"/>
      <c r="D3792"/>
      <c r="E3792"/>
      <c r="F3792"/>
      <c r="G3792"/>
      <c r="U3792"/>
      <c r="V3792"/>
      <c r="W3792"/>
      <c r="X3792"/>
      <c r="Y3792"/>
      <c r="Z3792"/>
      <c r="AA3792"/>
      <c r="AB3792"/>
      <c r="AL3792"/>
      <c r="AM3792"/>
      <c r="AN3792"/>
      <c r="AO3792"/>
    </row>
    <row r="3793" spans="1:41" s="2" customFormat="1" x14ac:dyDescent="0.2">
      <c r="A3793"/>
      <c r="B3793"/>
      <c r="C3793"/>
      <c r="D3793"/>
      <c r="E3793"/>
      <c r="F3793"/>
      <c r="G3793"/>
      <c r="U3793"/>
      <c r="V3793"/>
      <c r="W3793"/>
      <c r="X3793"/>
      <c r="Y3793"/>
      <c r="Z3793"/>
      <c r="AA3793"/>
      <c r="AB3793"/>
      <c r="AL3793"/>
      <c r="AM3793"/>
      <c r="AN3793"/>
      <c r="AO3793"/>
    </row>
    <row r="3794" spans="1:41" s="2" customFormat="1" x14ac:dyDescent="0.2">
      <c r="A3794"/>
      <c r="B3794"/>
      <c r="C3794"/>
      <c r="D3794"/>
      <c r="E3794"/>
      <c r="F3794"/>
      <c r="G3794"/>
      <c r="U3794"/>
      <c r="V3794"/>
      <c r="W3794"/>
      <c r="X3794"/>
      <c r="Y3794"/>
      <c r="Z3794"/>
      <c r="AA3794"/>
      <c r="AB3794"/>
      <c r="AL3794"/>
      <c r="AM3794"/>
      <c r="AN3794"/>
      <c r="AO3794"/>
    </row>
    <row r="3795" spans="1:41" s="2" customFormat="1" x14ac:dyDescent="0.2">
      <c r="A3795"/>
      <c r="B3795"/>
      <c r="C3795"/>
      <c r="D3795"/>
      <c r="E3795"/>
      <c r="F3795"/>
      <c r="G3795"/>
      <c r="U3795"/>
      <c r="V3795"/>
      <c r="W3795"/>
      <c r="X3795"/>
      <c r="Y3795"/>
      <c r="Z3795"/>
      <c r="AA3795"/>
      <c r="AB3795"/>
      <c r="AL3795"/>
      <c r="AM3795"/>
      <c r="AN3795"/>
      <c r="AO3795"/>
    </row>
    <row r="3796" spans="1:41" s="2" customFormat="1" x14ac:dyDescent="0.2">
      <c r="A3796"/>
      <c r="B3796"/>
      <c r="C3796"/>
      <c r="D3796"/>
      <c r="E3796"/>
      <c r="F3796"/>
      <c r="G3796"/>
      <c r="U3796"/>
      <c r="V3796"/>
      <c r="W3796"/>
      <c r="X3796"/>
      <c r="Y3796"/>
      <c r="Z3796"/>
      <c r="AA3796"/>
      <c r="AB3796"/>
      <c r="AL3796"/>
      <c r="AM3796"/>
      <c r="AN3796"/>
      <c r="AO3796"/>
    </row>
    <row r="3797" spans="1:41" s="2" customFormat="1" x14ac:dyDescent="0.2">
      <c r="A3797"/>
      <c r="B3797"/>
      <c r="C3797"/>
      <c r="D3797"/>
      <c r="E3797"/>
      <c r="F3797"/>
      <c r="G3797"/>
      <c r="U3797"/>
      <c r="V3797"/>
      <c r="W3797"/>
      <c r="X3797"/>
      <c r="Y3797"/>
      <c r="Z3797"/>
      <c r="AA3797"/>
      <c r="AB3797"/>
      <c r="AL3797"/>
      <c r="AM3797"/>
      <c r="AN3797"/>
      <c r="AO3797"/>
    </row>
    <row r="3798" spans="1:41" s="2" customFormat="1" x14ac:dyDescent="0.2">
      <c r="A3798"/>
      <c r="B3798"/>
      <c r="C3798"/>
      <c r="D3798"/>
      <c r="E3798"/>
      <c r="F3798"/>
      <c r="G3798"/>
      <c r="U3798"/>
      <c r="V3798"/>
      <c r="W3798"/>
      <c r="X3798"/>
      <c r="Y3798"/>
      <c r="Z3798"/>
      <c r="AA3798"/>
      <c r="AB3798"/>
      <c r="AL3798"/>
      <c r="AM3798"/>
      <c r="AN3798"/>
      <c r="AO3798"/>
    </row>
    <row r="3799" spans="1:41" s="2" customFormat="1" x14ac:dyDescent="0.2">
      <c r="A3799"/>
      <c r="B3799"/>
      <c r="C3799"/>
      <c r="D3799"/>
      <c r="E3799"/>
      <c r="F3799"/>
      <c r="G3799"/>
      <c r="U3799"/>
      <c r="V3799"/>
      <c r="W3799"/>
      <c r="X3799"/>
      <c r="Y3799"/>
      <c r="Z3799"/>
      <c r="AA3799"/>
      <c r="AB3799"/>
      <c r="AL3799"/>
      <c r="AM3799"/>
      <c r="AN3799"/>
      <c r="AO3799"/>
    </row>
    <row r="3800" spans="1:41" s="2" customFormat="1" x14ac:dyDescent="0.2">
      <c r="A3800"/>
      <c r="B3800"/>
      <c r="C3800"/>
      <c r="D3800"/>
      <c r="E3800"/>
      <c r="F3800"/>
      <c r="G3800"/>
      <c r="U3800"/>
      <c r="V3800"/>
      <c r="W3800"/>
      <c r="X3800"/>
      <c r="Y3800"/>
      <c r="Z3800"/>
      <c r="AA3800"/>
      <c r="AB3800"/>
      <c r="AL3800"/>
      <c r="AM3800"/>
      <c r="AN3800"/>
      <c r="AO3800"/>
    </row>
    <row r="3801" spans="1:41" s="2" customFormat="1" x14ac:dyDescent="0.2">
      <c r="A3801"/>
      <c r="B3801"/>
      <c r="C3801"/>
      <c r="D3801"/>
      <c r="E3801"/>
      <c r="F3801"/>
      <c r="G3801"/>
      <c r="U3801"/>
      <c r="V3801"/>
      <c r="W3801"/>
      <c r="X3801"/>
      <c r="Y3801"/>
      <c r="Z3801"/>
      <c r="AA3801"/>
      <c r="AB3801"/>
      <c r="AL3801"/>
      <c r="AM3801"/>
      <c r="AN3801"/>
      <c r="AO3801"/>
    </row>
    <row r="3802" spans="1:41" s="2" customFormat="1" x14ac:dyDescent="0.2">
      <c r="A3802"/>
      <c r="B3802"/>
      <c r="C3802"/>
      <c r="D3802"/>
      <c r="E3802"/>
      <c r="F3802"/>
      <c r="G3802"/>
      <c r="U3802"/>
      <c r="V3802"/>
      <c r="W3802"/>
      <c r="X3802"/>
      <c r="Y3802"/>
      <c r="Z3802"/>
      <c r="AA3802"/>
      <c r="AB3802"/>
      <c r="AL3802"/>
      <c r="AM3802"/>
      <c r="AN3802"/>
      <c r="AO3802"/>
    </row>
    <row r="3803" spans="1:41" s="2" customFormat="1" x14ac:dyDescent="0.2">
      <c r="A3803"/>
      <c r="B3803"/>
      <c r="C3803"/>
      <c r="D3803"/>
      <c r="E3803"/>
      <c r="F3803"/>
      <c r="G3803"/>
      <c r="U3803"/>
      <c r="V3803"/>
      <c r="W3803"/>
      <c r="X3803"/>
      <c r="Y3803"/>
      <c r="Z3803"/>
      <c r="AA3803"/>
      <c r="AB3803"/>
      <c r="AL3803"/>
      <c r="AM3803"/>
      <c r="AN3803"/>
      <c r="AO3803"/>
    </row>
    <row r="3804" spans="1:41" s="2" customFormat="1" x14ac:dyDescent="0.2">
      <c r="A3804"/>
      <c r="B3804"/>
      <c r="C3804"/>
      <c r="D3804"/>
      <c r="E3804"/>
      <c r="F3804"/>
      <c r="G3804"/>
      <c r="U3804"/>
      <c r="V3804"/>
      <c r="W3804"/>
      <c r="X3804"/>
      <c r="Y3804"/>
      <c r="Z3804"/>
      <c r="AA3804"/>
      <c r="AB3804"/>
      <c r="AL3804"/>
      <c r="AM3804"/>
      <c r="AN3804"/>
      <c r="AO3804"/>
    </row>
    <row r="3805" spans="1:41" s="2" customFormat="1" x14ac:dyDescent="0.2">
      <c r="A3805"/>
      <c r="B3805"/>
      <c r="C3805"/>
      <c r="D3805"/>
      <c r="E3805"/>
      <c r="F3805"/>
      <c r="G3805"/>
      <c r="U3805"/>
      <c r="V3805"/>
      <c r="W3805"/>
      <c r="X3805"/>
      <c r="Y3805"/>
      <c r="Z3805"/>
      <c r="AA3805"/>
      <c r="AB3805"/>
      <c r="AL3805"/>
      <c r="AM3805"/>
      <c r="AN3805"/>
      <c r="AO3805"/>
    </row>
    <row r="3806" spans="1:41" s="2" customFormat="1" x14ac:dyDescent="0.2">
      <c r="A3806"/>
      <c r="B3806"/>
      <c r="C3806"/>
      <c r="D3806"/>
      <c r="E3806"/>
      <c r="F3806"/>
      <c r="G3806"/>
      <c r="U3806"/>
      <c r="V3806"/>
      <c r="W3806"/>
      <c r="X3806"/>
      <c r="Y3806"/>
      <c r="Z3806"/>
      <c r="AA3806"/>
      <c r="AB3806"/>
      <c r="AL3806"/>
      <c r="AM3806"/>
      <c r="AN3806"/>
      <c r="AO3806"/>
    </row>
    <row r="3807" spans="1:41" s="2" customFormat="1" x14ac:dyDescent="0.2">
      <c r="A3807"/>
      <c r="B3807"/>
      <c r="C3807"/>
      <c r="D3807"/>
      <c r="E3807"/>
      <c r="F3807"/>
      <c r="G3807"/>
      <c r="U3807"/>
      <c r="V3807"/>
      <c r="W3807"/>
      <c r="X3807"/>
      <c r="Y3807"/>
      <c r="Z3807"/>
      <c r="AA3807"/>
      <c r="AB3807"/>
      <c r="AL3807"/>
      <c r="AM3807"/>
      <c r="AN3807"/>
      <c r="AO3807"/>
    </row>
    <row r="3808" spans="1:41" s="2" customFormat="1" x14ac:dyDescent="0.2">
      <c r="A3808"/>
      <c r="B3808"/>
      <c r="C3808"/>
      <c r="D3808"/>
      <c r="E3808"/>
      <c r="F3808"/>
      <c r="G3808"/>
      <c r="U3808"/>
      <c r="V3808"/>
      <c r="W3808"/>
      <c r="X3808"/>
      <c r="Y3808"/>
      <c r="Z3808"/>
      <c r="AA3808"/>
      <c r="AB3808"/>
      <c r="AL3808"/>
      <c r="AM3808"/>
      <c r="AN3808"/>
      <c r="AO3808"/>
    </row>
    <row r="3809" spans="1:41" s="2" customFormat="1" x14ac:dyDescent="0.2">
      <c r="A3809"/>
      <c r="B3809"/>
      <c r="C3809"/>
      <c r="D3809"/>
      <c r="E3809"/>
      <c r="F3809"/>
      <c r="G3809"/>
      <c r="U3809"/>
      <c r="V3809"/>
      <c r="W3809"/>
      <c r="X3809"/>
      <c r="Y3809"/>
      <c r="Z3809"/>
      <c r="AA3809"/>
      <c r="AB3809"/>
      <c r="AL3809"/>
      <c r="AM3809"/>
      <c r="AN3809"/>
      <c r="AO3809"/>
    </row>
    <row r="3810" spans="1:41" s="2" customFormat="1" x14ac:dyDescent="0.2">
      <c r="A3810"/>
      <c r="B3810"/>
      <c r="C3810"/>
      <c r="D3810"/>
      <c r="E3810"/>
      <c r="F3810"/>
      <c r="G3810"/>
      <c r="U3810"/>
      <c r="V3810"/>
      <c r="W3810"/>
      <c r="X3810"/>
      <c r="Y3810"/>
      <c r="Z3810"/>
      <c r="AA3810"/>
      <c r="AB3810"/>
      <c r="AL3810"/>
      <c r="AM3810"/>
      <c r="AN3810"/>
      <c r="AO3810"/>
    </row>
    <row r="3811" spans="1:41" s="2" customFormat="1" x14ac:dyDescent="0.2">
      <c r="A3811"/>
      <c r="B3811"/>
      <c r="C3811"/>
      <c r="D3811"/>
      <c r="E3811"/>
      <c r="F3811"/>
      <c r="G3811"/>
      <c r="U3811"/>
      <c r="V3811"/>
      <c r="W3811"/>
      <c r="X3811"/>
      <c r="Y3811"/>
      <c r="Z3811"/>
      <c r="AA3811"/>
      <c r="AB3811"/>
      <c r="AL3811"/>
      <c r="AM3811"/>
      <c r="AN3811"/>
      <c r="AO3811"/>
    </row>
    <row r="3812" spans="1:41" s="2" customFormat="1" x14ac:dyDescent="0.2">
      <c r="A3812"/>
      <c r="B3812"/>
      <c r="C3812"/>
      <c r="D3812"/>
      <c r="E3812"/>
      <c r="F3812"/>
      <c r="G3812"/>
      <c r="U3812"/>
      <c r="V3812"/>
      <c r="W3812"/>
      <c r="X3812"/>
      <c r="Y3812"/>
      <c r="Z3812"/>
      <c r="AA3812"/>
      <c r="AB3812"/>
      <c r="AL3812"/>
      <c r="AM3812"/>
      <c r="AN3812"/>
      <c r="AO3812"/>
    </row>
    <row r="3813" spans="1:41" s="2" customFormat="1" x14ac:dyDescent="0.2">
      <c r="A3813"/>
      <c r="B3813"/>
      <c r="C3813"/>
      <c r="D3813"/>
      <c r="E3813"/>
      <c r="F3813"/>
      <c r="G3813"/>
      <c r="U3813"/>
      <c r="V3813"/>
      <c r="W3813"/>
      <c r="X3813"/>
      <c r="Y3813"/>
      <c r="Z3813"/>
      <c r="AA3813"/>
      <c r="AB3813"/>
      <c r="AL3813"/>
      <c r="AM3813"/>
      <c r="AN3813"/>
      <c r="AO3813"/>
    </row>
    <row r="3814" spans="1:41" s="2" customFormat="1" x14ac:dyDescent="0.2">
      <c r="A3814"/>
      <c r="B3814"/>
      <c r="C3814"/>
      <c r="D3814"/>
      <c r="E3814"/>
      <c r="F3814"/>
      <c r="G3814"/>
      <c r="U3814"/>
      <c r="V3814"/>
      <c r="W3814"/>
      <c r="X3814"/>
      <c r="Y3814"/>
      <c r="Z3814"/>
      <c r="AA3814"/>
      <c r="AB3814"/>
      <c r="AL3814"/>
      <c r="AM3814"/>
      <c r="AN3814"/>
      <c r="AO3814"/>
    </row>
    <row r="3815" spans="1:41" s="2" customFormat="1" x14ac:dyDescent="0.2">
      <c r="A3815"/>
      <c r="B3815"/>
      <c r="C3815"/>
      <c r="D3815"/>
      <c r="E3815"/>
      <c r="F3815"/>
      <c r="G3815"/>
      <c r="U3815"/>
      <c r="V3815"/>
      <c r="W3815"/>
      <c r="X3815"/>
      <c r="Y3815"/>
      <c r="Z3815"/>
      <c r="AA3815"/>
      <c r="AB3815"/>
      <c r="AL3815"/>
      <c r="AM3815"/>
      <c r="AN3815"/>
      <c r="AO3815"/>
    </row>
    <row r="3816" spans="1:41" s="2" customFormat="1" x14ac:dyDescent="0.2">
      <c r="A3816"/>
      <c r="B3816"/>
      <c r="C3816"/>
      <c r="D3816"/>
      <c r="E3816"/>
      <c r="F3816"/>
      <c r="G3816"/>
      <c r="U3816"/>
      <c r="V3816"/>
      <c r="W3816"/>
      <c r="X3816"/>
      <c r="Y3816"/>
      <c r="Z3816"/>
      <c r="AA3816"/>
      <c r="AB3816"/>
      <c r="AL3816"/>
      <c r="AM3816"/>
      <c r="AN3816"/>
      <c r="AO3816"/>
    </row>
    <row r="3817" spans="1:41" s="2" customFormat="1" x14ac:dyDescent="0.2">
      <c r="A3817"/>
      <c r="B3817"/>
      <c r="C3817"/>
      <c r="D3817"/>
      <c r="E3817"/>
      <c r="F3817"/>
      <c r="G3817"/>
      <c r="U3817"/>
      <c r="V3817"/>
      <c r="W3817"/>
      <c r="X3817"/>
      <c r="Y3817"/>
      <c r="Z3817"/>
      <c r="AA3817"/>
      <c r="AB3817"/>
      <c r="AL3817"/>
      <c r="AM3817"/>
      <c r="AN3817"/>
      <c r="AO3817"/>
    </row>
    <row r="3818" spans="1:41" s="2" customFormat="1" x14ac:dyDescent="0.2">
      <c r="A3818"/>
      <c r="B3818"/>
      <c r="C3818"/>
      <c r="D3818"/>
      <c r="E3818"/>
      <c r="F3818"/>
      <c r="G3818"/>
      <c r="U3818"/>
      <c r="V3818"/>
      <c r="W3818"/>
      <c r="X3818"/>
      <c r="Y3818"/>
      <c r="Z3818"/>
      <c r="AA3818"/>
      <c r="AB3818"/>
      <c r="AL3818"/>
      <c r="AM3818"/>
      <c r="AN3818"/>
      <c r="AO3818"/>
    </row>
    <row r="3819" spans="1:41" s="2" customFormat="1" x14ac:dyDescent="0.2">
      <c r="A3819"/>
      <c r="B3819"/>
      <c r="C3819"/>
      <c r="D3819"/>
      <c r="E3819"/>
      <c r="F3819"/>
      <c r="G3819"/>
      <c r="U3819"/>
      <c r="V3819"/>
      <c r="W3819"/>
      <c r="X3819"/>
      <c r="Y3819"/>
      <c r="Z3819"/>
      <c r="AA3819"/>
      <c r="AB3819"/>
      <c r="AL3819"/>
      <c r="AM3819"/>
      <c r="AN3819"/>
      <c r="AO3819"/>
    </row>
    <row r="3820" spans="1:41" s="2" customFormat="1" x14ac:dyDescent="0.2">
      <c r="A3820"/>
      <c r="B3820"/>
      <c r="C3820"/>
      <c r="D3820"/>
      <c r="E3820"/>
      <c r="F3820"/>
      <c r="G3820"/>
      <c r="U3820"/>
      <c r="V3820"/>
      <c r="W3820"/>
      <c r="X3820"/>
      <c r="Y3820"/>
      <c r="Z3820"/>
      <c r="AA3820"/>
      <c r="AB3820"/>
      <c r="AL3820"/>
      <c r="AM3820"/>
      <c r="AN3820"/>
      <c r="AO3820"/>
    </row>
    <row r="3821" spans="1:41" s="2" customFormat="1" x14ac:dyDescent="0.2">
      <c r="A3821"/>
      <c r="B3821"/>
      <c r="C3821"/>
      <c r="D3821"/>
      <c r="E3821"/>
      <c r="F3821"/>
      <c r="G3821"/>
      <c r="U3821"/>
      <c r="V3821"/>
      <c r="W3821"/>
      <c r="X3821"/>
      <c r="Y3821"/>
      <c r="Z3821"/>
      <c r="AA3821"/>
      <c r="AB3821"/>
      <c r="AL3821"/>
      <c r="AM3821"/>
      <c r="AN3821"/>
      <c r="AO3821"/>
    </row>
    <row r="3822" spans="1:41" s="2" customFormat="1" x14ac:dyDescent="0.2">
      <c r="A3822"/>
      <c r="B3822"/>
      <c r="C3822"/>
      <c r="D3822"/>
      <c r="E3822"/>
      <c r="F3822"/>
      <c r="G3822"/>
      <c r="U3822"/>
      <c r="V3822"/>
      <c r="W3822"/>
      <c r="X3822"/>
      <c r="Y3822"/>
      <c r="Z3822"/>
      <c r="AA3822"/>
      <c r="AB3822"/>
      <c r="AL3822"/>
      <c r="AM3822"/>
      <c r="AN3822"/>
      <c r="AO3822"/>
    </row>
    <row r="3823" spans="1:41" s="2" customFormat="1" x14ac:dyDescent="0.2">
      <c r="A3823"/>
      <c r="B3823"/>
      <c r="C3823"/>
      <c r="D3823"/>
      <c r="E3823"/>
      <c r="F3823"/>
      <c r="G3823"/>
      <c r="U3823"/>
      <c r="V3823"/>
      <c r="W3823"/>
      <c r="X3823"/>
      <c r="Y3823"/>
      <c r="Z3823"/>
      <c r="AA3823"/>
      <c r="AB3823"/>
      <c r="AL3823"/>
      <c r="AM3823"/>
      <c r="AN3823"/>
      <c r="AO3823"/>
    </row>
    <row r="3824" spans="1:41" s="2" customFormat="1" x14ac:dyDescent="0.2">
      <c r="A3824"/>
      <c r="B3824"/>
      <c r="C3824"/>
      <c r="D3824"/>
      <c r="E3824"/>
      <c r="F3824"/>
      <c r="G3824"/>
      <c r="U3824"/>
      <c r="V3824"/>
      <c r="W3824"/>
      <c r="X3824"/>
      <c r="Y3824"/>
      <c r="Z3824"/>
      <c r="AA3824"/>
      <c r="AB3824"/>
      <c r="AL3824"/>
      <c r="AM3824"/>
      <c r="AN3824"/>
      <c r="AO3824"/>
    </row>
    <row r="3825" spans="1:41" s="2" customFormat="1" x14ac:dyDescent="0.2">
      <c r="A3825"/>
      <c r="B3825"/>
      <c r="C3825"/>
      <c r="D3825"/>
      <c r="E3825"/>
      <c r="F3825"/>
      <c r="G3825"/>
      <c r="U3825"/>
      <c r="V3825"/>
      <c r="W3825"/>
      <c r="X3825"/>
      <c r="Y3825"/>
      <c r="Z3825"/>
      <c r="AA3825"/>
      <c r="AB3825"/>
      <c r="AL3825"/>
      <c r="AM3825"/>
      <c r="AN3825"/>
      <c r="AO3825"/>
    </row>
    <row r="3826" spans="1:41" s="2" customFormat="1" x14ac:dyDescent="0.2">
      <c r="A3826"/>
      <c r="B3826"/>
      <c r="C3826"/>
      <c r="D3826"/>
      <c r="E3826"/>
      <c r="F3826"/>
      <c r="G3826"/>
      <c r="U3826"/>
      <c r="V3826"/>
      <c r="W3826"/>
      <c r="X3826"/>
      <c r="Y3826"/>
      <c r="Z3826"/>
      <c r="AA3826"/>
      <c r="AB3826"/>
      <c r="AL3826"/>
      <c r="AM3826"/>
      <c r="AN3826"/>
      <c r="AO3826"/>
    </row>
    <row r="3827" spans="1:41" s="2" customFormat="1" x14ac:dyDescent="0.2">
      <c r="A3827"/>
      <c r="B3827"/>
      <c r="C3827"/>
      <c r="D3827"/>
      <c r="E3827"/>
      <c r="F3827"/>
      <c r="G3827"/>
      <c r="U3827"/>
      <c r="V3827"/>
      <c r="W3827"/>
      <c r="X3827"/>
      <c r="Y3827"/>
      <c r="Z3827"/>
      <c r="AA3827"/>
      <c r="AB3827"/>
      <c r="AL3827"/>
      <c r="AM3827"/>
      <c r="AN3827"/>
      <c r="AO3827"/>
    </row>
    <row r="3828" spans="1:41" s="2" customFormat="1" x14ac:dyDescent="0.2">
      <c r="A3828"/>
      <c r="B3828"/>
      <c r="C3828"/>
      <c r="D3828"/>
      <c r="E3828"/>
      <c r="F3828"/>
      <c r="G3828"/>
      <c r="U3828"/>
      <c r="V3828"/>
      <c r="W3828"/>
      <c r="X3828"/>
      <c r="Y3828"/>
      <c r="Z3828"/>
      <c r="AA3828"/>
      <c r="AB3828"/>
      <c r="AL3828"/>
      <c r="AM3828"/>
      <c r="AN3828"/>
      <c r="AO3828"/>
    </row>
    <row r="3829" spans="1:41" s="2" customFormat="1" x14ac:dyDescent="0.2">
      <c r="A3829"/>
      <c r="B3829"/>
      <c r="C3829"/>
      <c r="D3829"/>
      <c r="E3829"/>
      <c r="F3829"/>
      <c r="G3829"/>
      <c r="U3829"/>
      <c r="V3829"/>
      <c r="W3829"/>
      <c r="X3829"/>
      <c r="Y3829"/>
      <c r="Z3829"/>
      <c r="AA3829"/>
      <c r="AB3829"/>
      <c r="AL3829"/>
      <c r="AM3829"/>
      <c r="AN3829"/>
      <c r="AO3829"/>
    </row>
    <row r="3830" spans="1:41" s="2" customFormat="1" x14ac:dyDescent="0.2">
      <c r="A3830"/>
      <c r="B3830"/>
      <c r="C3830"/>
      <c r="D3830"/>
      <c r="E3830"/>
      <c r="F3830"/>
      <c r="G3830"/>
      <c r="U3830"/>
      <c r="V3830"/>
      <c r="W3830"/>
      <c r="X3830"/>
      <c r="Y3830"/>
      <c r="Z3830"/>
      <c r="AA3830"/>
      <c r="AB3830"/>
      <c r="AL3830"/>
      <c r="AM3830"/>
      <c r="AN3830"/>
      <c r="AO3830"/>
    </row>
    <row r="3831" spans="1:41" s="2" customFormat="1" x14ac:dyDescent="0.2">
      <c r="A3831"/>
      <c r="B3831"/>
      <c r="C3831"/>
      <c r="D3831"/>
      <c r="E3831"/>
      <c r="F3831"/>
      <c r="G3831"/>
      <c r="U3831"/>
      <c r="V3831"/>
      <c r="W3831"/>
      <c r="X3831"/>
      <c r="Y3831"/>
      <c r="Z3831"/>
      <c r="AA3831"/>
      <c r="AB3831"/>
      <c r="AL3831"/>
      <c r="AM3831"/>
      <c r="AN3831"/>
      <c r="AO3831"/>
    </row>
    <row r="3832" spans="1:41" s="2" customFormat="1" x14ac:dyDescent="0.2">
      <c r="A3832"/>
      <c r="B3832"/>
      <c r="C3832"/>
      <c r="D3832"/>
      <c r="E3832"/>
      <c r="F3832"/>
      <c r="G3832"/>
      <c r="U3832"/>
      <c r="V3832"/>
      <c r="W3832"/>
      <c r="X3832"/>
      <c r="Y3832"/>
      <c r="Z3832"/>
      <c r="AA3832"/>
      <c r="AB3832"/>
      <c r="AL3832"/>
      <c r="AM3832"/>
      <c r="AN3832"/>
      <c r="AO3832"/>
    </row>
    <row r="3833" spans="1:41" s="2" customFormat="1" x14ac:dyDescent="0.2">
      <c r="A3833"/>
      <c r="B3833"/>
      <c r="C3833"/>
      <c r="D3833"/>
      <c r="E3833"/>
      <c r="F3833"/>
      <c r="G3833"/>
      <c r="U3833"/>
      <c r="V3833"/>
      <c r="W3833"/>
      <c r="X3833"/>
      <c r="Y3833"/>
      <c r="Z3833"/>
      <c r="AA3833"/>
      <c r="AB3833"/>
      <c r="AL3833"/>
      <c r="AM3833"/>
      <c r="AN3833"/>
      <c r="AO3833"/>
    </row>
    <row r="3834" spans="1:41" s="2" customFormat="1" x14ac:dyDescent="0.2">
      <c r="A3834"/>
      <c r="B3834"/>
      <c r="C3834"/>
      <c r="D3834"/>
      <c r="E3834"/>
      <c r="F3834"/>
      <c r="G3834"/>
      <c r="U3834"/>
      <c r="V3834"/>
      <c r="W3834"/>
      <c r="X3834"/>
      <c r="Y3834"/>
      <c r="Z3834"/>
      <c r="AA3834"/>
      <c r="AB3834"/>
      <c r="AL3834"/>
      <c r="AM3834"/>
      <c r="AN3834"/>
      <c r="AO3834"/>
    </row>
    <row r="3835" spans="1:41" s="2" customFormat="1" x14ac:dyDescent="0.2">
      <c r="A3835"/>
      <c r="B3835"/>
      <c r="C3835"/>
      <c r="D3835"/>
      <c r="E3835"/>
      <c r="F3835"/>
      <c r="G3835"/>
      <c r="U3835"/>
      <c r="V3835"/>
      <c r="W3835"/>
      <c r="X3835"/>
      <c r="Y3835"/>
      <c r="Z3835"/>
      <c r="AA3835"/>
      <c r="AB3835"/>
      <c r="AL3835"/>
      <c r="AM3835"/>
      <c r="AN3835"/>
      <c r="AO3835"/>
    </row>
    <row r="3836" spans="1:41" s="2" customFormat="1" x14ac:dyDescent="0.2">
      <c r="A3836"/>
      <c r="B3836"/>
      <c r="C3836"/>
      <c r="D3836"/>
      <c r="E3836"/>
      <c r="F3836"/>
      <c r="G3836"/>
      <c r="U3836"/>
      <c r="V3836"/>
      <c r="W3836"/>
      <c r="X3836"/>
      <c r="Y3836"/>
      <c r="Z3836"/>
      <c r="AA3836"/>
      <c r="AB3836"/>
      <c r="AL3836"/>
      <c r="AM3836"/>
      <c r="AN3836"/>
      <c r="AO3836"/>
    </row>
    <row r="3837" spans="1:41" s="2" customFormat="1" x14ac:dyDescent="0.2">
      <c r="A3837"/>
      <c r="B3837"/>
      <c r="C3837"/>
      <c r="D3837"/>
      <c r="E3837"/>
      <c r="F3837"/>
      <c r="G3837"/>
      <c r="U3837"/>
      <c r="V3837"/>
      <c r="W3837"/>
      <c r="X3837"/>
      <c r="Y3837"/>
      <c r="Z3837"/>
      <c r="AA3837"/>
      <c r="AB3837"/>
      <c r="AL3837"/>
      <c r="AM3837"/>
      <c r="AN3837"/>
      <c r="AO3837"/>
    </row>
    <row r="3838" spans="1:41" s="2" customFormat="1" x14ac:dyDescent="0.2">
      <c r="A3838"/>
      <c r="B3838"/>
      <c r="C3838"/>
      <c r="D3838"/>
      <c r="E3838"/>
      <c r="F3838"/>
      <c r="G3838"/>
      <c r="U3838"/>
      <c r="V3838"/>
      <c r="W3838"/>
      <c r="X3838"/>
      <c r="Y3838"/>
      <c r="Z3838"/>
      <c r="AA3838"/>
      <c r="AB3838"/>
      <c r="AL3838"/>
      <c r="AM3838"/>
      <c r="AN3838"/>
      <c r="AO3838"/>
    </row>
    <row r="3839" spans="1:41" s="2" customFormat="1" x14ac:dyDescent="0.2">
      <c r="A3839"/>
      <c r="B3839"/>
      <c r="C3839"/>
      <c r="D3839"/>
      <c r="E3839"/>
      <c r="F3839"/>
      <c r="G3839"/>
      <c r="U3839"/>
      <c r="V3839"/>
      <c r="W3839"/>
      <c r="X3839"/>
      <c r="Y3839"/>
      <c r="Z3839"/>
      <c r="AA3839"/>
      <c r="AB3839"/>
      <c r="AL3839"/>
      <c r="AM3839"/>
      <c r="AN3839"/>
      <c r="AO3839"/>
    </row>
    <row r="3840" spans="1:41" s="2" customFormat="1" x14ac:dyDescent="0.2">
      <c r="A3840"/>
      <c r="B3840"/>
      <c r="C3840"/>
      <c r="D3840"/>
      <c r="E3840"/>
      <c r="F3840"/>
      <c r="G3840"/>
      <c r="U3840"/>
      <c r="V3840"/>
      <c r="W3840"/>
      <c r="X3840"/>
      <c r="Y3840"/>
      <c r="Z3840"/>
      <c r="AA3840"/>
      <c r="AB3840"/>
      <c r="AL3840"/>
      <c r="AM3840"/>
      <c r="AN3840"/>
      <c r="AO3840"/>
    </row>
    <row r="3841" spans="1:41" s="2" customFormat="1" x14ac:dyDescent="0.2">
      <c r="A3841"/>
      <c r="B3841"/>
      <c r="C3841"/>
      <c r="D3841"/>
      <c r="E3841"/>
      <c r="F3841"/>
      <c r="G3841"/>
      <c r="U3841"/>
      <c r="V3841"/>
      <c r="W3841"/>
      <c r="X3841"/>
      <c r="Y3841"/>
      <c r="Z3841"/>
      <c r="AA3841"/>
      <c r="AB3841"/>
      <c r="AL3841"/>
      <c r="AM3841"/>
      <c r="AN3841"/>
      <c r="AO3841"/>
    </row>
    <row r="3842" spans="1:41" s="2" customFormat="1" x14ac:dyDescent="0.2">
      <c r="A3842"/>
      <c r="B3842"/>
      <c r="C3842"/>
      <c r="D3842"/>
      <c r="E3842"/>
      <c r="F3842"/>
      <c r="G3842"/>
      <c r="U3842"/>
      <c r="V3842"/>
      <c r="W3842"/>
      <c r="X3842"/>
      <c r="Y3842"/>
      <c r="Z3842"/>
      <c r="AA3842"/>
      <c r="AB3842"/>
      <c r="AL3842"/>
      <c r="AM3842"/>
      <c r="AN3842"/>
      <c r="AO3842"/>
    </row>
    <row r="3843" spans="1:41" s="2" customFormat="1" x14ac:dyDescent="0.2">
      <c r="A3843"/>
      <c r="B3843"/>
      <c r="C3843"/>
      <c r="D3843"/>
      <c r="E3843"/>
      <c r="F3843"/>
      <c r="G3843"/>
      <c r="U3843"/>
      <c r="V3843"/>
      <c r="W3843"/>
      <c r="X3843"/>
      <c r="Y3843"/>
      <c r="Z3843"/>
      <c r="AA3843"/>
      <c r="AB3843"/>
      <c r="AL3843"/>
      <c r="AM3843"/>
      <c r="AN3843"/>
      <c r="AO3843"/>
    </row>
    <row r="3844" spans="1:41" s="2" customFormat="1" x14ac:dyDescent="0.2">
      <c r="A3844"/>
      <c r="B3844"/>
      <c r="C3844"/>
      <c r="D3844"/>
      <c r="E3844"/>
      <c r="F3844"/>
      <c r="G3844"/>
      <c r="U3844"/>
      <c r="V3844"/>
      <c r="W3844"/>
      <c r="X3844"/>
      <c r="Y3844"/>
      <c r="Z3844"/>
      <c r="AA3844"/>
      <c r="AB3844"/>
      <c r="AL3844"/>
      <c r="AM3844"/>
      <c r="AN3844"/>
      <c r="AO3844"/>
    </row>
    <row r="3845" spans="1:41" s="2" customFormat="1" x14ac:dyDescent="0.2">
      <c r="A3845"/>
      <c r="B3845"/>
      <c r="C3845"/>
      <c r="D3845"/>
      <c r="E3845"/>
      <c r="F3845"/>
      <c r="G3845"/>
      <c r="U3845"/>
      <c r="V3845"/>
      <c r="W3845"/>
      <c r="X3845"/>
      <c r="Y3845"/>
      <c r="Z3845"/>
      <c r="AA3845"/>
      <c r="AB3845"/>
      <c r="AL3845"/>
      <c r="AM3845"/>
      <c r="AN3845"/>
      <c r="AO3845"/>
    </row>
    <row r="3846" spans="1:41" s="2" customFormat="1" x14ac:dyDescent="0.2">
      <c r="A3846"/>
      <c r="B3846"/>
      <c r="C3846"/>
      <c r="D3846"/>
      <c r="E3846"/>
      <c r="F3846"/>
      <c r="G3846"/>
      <c r="U3846"/>
      <c r="V3846"/>
      <c r="W3846"/>
      <c r="X3846"/>
      <c r="Y3846"/>
      <c r="Z3846"/>
      <c r="AA3846"/>
      <c r="AB3846"/>
      <c r="AL3846"/>
      <c r="AM3846"/>
      <c r="AN3846"/>
      <c r="AO3846"/>
    </row>
    <row r="3847" spans="1:41" s="2" customFormat="1" x14ac:dyDescent="0.2">
      <c r="A3847"/>
      <c r="B3847"/>
      <c r="C3847"/>
      <c r="D3847"/>
      <c r="E3847"/>
      <c r="F3847"/>
      <c r="G3847"/>
      <c r="U3847"/>
      <c r="V3847"/>
      <c r="W3847"/>
      <c r="X3847"/>
      <c r="Y3847"/>
      <c r="Z3847"/>
      <c r="AA3847"/>
      <c r="AB3847"/>
      <c r="AL3847"/>
      <c r="AM3847"/>
      <c r="AN3847"/>
      <c r="AO3847"/>
    </row>
    <row r="3848" spans="1:41" s="2" customFormat="1" x14ac:dyDescent="0.2">
      <c r="A3848"/>
      <c r="B3848"/>
      <c r="C3848"/>
      <c r="D3848"/>
      <c r="E3848"/>
      <c r="F3848"/>
      <c r="G3848"/>
      <c r="U3848"/>
      <c r="V3848"/>
      <c r="W3848"/>
      <c r="X3848"/>
      <c r="Y3848"/>
      <c r="Z3848"/>
      <c r="AA3848"/>
      <c r="AB3848"/>
      <c r="AL3848"/>
      <c r="AM3848"/>
      <c r="AN3848"/>
      <c r="AO3848"/>
    </row>
    <row r="3849" spans="1:41" s="2" customFormat="1" x14ac:dyDescent="0.2">
      <c r="A3849"/>
      <c r="B3849"/>
      <c r="C3849"/>
      <c r="D3849"/>
      <c r="E3849"/>
      <c r="F3849"/>
      <c r="G3849"/>
      <c r="U3849"/>
      <c r="V3849"/>
      <c r="W3849"/>
      <c r="X3849"/>
      <c r="Y3849"/>
      <c r="Z3849"/>
      <c r="AA3849"/>
      <c r="AB3849"/>
      <c r="AL3849"/>
      <c r="AM3849"/>
      <c r="AN3849"/>
      <c r="AO3849"/>
    </row>
    <row r="3850" spans="1:41" s="2" customFormat="1" x14ac:dyDescent="0.2">
      <c r="A3850"/>
      <c r="B3850"/>
      <c r="C3850"/>
      <c r="D3850"/>
      <c r="E3850"/>
      <c r="F3850"/>
      <c r="G3850"/>
      <c r="U3850"/>
      <c r="V3850"/>
      <c r="W3850"/>
      <c r="X3850"/>
      <c r="Y3850"/>
      <c r="Z3850"/>
      <c r="AA3850"/>
      <c r="AB3850"/>
      <c r="AL3850"/>
      <c r="AM3850"/>
      <c r="AN3850"/>
      <c r="AO3850"/>
    </row>
    <row r="3851" spans="1:41" s="2" customFormat="1" x14ac:dyDescent="0.2">
      <c r="A3851"/>
      <c r="B3851"/>
      <c r="C3851"/>
      <c r="D3851"/>
      <c r="E3851"/>
      <c r="F3851"/>
      <c r="G3851"/>
      <c r="U3851"/>
      <c r="V3851"/>
      <c r="W3851"/>
      <c r="X3851"/>
      <c r="Y3851"/>
      <c r="Z3851"/>
      <c r="AA3851"/>
      <c r="AB3851"/>
      <c r="AL3851"/>
      <c r="AM3851"/>
      <c r="AN3851"/>
      <c r="AO3851"/>
    </row>
    <row r="3852" spans="1:41" s="2" customFormat="1" x14ac:dyDescent="0.2">
      <c r="A3852"/>
      <c r="B3852"/>
      <c r="C3852"/>
      <c r="D3852"/>
      <c r="E3852"/>
      <c r="F3852"/>
      <c r="G3852"/>
      <c r="U3852"/>
      <c r="V3852"/>
      <c r="W3852"/>
      <c r="X3852"/>
      <c r="Y3852"/>
      <c r="Z3852"/>
      <c r="AA3852"/>
      <c r="AB3852"/>
      <c r="AL3852"/>
      <c r="AM3852"/>
      <c r="AN3852"/>
      <c r="AO3852"/>
    </row>
    <row r="3853" spans="1:41" s="2" customFormat="1" x14ac:dyDescent="0.2">
      <c r="A3853"/>
      <c r="B3853"/>
      <c r="C3853"/>
      <c r="D3853"/>
      <c r="E3853"/>
      <c r="F3853"/>
      <c r="G3853"/>
      <c r="U3853"/>
      <c r="V3853"/>
      <c r="W3853"/>
      <c r="X3853"/>
      <c r="Y3853"/>
      <c r="Z3853"/>
      <c r="AA3853"/>
      <c r="AB3853"/>
      <c r="AL3853"/>
      <c r="AM3853"/>
      <c r="AN3853"/>
      <c r="AO3853"/>
    </row>
    <row r="3854" spans="1:41" s="2" customFormat="1" x14ac:dyDescent="0.2">
      <c r="A3854"/>
      <c r="B3854"/>
      <c r="C3854"/>
      <c r="D3854"/>
      <c r="E3854"/>
      <c r="F3854"/>
      <c r="G3854"/>
      <c r="U3854"/>
      <c r="V3854"/>
      <c r="W3854"/>
      <c r="X3854"/>
      <c r="Y3854"/>
      <c r="Z3854"/>
      <c r="AA3854"/>
      <c r="AB3854"/>
      <c r="AL3854"/>
      <c r="AM3854"/>
      <c r="AN3854"/>
      <c r="AO3854"/>
    </row>
    <row r="3855" spans="1:41" s="2" customFormat="1" x14ac:dyDescent="0.2">
      <c r="A3855"/>
      <c r="B3855"/>
      <c r="C3855"/>
      <c r="D3855"/>
      <c r="E3855"/>
      <c r="F3855"/>
      <c r="G3855"/>
      <c r="U3855"/>
      <c r="V3855"/>
      <c r="W3855"/>
      <c r="X3855"/>
      <c r="Y3855"/>
      <c r="Z3855"/>
      <c r="AA3855"/>
      <c r="AB3855"/>
      <c r="AL3855"/>
      <c r="AM3855"/>
      <c r="AN3855"/>
      <c r="AO3855"/>
    </row>
    <row r="3856" spans="1:41" s="2" customFormat="1" x14ac:dyDescent="0.2">
      <c r="A3856"/>
      <c r="B3856"/>
      <c r="C3856"/>
      <c r="D3856"/>
      <c r="E3856"/>
      <c r="F3856"/>
      <c r="G3856"/>
      <c r="U3856"/>
      <c r="V3856"/>
      <c r="W3856"/>
      <c r="X3856"/>
      <c r="Y3856"/>
      <c r="Z3856"/>
      <c r="AA3856"/>
      <c r="AB3856"/>
      <c r="AL3856"/>
      <c r="AM3856"/>
      <c r="AN3856"/>
      <c r="AO3856"/>
    </row>
    <row r="3857" spans="1:41" s="2" customFormat="1" x14ac:dyDescent="0.2">
      <c r="A3857"/>
      <c r="B3857"/>
      <c r="C3857"/>
      <c r="D3857"/>
      <c r="E3857"/>
      <c r="F3857"/>
      <c r="G3857"/>
      <c r="U3857"/>
      <c r="V3857"/>
      <c r="W3857"/>
      <c r="X3857"/>
      <c r="Y3857"/>
      <c r="Z3857"/>
      <c r="AA3857"/>
      <c r="AB3857"/>
      <c r="AL3857"/>
      <c r="AM3857"/>
      <c r="AN3857"/>
      <c r="AO3857"/>
    </row>
    <row r="3858" spans="1:41" s="2" customFormat="1" x14ac:dyDescent="0.2">
      <c r="A3858"/>
      <c r="B3858"/>
      <c r="C3858"/>
      <c r="D3858"/>
      <c r="E3858"/>
      <c r="F3858"/>
      <c r="G3858"/>
      <c r="U3858"/>
      <c r="V3858"/>
      <c r="W3858"/>
      <c r="X3858"/>
      <c r="Y3858"/>
      <c r="Z3858"/>
      <c r="AA3858"/>
      <c r="AB3858"/>
      <c r="AL3858"/>
      <c r="AM3858"/>
      <c r="AN3858"/>
      <c r="AO3858"/>
    </row>
    <row r="3859" spans="1:41" s="2" customFormat="1" x14ac:dyDescent="0.2">
      <c r="A3859"/>
      <c r="B3859"/>
      <c r="C3859"/>
      <c r="D3859"/>
      <c r="E3859"/>
      <c r="F3859"/>
      <c r="G3859"/>
      <c r="U3859"/>
      <c r="V3859"/>
      <c r="W3859"/>
      <c r="X3859"/>
      <c r="Y3859"/>
      <c r="Z3859"/>
      <c r="AA3859"/>
      <c r="AB3859"/>
      <c r="AL3859"/>
      <c r="AM3859"/>
      <c r="AN3859"/>
      <c r="AO3859"/>
    </row>
    <row r="3860" spans="1:41" s="2" customFormat="1" x14ac:dyDescent="0.2">
      <c r="A3860"/>
      <c r="B3860"/>
      <c r="C3860"/>
      <c r="D3860"/>
      <c r="E3860"/>
      <c r="F3860"/>
      <c r="G3860"/>
      <c r="U3860"/>
      <c r="V3860"/>
      <c r="W3860"/>
      <c r="X3860"/>
      <c r="Y3860"/>
      <c r="Z3860"/>
      <c r="AA3860"/>
      <c r="AB3860"/>
      <c r="AL3860"/>
      <c r="AM3860"/>
      <c r="AN3860"/>
      <c r="AO3860"/>
    </row>
    <row r="3861" spans="1:41" s="2" customFormat="1" x14ac:dyDescent="0.2">
      <c r="A3861"/>
      <c r="B3861"/>
      <c r="C3861"/>
      <c r="D3861"/>
      <c r="E3861"/>
      <c r="F3861"/>
      <c r="G3861"/>
      <c r="U3861"/>
      <c r="V3861"/>
      <c r="W3861"/>
      <c r="X3861"/>
      <c r="Y3861"/>
      <c r="Z3861"/>
      <c r="AA3861"/>
      <c r="AB3861"/>
      <c r="AL3861"/>
      <c r="AM3861"/>
      <c r="AN3861"/>
      <c r="AO3861"/>
    </row>
    <row r="3862" spans="1:41" s="2" customFormat="1" x14ac:dyDescent="0.2">
      <c r="A3862"/>
      <c r="B3862"/>
      <c r="C3862"/>
      <c r="D3862"/>
      <c r="E3862"/>
      <c r="F3862"/>
      <c r="G3862"/>
      <c r="U3862"/>
      <c r="V3862"/>
      <c r="W3862"/>
      <c r="X3862"/>
      <c r="Y3862"/>
      <c r="Z3862"/>
      <c r="AA3862"/>
      <c r="AB3862"/>
      <c r="AL3862"/>
      <c r="AM3862"/>
      <c r="AN3862"/>
      <c r="AO3862"/>
    </row>
    <row r="3863" spans="1:41" s="2" customFormat="1" x14ac:dyDescent="0.2">
      <c r="A3863"/>
      <c r="B3863"/>
      <c r="C3863"/>
      <c r="D3863"/>
      <c r="E3863"/>
      <c r="F3863"/>
      <c r="G3863"/>
      <c r="U3863"/>
      <c r="V3863"/>
      <c r="W3863"/>
      <c r="X3863"/>
      <c r="Y3863"/>
      <c r="Z3863"/>
      <c r="AA3863"/>
      <c r="AB3863"/>
      <c r="AL3863"/>
      <c r="AM3863"/>
      <c r="AN3863"/>
      <c r="AO3863"/>
    </row>
    <row r="3864" spans="1:41" s="2" customFormat="1" x14ac:dyDescent="0.2">
      <c r="A3864"/>
      <c r="B3864"/>
      <c r="C3864"/>
      <c r="D3864"/>
      <c r="E3864"/>
      <c r="F3864"/>
      <c r="G3864"/>
      <c r="U3864"/>
      <c r="V3864"/>
      <c r="W3864"/>
      <c r="X3864"/>
      <c r="Y3864"/>
      <c r="Z3864"/>
      <c r="AA3864"/>
      <c r="AB3864"/>
      <c r="AL3864"/>
      <c r="AM3864"/>
      <c r="AN3864"/>
      <c r="AO3864"/>
    </row>
    <row r="3865" spans="1:41" s="2" customFormat="1" x14ac:dyDescent="0.2">
      <c r="A3865"/>
      <c r="B3865"/>
      <c r="C3865"/>
      <c r="D3865"/>
      <c r="E3865"/>
      <c r="F3865"/>
      <c r="G3865"/>
      <c r="U3865"/>
      <c r="V3865"/>
      <c r="W3865"/>
      <c r="X3865"/>
      <c r="Y3865"/>
      <c r="Z3865"/>
      <c r="AA3865"/>
      <c r="AB3865"/>
      <c r="AL3865"/>
      <c r="AM3865"/>
      <c r="AN3865"/>
      <c r="AO3865"/>
    </row>
    <row r="3866" spans="1:41" s="2" customFormat="1" x14ac:dyDescent="0.2">
      <c r="A3866"/>
      <c r="B3866"/>
      <c r="C3866"/>
      <c r="D3866"/>
      <c r="E3866"/>
      <c r="F3866"/>
      <c r="G3866"/>
      <c r="U3866"/>
      <c r="V3866"/>
      <c r="W3866"/>
      <c r="X3866"/>
      <c r="Y3866"/>
      <c r="Z3866"/>
      <c r="AA3866"/>
      <c r="AB3866"/>
      <c r="AL3866"/>
      <c r="AM3866"/>
      <c r="AN3866"/>
      <c r="AO3866"/>
    </row>
    <row r="3867" spans="1:41" s="2" customFormat="1" x14ac:dyDescent="0.2">
      <c r="A3867"/>
      <c r="B3867"/>
      <c r="C3867"/>
      <c r="D3867"/>
      <c r="E3867"/>
      <c r="F3867"/>
      <c r="G3867"/>
      <c r="U3867"/>
      <c r="V3867"/>
      <c r="W3867"/>
      <c r="X3867"/>
      <c r="Y3867"/>
      <c r="Z3867"/>
      <c r="AA3867"/>
      <c r="AB3867"/>
      <c r="AL3867"/>
      <c r="AM3867"/>
      <c r="AN3867"/>
      <c r="AO3867"/>
    </row>
    <row r="3868" spans="1:41" s="2" customFormat="1" x14ac:dyDescent="0.2">
      <c r="A3868"/>
      <c r="B3868"/>
      <c r="C3868"/>
      <c r="D3868"/>
      <c r="E3868"/>
      <c r="F3868"/>
      <c r="G3868"/>
      <c r="U3868"/>
      <c r="V3868"/>
      <c r="W3868"/>
      <c r="X3868"/>
      <c r="Y3868"/>
      <c r="Z3868"/>
      <c r="AA3868"/>
      <c r="AB3868"/>
      <c r="AL3868"/>
      <c r="AM3868"/>
      <c r="AN3868"/>
      <c r="AO3868"/>
    </row>
    <row r="3869" spans="1:41" s="2" customFormat="1" x14ac:dyDescent="0.2">
      <c r="A3869"/>
      <c r="B3869"/>
      <c r="C3869"/>
      <c r="D3869"/>
      <c r="E3869"/>
      <c r="F3869"/>
      <c r="G3869"/>
      <c r="U3869"/>
      <c r="V3869"/>
      <c r="W3869"/>
      <c r="X3869"/>
      <c r="Y3869"/>
      <c r="Z3869"/>
      <c r="AA3869"/>
      <c r="AB3869"/>
      <c r="AL3869"/>
      <c r="AM3869"/>
      <c r="AN3869"/>
      <c r="AO3869"/>
    </row>
    <row r="3870" spans="1:41" s="2" customFormat="1" x14ac:dyDescent="0.2">
      <c r="A3870"/>
      <c r="B3870"/>
      <c r="C3870"/>
      <c r="D3870"/>
      <c r="E3870"/>
      <c r="F3870"/>
      <c r="G3870"/>
      <c r="U3870"/>
      <c r="V3870"/>
      <c r="W3870"/>
      <c r="X3870"/>
      <c r="Y3870"/>
      <c r="Z3870"/>
      <c r="AA3870"/>
      <c r="AB3870"/>
      <c r="AL3870"/>
      <c r="AM3870"/>
      <c r="AN3870"/>
      <c r="AO3870"/>
    </row>
    <row r="3871" spans="1:41" s="2" customFormat="1" x14ac:dyDescent="0.2">
      <c r="A3871"/>
      <c r="B3871"/>
      <c r="C3871"/>
      <c r="D3871"/>
      <c r="E3871"/>
      <c r="F3871"/>
      <c r="G3871"/>
      <c r="U3871"/>
      <c r="V3871"/>
      <c r="W3871"/>
      <c r="X3871"/>
      <c r="Y3871"/>
      <c r="Z3871"/>
      <c r="AA3871"/>
      <c r="AB3871"/>
      <c r="AL3871"/>
      <c r="AM3871"/>
      <c r="AN3871"/>
      <c r="AO3871"/>
    </row>
    <row r="3872" spans="1:41" s="2" customFormat="1" x14ac:dyDescent="0.2">
      <c r="A3872"/>
      <c r="B3872"/>
      <c r="C3872"/>
      <c r="D3872"/>
      <c r="E3872"/>
      <c r="F3872"/>
      <c r="G3872"/>
      <c r="U3872"/>
      <c r="V3872"/>
      <c r="W3872"/>
      <c r="X3872"/>
      <c r="Y3872"/>
      <c r="Z3872"/>
      <c r="AA3872"/>
      <c r="AB3872"/>
      <c r="AL3872"/>
      <c r="AM3872"/>
      <c r="AN3872"/>
      <c r="AO3872"/>
    </row>
    <row r="3873" spans="1:41" s="2" customFormat="1" x14ac:dyDescent="0.2">
      <c r="A3873"/>
      <c r="B3873"/>
      <c r="C3873"/>
      <c r="D3873"/>
      <c r="E3873"/>
      <c r="F3873"/>
      <c r="G3873"/>
      <c r="U3873"/>
      <c r="V3873"/>
      <c r="W3873"/>
      <c r="X3873"/>
      <c r="Y3873"/>
      <c r="Z3873"/>
      <c r="AA3873"/>
      <c r="AB3873"/>
      <c r="AL3873"/>
      <c r="AM3873"/>
      <c r="AN3873"/>
      <c r="AO3873"/>
    </row>
    <row r="3874" spans="1:41" s="2" customFormat="1" x14ac:dyDescent="0.2">
      <c r="A3874"/>
      <c r="B3874"/>
      <c r="C3874"/>
      <c r="D3874"/>
      <c r="E3874"/>
      <c r="F3874"/>
      <c r="G3874"/>
      <c r="U3874"/>
      <c r="V3874"/>
      <c r="W3874"/>
      <c r="X3874"/>
      <c r="Y3874"/>
      <c r="Z3874"/>
      <c r="AA3874"/>
      <c r="AB3874"/>
      <c r="AL3874"/>
      <c r="AM3874"/>
      <c r="AN3874"/>
      <c r="AO3874"/>
    </row>
    <row r="3875" spans="1:41" s="2" customFormat="1" x14ac:dyDescent="0.2">
      <c r="A3875"/>
      <c r="B3875"/>
      <c r="C3875"/>
      <c r="D3875"/>
      <c r="E3875"/>
      <c r="F3875"/>
      <c r="G3875"/>
      <c r="U3875"/>
      <c r="V3875"/>
      <c r="W3875"/>
      <c r="X3875"/>
      <c r="Y3875"/>
      <c r="Z3875"/>
      <c r="AA3875"/>
      <c r="AB3875"/>
      <c r="AL3875"/>
      <c r="AM3875"/>
      <c r="AN3875"/>
      <c r="AO3875"/>
    </row>
    <row r="3876" spans="1:41" s="2" customFormat="1" x14ac:dyDescent="0.2">
      <c r="A3876"/>
      <c r="B3876"/>
      <c r="C3876"/>
      <c r="D3876"/>
      <c r="E3876"/>
      <c r="F3876"/>
      <c r="G3876"/>
      <c r="U3876"/>
      <c r="V3876"/>
      <c r="W3876"/>
      <c r="X3876"/>
      <c r="Y3876"/>
      <c r="Z3876"/>
      <c r="AA3876"/>
      <c r="AB3876"/>
      <c r="AL3876"/>
      <c r="AM3876"/>
      <c r="AN3876"/>
      <c r="AO3876"/>
    </row>
    <row r="3877" spans="1:41" s="2" customFormat="1" x14ac:dyDescent="0.2">
      <c r="A3877"/>
      <c r="B3877"/>
      <c r="C3877"/>
      <c r="D3877"/>
      <c r="E3877"/>
      <c r="F3877"/>
      <c r="G3877"/>
      <c r="U3877"/>
      <c r="V3877"/>
      <c r="W3877"/>
      <c r="X3877"/>
      <c r="Y3877"/>
      <c r="Z3877"/>
      <c r="AA3877"/>
      <c r="AB3877"/>
      <c r="AL3877"/>
      <c r="AM3877"/>
      <c r="AN3877"/>
      <c r="AO3877"/>
    </row>
    <row r="3878" spans="1:41" s="2" customFormat="1" x14ac:dyDescent="0.2">
      <c r="A3878"/>
      <c r="B3878"/>
      <c r="C3878"/>
      <c r="D3878"/>
      <c r="E3878"/>
      <c r="F3878"/>
      <c r="G3878"/>
      <c r="U3878"/>
      <c r="V3878"/>
      <c r="W3878"/>
      <c r="X3878"/>
      <c r="Y3878"/>
      <c r="Z3878"/>
      <c r="AA3878"/>
      <c r="AB3878"/>
      <c r="AL3878"/>
      <c r="AM3878"/>
      <c r="AN3878"/>
      <c r="AO3878"/>
    </row>
    <row r="3879" spans="1:41" s="2" customFormat="1" x14ac:dyDescent="0.2">
      <c r="A3879"/>
      <c r="B3879"/>
      <c r="C3879"/>
      <c r="D3879"/>
      <c r="E3879"/>
      <c r="F3879"/>
      <c r="G3879"/>
      <c r="U3879"/>
      <c r="V3879"/>
      <c r="W3879"/>
      <c r="X3879"/>
      <c r="Y3879"/>
      <c r="Z3879"/>
      <c r="AA3879"/>
      <c r="AB3879"/>
      <c r="AL3879"/>
      <c r="AM3879"/>
      <c r="AN3879"/>
      <c r="AO3879"/>
    </row>
    <row r="3880" spans="1:41" s="2" customFormat="1" x14ac:dyDescent="0.2">
      <c r="A3880"/>
      <c r="B3880"/>
      <c r="C3880"/>
      <c r="D3880"/>
      <c r="E3880"/>
      <c r="F3880"/>
      <c r="G3880"/>
      <c r="U3880"/>
      <c r="V3880"/>
      <c r="W3880"/>
      <c r="X3880"/>
      <c r="Y3880"/>
      <c r="Z3880"/>
      <c r="AA3880"/>
      <c r="AB3880"/>
      <c r="AL3880"/>
      <c r="AM3880"/>
      <c r="AN3880"/>
      <c r="AO3880"/>
    </row>
    <row r="3881" spans="1:41" s="2" customFormat="1" x14ac:dyDescent="0.2">
      <c r="A3881"/>
      <c r="B3881"/>
      <c r="C3881"/>
      <c r="D3881"/>
      <c r="E3881"/>
      <c r="F3881"/>
      <c r="G3881"/>
      <c r="U3881"/>
      <c r="V3881"/>
      <c r="W3881"/>
      <c r="X3881"/>
      <c r="Y3881"/>
      <c r="Z3881"/>
      <c r="AA3881"/>
      <c r="AB3881"/>
      <c r="AL3881"/>
      <c r="AM3881"/>
      <c r="AN3881"/>
      <c r="AO3881"/>
    </row>
    <row r="3882" spans="1:41" s="2" customFormat="1" x14ac:dyDescent="0.2">
      <c r="A3882"/>
      <c r="B3882"/>
      <c r="C3882"/>
      <c r="D3882"/>
      <c r="E3882"/>
      <c r="F3882"/>
      <c r="G3882"/>
      <c r="U3882"/>
      <c r="V3882"/>
      <c r="W3882"/>
      <c r="X3882"/>
      <c r="Y3882"/>
      <c r="Z3882"/>
      <c r="AA3882"/>
      <c r="AB3882"/>
      <c r="AL3882"/>
      <c r="AM3882"/>
      <c r="AN3882"/>
      <c r="AO3882"/>
    </row>
    <row r="3883" spans="1:41" s="2" customFormat="1" x14ac:dyDescent="0.2">
      <c r="A3883"/>
      <c r="B3883"/>
      <c r="C3883"/>
      <c r="D3883"/>
      <c r="E3883"/>
      <c r="F3883"/>
      <c r="G3883"/>
      <c r="U3883"/>
      <c r="V3883"/>
      <c r="W3883"/>
      <c r="X3883"/>
      <c r="Y3883"/>
      <c r="Z3883"/>
      <c r="AA3883"/>
      <c r="AB3883"/>
      <c r="AL3883"/>
      <c r="AM3883"/>
      <c r="AN3883"/>
      <c r="AO3883"/>
    </row>
    <row r="3884" spans="1:41" s="2" customFormat="1" x14ac:dyDescent="0.2">
      <c r="A3884"/>
      <c r="B3884"/>
      <c r="C3884"/>
      <c r="D3884"/>
      <c r="E3884"/>
      <c r="F3884"/>
      <c r="G3884"/>
      <c r="U3884"/>
      <c r="V3884"/>
      <c r="W3884"/>
      <c r="X3884"/>
      <c r="Y3884"/>
      <c r="Z3884"/>
      <c r="AA3884"/>
      <c r="AB3884"/>
      <c r="AL3884"/>
      <c r="AM3884"/>
      <c r="AN3884"/>
      <c r="AO3884"/>
    </row>
    <row r="3885" spans="1:41" s="2" customFormat="1" x14ac:dyDescent="0.2">
      <c r="A3885"/>
      <c r="B3885"/>
      <c r="C3885"/>
      <c r="D3885"/>
      <c r="E3885"/>
      <c r="F3885"/>
      <c r="G3885"/>
      <c r="U3885"/>
      <c r="V3885"/>
      <c r="W3885"/>
      <c r="X3885"/>
      <c r="Y3885"/>
      <c r="Z3885"/>
      <c r="AA3885"/>
      <c r="AB3885"/>
      <c r="AL3885"/>
      <c r="AM3885"/>
      <c r="AN3885"/>
      <c r="AO3885"/>
    </row>
    <row r="3886" spans="1:41" s="2" customFormat="1" x14ac:dyDescent="0.2">
      <c r="A3886"/>
      <c r="B3886"/>
      <c r="C3886"/>
      <c r="D3886"/>
      <c r="E3886"/>
      <c r="F3886"/>
      <c r="G3886"/>
      <c r="U3886"/>
      <c r="V3886"/>
      <c r="W3886"/>
      <c r="X3886"/>
      <c r="Y3886"/>
      <c r="Z3886"/>
      <c r="AA3886"/>
      <c r="AB3886"/>
      <c r="AL3886"/>
      <c r="AM3886"/>
      <c r="AN3886"/>
      <c r="AO3886"/>
    </row>
    <row r="3887" spans="1:41" s="2" customFormat="1" x14ac:dyDescent="0.2">
      <c r="A3887"/>
      <c r="B3887"/>
      <c r="C3887"/>
      <c r="D3887"/>
      <c r="E3887"/>
      <c r="F3887"/>
      <c r="G3887"/>
      <c r="U3887"/>
      <c r="V3887"/>
      <c r="W3887"/>
      <c r="X3887"/>
      <c r="Y3887"/>
      <c r="Z3887"/>
      <c r="AA3887"/>
      <c r="AB3887"/>
      <c r="AL3887"/>
      <c r="AM3887"/>
      <c r="AN3887"/>
      <c r="AO3887"/>
    </row>
    <row r="3888" spans="1:41" s="2" customFormat="1" x14ac:dyDescent="0.2">
      <c r="A3888"/>
      <c r="B3888"/>
      <c r="C3888"/>
      <c r="D3888"/>
      <c r="E3888"/>
      <c r="F3888"/>
      <c r="G3888"/>
      <c r="U3888"/>
      <c r="V3888"/>
      <c r="W3888"/>
      <c r="X3888"/>
      <c r="Y3888"/>
      <c r="Z3888"/>
      <c r="AA3888"/>
      <c r="AB3888"/>
      <c r="AL3888"/>
      <c r="AM3888"/>
      <c r="AN3888"/>
      <c r="AO3888"/>
    </row>
    <row r="3889" spans="1:41" s="2" customFormat="1" x14ac:dyDescent="0.2">
      <c r="A3889"/>
      <c r="B3889"/>
      <c r="C3889"/>
      <c r="D3889"/>
      <c r="E3889"/>
      <c r="F3889"/>
      <c r="G3889"/>
      <c r="U3889"/>
      <c r="V3889"/>
      <c r="W3889"/>
      <c r="X3889"/>
      <c r="Y3889"/>
      <c r="Z3889"/>
      <c r="AA3889"/>
      <c r="AB3889"/>
      <c r="AL3889"/>
      <c r="AM3889"/>
      <c r="AN3889"/>
      <c r="AO3889"/>
    </row>
    <row r="3890" spans="1:41" s="2" customFormat="1" x14ac:dyDescent="0.2">
      <c r="A3890"/>
      <c r="B3890"/>
      <c r="C3890"/>
      <c r="D3890"/>
      <c r="E3890"/>
      <c r="F3890"/>
      <c r="G3890"/>
      <c r="U3890"/>
      <c r="V3890"/>
      <c r="W3890"/>
      <c r="X3890"/>
      <c r="Y3890"/>
      <c r="Z3890"/>
      <c r="AA3890"/>
      <c r="AB3890"/>
      <c r="AL3890"/>
      <c r="AM3890"/>
      <c r="AN3890"/>
      <c r="AO3890"/>
    </row>
    <row r="3891" spans="1:41" s="2" customFormat="1" x14ac:dyDescent="0.2">
      <c r="A3891"/>
      <c r="B3891"/>
      <c r="C3891"/>
      <c r="D3891"/>
      <c r="E3891"/>
      <c r="F3891"/>
      <c r="G3891"/>
      <c r="U3891"/>
      <c r="V3891"/>
      <c r="W3891"/>
      <c r="X3891"/>
      <c r="Y3891"/>
      <c r="Z3891"/>
      <c r="AA3891"/>
      <c r="AB3891"/>
      <c r="AL3891"/>
      <c r="AM3891"/>
      <c r="AN3891"/>
      <c r="AO3891"/>
    </row>
    <row r="3892" spans="1:41" s="2" customFormat="1" x14ac:dyDescent="0.2">
      <c r="A3892"/>
      <c r="B3892"/>
      <c r="C3892"/>
      <c r="D3892"/>
      <c r="E3892"/>
      <c r="F3892"/>
      <c r="G3892"/>
      <c r="U3892"/>
      <c r="V3892"/>
      <c r="W3892"/>
      <c r="X3892"/>
      <c r="Y3892"/>
      <c r="Z3892"/>
      <c r="AA3892"/>
      <c r="AB3892"/>
      <c r="AL3892"/>
      <c r="AM3892"/>
      <c r="AN3892"/>
      <c r="AO3892"/>
    </row>
    <row r="3893" spans="1:41" s="2" customFormat="1" x14ac:dyDescent="0.2">
      <c r="A3893"/>
      <c r="B3893"/>
      <c r="C3893"/>
      <c r="D3893"/>
      <c r="E3893"/>
      <c r="F3893"/>
      <c r="G3893"/>
      <c r="U3893"/>
      <c r="V3893"/>
      <c r="W3893"/>
      <c r="X3893"/>
      <c r="Y3893"/>
      <c r="Z3893"/>
      <c r="AA3893"/>
      <c r="AB3893"/>
      <c r="AL3893"/>
      <c r="AM3893"/>
      <c r="AN3893"/>
      <c r="AO3893"/>
    </row>
    <row r="3894" spans="1:41" s="2" customFormat="1" x14ac:dyDescent="0.2">
      <c r="A3894"/>
      <c r="B3894"/>
      <c r="C3894"/>
      <c r="D3894"/>
      <c r="E3894"/>
      <c r="F3894"/>
      <c r="G3894"/>
      <c r="U3894"/>
      <c r="V3894"/>
      <c r="W3894"/>
      <c r="X3894"/>
      <c r="Y3894"/>
      <c r="Z3894"/>
      <c r="AA3894"/>
      <c r="AB3894"/>
      <c r="AL3894"/>
      <c r="AM3894"/>
      <c r="AN3894"/>
      <c r="AO3894"/>
    </row>
    <row r="3895" spans="1:41" s="2" customFormat="1" x14ac:dyDescent="0.2">
      <c r="A3895"/>
      <c r="B3895"/>
      <c r="C3895"/>
      <c r="D3895"/>
      <c r="E3895"/>
      <c r="F3895"/>
      <c r="G3895"/>
      <c r="U3895"/>
      <c r="V3895"/>
      <c r="W3895"/>
      <c r="X3895"/>
      <c r="Y3895"/>
      <c r="Z3895"/>
      <c r="AA3895"/>
      <c r="AB3895"/>
      <c r="AL3895"/>
      <c r="AM3895"/>
      <c r="AN3895"/>
      <c r="AO3895"/>
    </row>
    <row r="3896" spans="1:41" s="2" customFormat="1" x14ac:dyDescent="0.2">
      <c r="A3896"/>
      <c r="B3896"/>
      <c r="C3896"/>
      <c r="D3896"/>
      <c r="E3896"/>
      <c r="F3896"/>
      <c r="G3896"/>
      <c r="U3896"/>
      <c r="V3896"/>
      <c r="W3896"/>
      <c r="X3896"/>
      <c r="Y3896"/>
      <c r="Z3896"/>
      <c r="AA3896"/>
      <c r="AB3896"/>
      <c r="AL3896"/>
      <c r="AM3896"/>
      <c r="AN3896"/>
      <c r="AO3896"/>
    </row>
    <row r="3897" spans="1:41" s="2" customFormat="1" x14ac:dyDescent="0.2">
      <c r="A3897"/>
      <c r="B3897"/>
      <c r="C3897"/>
      <c r="D3897"/>
      <c r="E3897"/>
      <c r="F3897"/>
      <c r="G3897"/>
      <c r="U3897"/>
      <c r="V3897"/>
      <c r="W3897"/>
      <c r="X3897"/>
      <c r="Y3897"/>
      <c r="Z3897"/>
      <c r="AA3897"/>
      <c r="AB3897"/>
      <c r="AL3897"/>
      <c r="AM3897"/>
      <c r="AN3897"/>
      <c r="AO3897"/>
    </row>
    <row r="3898" spans="1:41" s="2" customFormat="1" x14ac:dyDescent="0.2">
      <c r="A3898"/>
      <c r="B3898"/>
      <c r="C3898"/>
      <c r="D3898"/>
      <c r="E3898"/>
      <c r="F3898"/>
      <c r="G3898"/>
      <c r="U3898"/>
      <c r="V3898"/>
      <c r="W3898"/>
      <c r="X3898"/>
      <c r="Y3898"/>
      <c r="Z3898"/>
      <c r="AA3898"/>
      <c r="AB3898"/>
      <c r="AL3898"/>
      <c r="AM3898"/>
      <c r="AN3898"/>
      <c r="AO3898"/>
    </row>
    <row r="3899" spans="1:41" s="2" customFormat="1" x14ac:dyDescent="0.2">
      <c r="A3899"/>
      <c r="B3899"/>
      <c r="C3899"/>
      <c r="D3899"/>
      <c r="E3899"/>
      <c r="F3899"/>
      <c r="G3899"/>
      <c r="U3899"/>
      <c r="V3899"/>
      <c r="W3899"/>
      <c r="X3899"/>
      <c r="Y3899"/>
      <c r="Z3899"/>
      <c r="AA3899"/>
      <c r="AB3899"/>
      <c r="AL3899"/>
      <c r="AM3899"/>
      <c r="AN3899"/>
      <c r="AO3899"/>
    </row>
    <row r="3900" spans="1:41" s="2" customFormat="1" x14ac:dyDescent="0.2">
      <c r="A3900"/>
      <c r="B3900"/>
      <c r="C3900"/>
      <c r="D3900"/>
      <c r="E3900"/>
      <c r="F3900"/>
      <c r="G3900"/>
      <c r="U3900"/>
      <c r="V3900"/>
      <c r="W3900"/>
      <c r="X3900"/>
      <c r="Y3900"/>
      <c r="Z3900"/>
      <c r="AA3900"/>
      <c r="AB3900"/>
      <c r="AL3900"/>
      <c r="AM3900"/>
      <c r="AN3900"/>
      <c r="AO3900"/>
    </row>
    <row r="3901" spans="1:41" s="2" customFormat="1" x14ac:dyDescent="0.2">
      <c r="A3901"/>
      <c r="B3901"/>
      <c r="C3901"/>
      <c r="D3901"/>
      <c r="E3901"/>
      <c r="F3901"/>
      <c r="G3901"/>
      <c r="U3901"/>
      <c r="V3901"/>
      <c r="W3901"/>
      <c r="X3901"/>
      <c r="Y3901"/>
      <c r="Z3901"/>
      <c r="AA3901"/>
      <c r="AB3901"/>
      <c r="AL3901"/>
      <c r="AM3901"/>
      <c r="AN3901"/>
      <c r="AO3901"/>
    </row>
    <row r="3902" spans="1:41" s="2" customFormat="1" x14ac:dyDescent="0.2">
      <c r="A3902"/>
      <c r="B3902"/>
      <c r="C3902"/>
      <c r="D3902"/>
      <c r="E3902"/>
      <c r="F3902"/>
      <c r="G3902"/>
      <c r="U3902"/>
      <c r="V3902"/>
      <c r="W3902"/>
      <c r="X3902"/>
      <c r="Y3902"/>
      <c r="Z3902"/>
      <c r="AA3902"/>
      <c r="AB3902"/>
      <c r="AL3902"/>
      <c r="AM3902"/>
      <c r="AN3902"/>
      <c r="AO3902"/>
    </row>
    <row r="3903" spans="1:41" s="2" customFormat="1" x14ac:dyDescent="0.2">
      <c r="A3903"/>
      <c r="B3903"/>
      <c r="C3903"/>
      <c r="D3903"/>
      <c r="E3903"/>
      <c r="F3903"/>
      <c r="G3903"/>
      <c r="U3903"/>
      <c r="V3903"/>
      <c r="W3903"/>
      <c r="X3903"/>
      <c r="Y3903"/>
      <c r="Z3903"/>
      <c r="AA3903"/>
      <c r="AB3903"/>
      <c r="AL3903"/>
      <c r="AM3903"/>
      <c r="AN3903"/>
      <c r="AO3903"/>
    </row>
    <row r="3904" spans="1:41" s="2" customFormat="1" x14ac:dyDescent="0.2">
      <c r="A3904"/>
      <c r="B3904"/>
      <c r="C3904"/>
      <c r="D3904"/>
      <c r="E3904"/>
      <c r="F3904"/>
      <c r="G3904"/>
      <c r="U3904"/>
      <c r="V3904"/>
      <c r="W3904"/>
      <c r="X3904"/>
      <c r="Y3904"/>
      <c r="Z3904"/>
      <c r="AA3904"/>
      <c r="AB3904"/>
      <c r="AL3904"/>
      <c r="AM3904"/>
      <c r="AN3904"/>
      <c r="AO3904"/>
    </row>
    <row r="3905" spans="1:41" s="2" customFormat="1" x14ac:dyDescent="0.2">
      <c r="A3905"/>
      <c r="B3905"/>
      <c r="C3905"/>
      <c r="D3905"/>
      <c r="E3905"/>
      <c r="F3905"/>
      <c r="G3905"/>
      <c r="U3905"/>
      <c r="V3905"/>
      <c r="W3905"/>
      <c r="X3905"/>
      <c r="Y3905"/>
      <c r="Z3905"/>
      <c r="AA3905"/>
      <c r="AB3905"/>
      <c r="AL3905"/>
      <c r="AM3905"/>
      <c r="AN3905"/>
      <c r="AO3905"/>
    </row>
    <row r="3906" spans="1:41" s="2" customFormat="1" x14ac:dyDescent="0.2">
      <c r="A3906"/>
      <c r="B3906"/>
      <c r="C3906"/>
      <c r="D3906"/>
      <c r="E3906"/>
      <c r="F3906"/>
      <c r="G3906"/>
      <c r="U3906"/>
      <c r="V3906"/>
      <c r="W3906"/>
      <c r="X3906"/>
      <c r="Y3906"/>
      <c r="Z3906"/>
      <c r="AA3906"/>
      <c r="AB3906"/>
      <c r="AL3906"/>
      <c r="AM3906"/>
      <c r="AN3906"/>
      <c r="AO3906"/>
    </row>
    <row r="3907" spans="1:41" s="2" customFormat="1" x14ac:dyDescent="0.2">
      <c r="A3907"/>
      <c r="B3907"/>
      <c r="C3907"/>
      <c r="D3907"/>
      <c r="E3907"/>
      <c r="F3907"/>
      <c r="G3907"/>
      <c r="U3907"/>
      <c r="V3907"/>
      <c r="W3907"/>
      <c r="X3907"/>
      <c r="Y3907"/>
      <c r="Z3907"/>
      <c r="AA3907"/>
      <c r="AB3907"/>
      <c r="AL3907"/>
      <c r="AM3907"/>
      <c r="AN3907"/>
      <c r="AO3907"/>
    </row>
    <row r="3908" spans="1:41" s="2" customFormat="1" x14ac:dyDescent="0.2">
      <c r="A3908"/>
      <c r="B3908"/>
      <c r="C3908"/>
      <c r="D3908"/>
      <c r="E3908"/>
      <c r="F3908"/>
      <c r="G3908"/>
      <c r="U3908"/>
      <c r="V3908"/>
      <c r="W3908"/>
      <c r="X3908"/>
      <c r="Y3908"/>
      <c r="Z3908"/>
      <c r="AA3908"/>
      <c r="AB3908"/>
      <c r="AL3908"/>
      <c r="AM3908"/>
      <c r="AN3908"/>
      <c r="AO3908"/>
    </row>
    <row r="3909" spans="1:41" s="2" customFormat="1" x14ac:dyDescent="0.2">
      <c r="A3909"/>
      <c r="B3909"/>
      <c r="C3909"/>
      <c r="D3909"/>
      <c r="E3909"/>
      <c r="F3909"/>
      <c r="G3909"/>
      <c r="U3909"/>
      <c r="V3909"/>
      <c r="W3909"/>
      <c r="X3909"/>
      <c r="Y3909"/>
      <c r="Z3909"/>
      <c r="AA3909"/>
      <c r="AB3909"/>
      <c r="AL3909"/>
      <c r="AM3909"/>
      <c r="AN3909"/>
      <c r="AO3909"/>
    </row>
    <row r="3910" spans="1:41" s="2" customFormat="1" x14ac:dyDescent="0.2">
      <c r="A3910"/>
      <c r="B3910"/>
      <c r="C3910"/>
      <c r="D3910"/>
      <c r="E3910"/>
      <c r="F3910"/>
      <c r="G3910"/>
      <c r="U3910"/>
      <c r="V3910"/>
      <c r="W3910"/>
      <c r="X3910"/>
      <c r="Y3910"/>
      <c r="Z3910"/>
      <c r="AA3910"/>
      <c r="AB3910"/>
      <c r="AL3910"/>
      <c r="AM3910"/>
      <c r="AN3910"/>
      <c r="AO3910"/>
    </row>
    <row r="3911" spans="1:41" s="2" customFormat="1" x14ac:dyDescent="0.2">
      <c r="A3911"/>
      <c r="B3911"/>
      <c r="C3911"/>
      <c r="D3911"/>
      <c r="E3911"/>
      <c r="F3911"/>
      <c r="G3911"/>
      <c r="U3911"/>
      <c r="V3911"/>
      <c r="W3911"/>
      <c r="X3911"/>
      <c r="Y3911"/>
      <c r="Z3911"/>
      <c r="AA3911"/>
      <c r="AB3911"/>
      <c r="AL3911"/>
      <c r="AM3911"/>
      <c r="AN3911"/>
      <c r="AO3911"/>
    </row>
    <row r="3912" spans="1:41" s="2" customFormat="1" x14ac:dyDescent="0.2">
      <c r="A3912"/>
      <c r="B3912"/>
      <c r="C3912"/>
      <c r="D3912"/>
      <c r="E3912"/>
      <c r="F3912"/>
      <c r="G3912"/>
      <c r="U3912"/>
      <c r="V3912"/>
      <c r="W3912"/>
      <c r="X3912"/>
      <c r="Y3912"/>
      <c r="Z3912"/>
      <c r="AA3912"/>
      <c r="AB3912"/>
      <c r="AL3912"/>
      <c r="AM3912"/>
      <c r="AN3912"/>
      <c r="AO3912"/>
    </row>
    <row r="3913" spans="1:41" s="2" customFormat="1" x14ac:dyDescent="0.2">
      <c r="A3913"/>
      <c r="B3913"/>
      <c r="C3913"/>
      <c r="D3913"/>
      <c r="E3913"/>
      <c r="F3913"/>
      <c r="G3913"/>
      <c r="U3913"/>
      <c r="V3913"/>
      <c r="W3913"/>
      <c r="X3913"/>
      <c r="Y3913"/>
      <c r="Z3913"/>
      <c r="AA3913"/>
      <c r="AB3913"/>
      <c r="AL3913"/>
      <c r="AM3913"/>
      <c r="AN3913"/>
      <c r="AO3913"/>
    </row>
    <row r="3914" spans="1:41" s="2" customFormat="1" x14ac:dyDescent="0.2">
      <c r="A3914"/>
      <c r="B3914"/>
      <c r="C3914"/>
      <c r="D3914"/>
      <c r="E3914"/>
      <c r="F3914"/>
      <c r="G3914"/>
      <c r="U3914"/>
      <c r="V3914"/>
      <c r="W3914"/>
      <c r="X3914"/>
      <c r="Y3914"/>
      <c r="Z3914"/>
      <c r="AA3914"/>
      <c r="AB3914"/>
      <c r="AL3914"/>
      <c r="AM3914"/>
      <c r="AN3914"/>
      <c r="AO3914"/>
    </row>
    <row r="3915" spans="1:41" s="2" customFormat="1" x14ac:dyDescent="0.2">
      <c r="A3915"/>
      <c r="B3915"/>
      <c r="C3915"/>
      <c r="D3915"/>
      <c r="E3915"/>
      <c r="F3915"/>
      <c r="G3915"/>
      <c r="U3915"/>
      <c r="V3915"/>
      <c r="W3915"/>
      <c r="X3915"/>
      <c r="Y3915"/>
      <c r="Z3915"/>
      <c r="AA3915"/>
      <c r="AB3915"/>
      <c r="AL3915"/>
      <c r="AM3915"/>
      <c r="AN3915"/>
      <c r="AO3915"/>
    </row>
    <row r="3916" spans="1:41" s="2" customFormat="1" x14ac:dyDescent="0.2">
      <c r="A3916"/>
      <c r="B3916"/>
      <c r="C3916"/>
      <c r="D3916"/>
      <c r="E3916"/>
      <c r="F3916"/>
      <c r="G3916"/>
      <c r="U3916"/>
      <c r="V3916"/>
      <c r="W3916"/>
      <c r="X3916"/>
      <c r="Y3916"/>
      <c r="Z3916"/>
      <c r="AA3916"/>
      <c r="AB3916"/>
      <c r="AL3916"/>
      <c r="AM3916"/>
      <c r="AN3916"/>
      <c r="AO3916"/>
    </row>
    <row r="3917" spans="1:41" s="2" customFormat="1" x14ac:dyDescent="0.2">
      <c r="A3917"/>
      <c r="B3917"/>
      <c r="C3917"/>
      <c r="D3917"/>
      <c r="E3917"/>
      <c r="F3917"/>
      <c r="G3917"/>
      <c r="U3917"/>
      <c r="V3917"/>
      <c r="W3917"/>
      <c r="X3917"/>
      <c r="Y3917"/>
      <c r="Z3917"/>
      <c r="AA3917"/>
      <c r="AB3917"/>
      <c r="AL3917"/>
      <c r="AM3917"/>
      <c r="AN3917"/>
      <c r="AO3917"/>
    </row>
    <row r="3918" spans="1:41" s="2" customFormat="1" x14ac:dyDescent="0.2">
      <c r="A3918"/>
      <c r="B3918"/>
      <c r="C3918"/>
      <c r="D3918"/>
      <c r="E3918"/>
      <c r="F3918"/>
      <c r="G3918"/>
      <c r="U3918"/>
      <c r="V3918"/>
      <c r="W3918"/>
      <c r="X3918"/>
      <c r="Y3918"/>
      <c r="Z3918"/>
      <c r="AA3918"/>
      <c r="AB3918"/>
      <c r="AL3918"/>
      <c r="AM3918"/>
      <c r="AN3918"/>
      <c r="AO3918"/>
    </row>
    <row r="3919" spans="1:41" s="2" customFormat="1" x14ac:dyDescent="0.2">
      <c r="A3919"/>
      <c r="B3919"/>
      <c r="C3919"/>
      <c r="D3919"/>
      <c r="E3919"/>
      <c r="F3919"/>
      <c r="G3919"/>
      <c r="U3919"/>
      <c r="V3919"/>
      <c r="W3919"/>
      <c r="X3919"/>
      <c r="Y3919"/>
      <c r="Z3919"/>
      <c r="AA3919"/>
      <c r="AB3919"/>
      <c r="AL3919"/>
      <c r="AM3919"/>
      <c r="AN3919"/>
      <c r="AO3919"/>
    </row>
    <row r="3920" spans="1:41" s="2" customFormat="1" x14ac:dyDescent="0.2">
      <c r="A3920"/>
      <c r="B3920"/>
      <c r="C3920"/>
      <c r="D3920"/>
      <c r="E3920"/>
      <c r="F3920"/>
      <c r="G3920"/>
      <c r="U3920"/>
      <c r="V3920"/>
      <c r="W3920"/>
      <c r="X3920"/>
      <c r="Y3920"/>
      <c r="Z3920"/>
      <c r="AA3920"/>
      <c r="AB3920"/>
      <c r="AL3920"/>
      <c r="AM3920"/>
      <c r="AN3920"/>
      <c r="AO3920"/>
    </row>
    <row r="3921" spans="1:41" s="2" customFormat="1" x14ac:dyDescent="0.2">
      <c r="A3921"/>
      <c r="B3921"/>
      <c r="C3921"/>
      <c r="D3921"/>
      <c r="E3921"/>
      <c r="F3921"/>
      <c r="G3921"/>
      <c r="U3921"/>
      <c r="V3921"/>
      <c r="W3921"/>
      <c r="X3921"/>
      <c r="Y3921"/>
      <c r="Z3921"/>
      <c r="AA3921"/>
      <c r="AB3921"/>
      <c r="AL3921"/>
      <c r="AM3921"/>
      <c r="AN3921"/>
      <c r="AO3921"/>
    </row>
    <row r="3922" spans="1:41" s="2" customFormat="1" x14ac:dyDescent="0.2">
      <c r="A3922"/>
      <c r="B3922"/>
      <c r="C3922"/>
      <c r="D3922"/>
      <c r="E3922"/>
      <c r="F3922"/>
      <c r="G3922"/>
      <c r="U3922"/>
      <c r="V3922"/>
      <c r="W3922"/>
      <c r="X3922"/>
      <c r="Y3922"/>
      <c r="Z3922"/>
      <c r="AA3922"/>
      <c r="AB3922"/>
      <c r="AL3922"/>
      <c r="AM3922"/>
      <c r="AN3922"/>
      <c r="AO3922"/>
    </row>
    <row r="3923" spans="1:41" s="2" customFormat="1" x14ac:dyDescent="0.2">
      <c r="A3923"/>
      <c r="B3923"/>
      <c r="C3923"/>
      <c r="D3923"/>
      <c r="E3923"/>
      <c r="F3923"/>
      <c r="G3923"/>
      <c r="U3923"/>
      <c r="V3923"/>
      <c r="W3923"/>
      <c r="X3923"/>
      <c r="Y3923"/>
      <c r="Z3923"/>
      <c r="AA3923"/>
      <c r="AB3923"/>
      <c r="AL3923"/>
      <c r="AM3923"/>
      <c r="AN3923"/>
      <c r="AO3923"/>
    </row>
    <row r="3924" spans="1:41" s="2" customFormat="1" x14ac:dyDescent="0.2">
      <c r="A3924"/>
      <c r="B3924"/>
      <c r="C3924"/>
      <c r="D3924"/>
      <c r="E3924"/>
      <c r="F3924"/>
      <c r="G3924"/>
      <c r="U3924"/>
      <c r="V3924"/>
      <c r="W3924"/>
      <c r="X3924"/>
      <c r="Y3924"/>
      <c r="Z3924"/>
      <c r="AA3924"/>
      <c r="AB3924"/>
      <c r="AL3924"/>
      <c r="AM3924"/>
      <c r="AN3924"/>
      <c r="AO3924"/>
    </row>
    <row r="3925" spans="1:41" s="2" customFormat="1" x14ac:dyDescent="0.2">
      <c r="A3925"/>
      <c r="B3925"/>
      <c r="C3925"/>
      <c r="D3925"/>
      <c r="E3925"/>
      <c r="F3925"/>
      <c r="G3925"/>
      <c r="U3925"/>
      <c r="V3925"/>
      <c r="W3925"/>
      <c r="X3925"/>
      <c r="Y3925"/>
      <c r="Z3925"/>
      <c r="AA3925"/>
      <c r="AB3925"/>
      <c r="AL3925"/>
      <c r="AM3925"/>
      <c r="AN3925"/>
      <c r="AO3925"/>
    </row>
    <row r="3926" spans="1:41" s="2" customFormat="1" x14ac:dyDescent="0.2">
      <c r="A3926"/>
      <c r="B3926"/>
      <c r="C3926"/>
      <c r="D3926"/>
      <c r="E3926"/>
      <c r="F3926"/>
      <c r="G3926"/>
      <c r="U3926"/>
      <c r="V3926"/>
      <c r="W3926"/>
      <c r="X3926"/>
      <c r="Y3926"/>
      <c r="Z3926"/>
      <c r="AA3926"/>
      <c r="AB3926"/>
      <c r="AL3926"/>
      <c r="AM3926"/>
      <c r="AN3926"/>
      <c r="AO3926"/>
    </row>
    <row r="3927" spans="1:41" s="2" customFormat="1" x14ac:dyDescent="0.2">
      <c r="A3927"/>
      <c r="B3927"/>
      <c r="C3927"/>
      <c r="D3927"/>
      <c r="E3927"/>
      <c r="F3927"/>
      <c r="G3927"/>
      <c r="U3927"/>
      <c r="V3927"/>
      <c r="W3927"/>
      <c r="X3927"/>
      <c r="Y3927"/>
      <c r="Z3927"/>
      <c r="AA3927"/>
      <c r="AB3927"/>
      <c r="AL3927"/>
      <c r="AM3927"/>
      <c r="AN3927"/>
      <c r="AO3927"/>
    </row>
    <row r="3928" spans="1:41" s="2" customFormat="1" x14ac:dyDescent="0.2">
      <c r="A3928"/>
      <c r="B3928"/>
      <c r="C3928"/>
      <c r="D3928"/>
      <c r="E3928"/>
      <c r="F3928"/>
      <c r="G3928"/>
      <c r="U3928"/>
      <c r="V3928"/>
      <c r="W3928"/>
      <c r="X3928"/>
      <c r="Y3928"/>
      <c r="Z3928"/>
      <c r="AA3928"/>
      <c r="AB3928"/>
      <c r="AL3928"/>
      <c r="AM3928"/>
      <c r="AN3928"/>
      <c r="AO3928"/>
    </row>
    <row r="3929" spans="1:41" s="2" customFormat="1" x14ac:dyDescent="0.2">
      <c r="A3929"/>
      <c r="B3929"/>
      <c r="C3929"/>
      <c r="D3929"/>
      <c r="E3929"/>
      <c r="F3929"/>
      <c r="G3929"/>
      <c r="U3929"/>
      <c r="V3929"/>
      <c r="W3929"/>
      <c r="X3929"/>
      <c r="Y3929"/>
      <c r="Z3929"/>
      <c r="AA3929"/>
      <c r="AB3929"/>
      <c r="AL3929"/>
      <c r="AM3929"/>
      <c r="AN3929"/>
      <c r="AO3929"/>
    </row>
    <row r="3930" spans="1:41" s="2" customFormat="1" x14ac:dyDescent="0.2">
      <c r="A3930"/>
      <c r="B3930"/>
      <c r="C3930"/>
      <c r="D3930"/>
      <c r="E3930"/>
      <c r="F3930"/>
      <c r="G3930"/>
      <c r="U3930"/>
      <c r="V3930"/>
      <c r="W3930"/>
      <c r="X3930"/>
      <c r="Y3930"/>
      <c r="Z3930"/>
      <c r="AA3930"/>
      <c r="AB3930"/>
      <c r="AL3930"/>
      <c r="AM3930"/>
      <c r="AN3930"/>
      <c r="AO3930"/>
    </row>
    <row r="3931" spans="1:41" s="2" customFormat="1" x14ac:dyDescent="0.2">
      <c r="A3931"/>
      <c r="B3931"/>
      <c r="C3931"/>
      <c r="D3931"/>
      <c r="E3931"/>
      <c r="F3931"/>
      <c r="G3931"/>
      <c r="U3931"/>
      <c r="V3931"/>
      <c r="W3931"/>
      <c r="X3931"/>
      <c r="Y3931"/>
      <c r="Z3931"/>
      <c r="AA3931"/>
      <c r="AB3931"/>
      <c r="AL3931"/>
      <c r="AM3931"/>
      <c r="AN3931"/>
      <c r="AO3931"/>
    </row>
    <row r="3932" spans="1:41" s="2" customFormat="1" x14ac:dyDescent="0.2">
      <c r="A3932"/>
      <c r="B3932"/>
      <c r="C3932"/>
      <c r="D3932"/>
      <c r="E3932"/>
      <c r="F3932"/>
      <c r="G3932"/>
      <c r="U3932"/>
      <c r="V3932"/>
      <c r="W3932"/>
      <c r="X3932"/>
      <c r="Y3932"/>
      <c r="Z3932"/>
      <c r="AA3932"/>
      <c r="AB3932"/>
      <c r="AL3932"/>
      <c r="AM3932"/>
      <c r="AN3932"/>
      <c r="AO3932"/>
    </row>
    <row r="3933" spans="1:41" s="2" customFormat="1" x14ac:dyDescent="0.2">
      <c r="A3933"/>
      <c r="B3933"/>
      <c r="C3933"/>
      <c r="D3933"/>
      <c r="E3933"/>
      <c r="F3933"/>
      <c r="G3933"/>
      <c r="U3933"/>
      <c r="V3933"/>
      <c r="W3933"/>
      <c r="X3933"/>
      <c r="Y3933"/>
      <c r="Z3933"/>
      <c r="AA3933"/>
      <c r="AB3933"/>
      <c r="AL3933"/>
      <c r="AM3933"/>
      <c r="AN3933"/>
      <c r="AO3933"/>
    </row>
    <row r="3934" spans="1:41" s="2" customFormat="1" x14ac:dyDescent="0.2">
      <c r="A3934"/>
      <c r="B3934"/>
      <c r="C3934"/>
      <c r="D3934"/>
      <c r="E3934"/>
      <c r="F3934"/>
      <c r="G3934"/>
      <c r="U3934"/>
      <c r="V3934"/>
      <c r="W3934"/>
      <c r="X3934"/>
      <c r="Y3934"/>
      <c r="Z3934"/>
      <c r="AA3934"/>
      <c r="AB3934"/>
      <c r="AL3934"/>
      <c r="AM3934"/>
      <c r="AN3934"/>
      <c r="AO3934"/>
    </row>
    <row r="3935" spans="1:41" s="2" customFormat="1" x14ac:dyDescent="0.2">
      <c r="A3935"/>
      <c r="B3935"/>
      <c r="C3935"/>
      <c r="D3935"/>
      <c r="E3935"/>
      <c r="F3935"/>
      <c r="G3935"/>
      <c r="U3935"/>
      <c r="V3935"/>
      <c r="W3935"/>
      <c r="X3935"/>
      <c r="Y3935"/>
      <c r="Z3935"/>
      <c r="AA3935"/>
      <c r="AB3935"/>
      <c r="AL3935"/>
      <c r="AM3935"/>
      <c r="AN3935"/>
      <c r="AO3935"/>
    </row>
    <row r="3936" spans="1:41" s="2" customFormat="1" x14ac:dyDescent="0.2">
      <c r="A3936"/>
      <c r="B3936"/>
      <c r="C3936"/>
      <c r="D3936"/>
      <c r="E3936"/>
      <c r="F3936"/>
      <c r="G3936"/>
      <c r="U3936"/>
      <c r="V3936"/>
      <c r="W3936"/>
      <c r="X3936"/>
      <c r="Y3936"/>
      <c r="Z3936"/>
      <c r="AA3936"/>
      <c r="AB3936"/>
      <c r="AL3936"/>
      <c r="AM3936"/>
      <c r="AN3936"/>
      <c r="AO3936"/>
    </row>
    <row r="3937" spans="1:41" s="2" customFormat="1" x14ac:dyDescent="0.2">
      <c r="A3937"/>
      <c r="B3937"/>
      <c r="C3937"/>
      <c r="D3937"/>
      <c r="E3937"/>
      <c r="F3937"/>
      <c r="G3937"/>
      <c r="U3937"/>
      <c r="V3937"/>
      <c r="W3937"/>
      <c r="X3937"/>
      <c r="Y3937"/>
      <c r="Z3937"/>
      <c r="AA3937"/>
      <c r="AB3937"/>
      <c r="AL3937"/>
      <c r="AM3937"/>
      <c r="AN3937"/>
      <c r="AO3937"/>
    </row>
    <row r="3938" spans="1:41" s="2" customFormat="1" x14ac:dyDescent="0.2">
      <c r="A3938"/>
      <c r="B3938"/>
      <c r="C3938"/>
      <c r="D3938"/>
      <c r="E3938"/>
      <c r="F3938"/>
      <c r="G3938"/>
      <c r="U3938"/>
      <c r="V3938"/>
      <c r="W3938"/>
      <c r="X3938"/>
      <c r="Y3938"/>
      <c r="Z3938"/>
      <c r="AA3938"/>
      <c r="AB3938"/>
      <c r="AL3938"/>
      <c r="AM3938"/>
      <c r="AN3938"/>
      <c r="AO3938"/>
    </row>
    <row r="3939" spans="1:41" s="2" customFormat="1" x14ac:dyDescent="0.2">
      <c r="A3939"/>
      <c r="B3939"/>
      <c r="C3939"/>
      <c r="D3939"/>
      <c r="E3939"/>
      <c r="F3939"/>
      <c r="G3939"/>
      <c r="U3939"/>
      <c r="V3939"/>
      <c r="W3939"/>
      <c r="X3939"/>
      <c r="Y3939"/>
      <c r="Z3939"/>
      <c r="AA3939"/>
      <c r="AB3939"/>
      <c r="AL3939"/>
      <c r="AM3939"/>
      <c r="AN3939"/>
      <c r="AO3939"/>
    </row>
    <row r="3940" spans="1:41" s="2" customFormat="1" x14ac:dyDescent="0.2">
      <c r="A3940"/>
      <c r="B3940"/>
      <c r="C3940"/>
      <c r="D3940"/>
      <c r="E3940"/>
      <c r="F3940"/>
      <c r="G3940"/>
      <c r="U3940"/>
      <c r="V3940"/>
      <c r="W3940"/>
      <c r="X3940"/>
      <c r="Y3940"/>
      <c r="Z3940"/>
      <c r="AA3940"/>
      <c r="AB3940"/>
      <c r="AL3940"/>
      <c r="AM3940"/>
      <c r="AN3940"/>
      <c r="AO3940"/>
    </row>
    <row r="3941" spans="1:41" s="2" customFormat="1" x14ac:dyDescent="0.2">
      <c r="A3941"/>
      <c r="B3941"/>
      <c r="C3941"/>
      <c r="D3941"/>
      <c r="E3941"/>
      <c r="F3941"/>
      <c r="G3941"/>
      <c r="U3941"/>
      <c r="V3941"/>
      <c r="W3941"/>
      <c r="X3941"/>
      <c r="Y3941"/>
      <c r="Z3941"/>
      <c r="AA3941"/>
      <c r="AB3941"/>
      <c r="AL3941"/>
      <c r="AM3941"/>
      <c r="AN3941"/>
      <c r="AO3941"/>
    </row>
    <row r="3942" spans="1:41" s="2" customFormat="1" x14ac:dyDescent="0.2">
      <c r="A3942"/>
      <c r="B3942"/>
      <c r="C3942"/>
      <c r="D3942"/>
      <c r="E3942"/>
      <c r="F3942"/>
      <c r="G3942"/>
      <c r="U3942"/>
      <c r="V3942"/>
      <c r="W3942"/>
      <c r="X3942"/>
      <c r="Y3942"/>
      <c r="Z3942"/>
      <c r="AA3942"/>
      <c r="AB3942"/>
      <c r="AL3942"/>
      <c r="AM3942"/>
      <c r="AN3942"/>
      <c r="AO3942"/>
    </row>
    <row r="3943" spans="1:41" s="2" customFormat="1" x14ac:dyDescent="0.2">
      <c r="A3943"/>
      <c r="B3943"/>
      <c r="C3943"/>
      <c r="D3943"/>
      <c r="E3943"/>
      <c r="F3943"/>
      <c r="G3943"/>
      <c r="U3943"/>
      <c r="V3943"/>
      <c r="W3943"/>
      <c r="X3943"/>
      <c r="Y3943"/>
      <c r="Z3943"/>
      <c r="AA3943"/>
      <c r="AB3943"/>
      <c r="AL3943"/>
      <c r="AM3943"/>
      <c r="AN3943"/>
      <c r="AO3943"/>
    </row>
    <row r="3944" spans="1:41" s="2" customFormat="1" x14ac:dyDescent="0.2">
      <c r="A3944"/>
      <c r="B3944"/>
      <c r="C3944"/>
      <c r="D3944"/>
      <c r="E3944"/>
      <c r="F3944"/>
      <c r="G3944"/>
      <c r="U3944"/>
      <c r="V3944"/>
      <c r="W3944"/>
      <c r="X3944"/>
      <c r="Y3944"/>
      <c r="Z3944"/>
      <c r="AA3944"/>
      <c r="AB3944"/>
      <c r="AL3944"/>
      <c r="AM3944"/>
      <c r="AN3944"/>
      <c r="AO3944"/>
    </row>
    <row r="3945" spans="1:41" s="2" customFormat="1" x14ac:dyDescent="0.2">
      <c r="A3945"/>
      <c r="B3945"/>
      <c r="C3945"/>
      <c r="D3945"/>
      <c r="E3945"/>
      <c r="F3945"/>
      <c r="G3945"/>
      <c r="U3945"/>
      <c r="V3945"/>
      <c r="W3945"/>
      <c r="X3945"/>
      <c r="Y3945"/>
      <c r="Z3945"/>
      <c r="AA3945"/>
      <c r="AB3945"/>
      <c r="AL3945"/>
      <c r="AM3945"/>
      <c r="AN3945"/>
      <c r="AO3945"/>
    </row>
    <row r="3946" spans="1:41" s="2" customFormat="1" x14ac:dyDescent="0.2">
      <c r="A3946"/>
      <c r="B3946"/>
      <c r="C3946"/>
      <c r="D3946"/>
      <c r="E3946"/>
      <c r="F3946"/>
      <c r="G3946"/>
      <c r="U3946"/>
      <c r="V3946"/>
      <c r="W3946"/>
      <c r="X3946"/>
      <c r="Y3946"/>
      <c r="Z3946"/>
      <c r="AA3946"/>
      <c r="AB3946"/>
      <c r="AL3946"/>
      <c r="AM3946"/>
      <c r="AN3946"/>
      <c r="AO3946"/>
    </row>
    <row r="3947" spans="1:41" s="2" customFormat="1" x14ac:dyDescent="0.2">
      <c r="A3947"/>
      <c r="B3947"/>
      <c r="C3947"/>
      <c r="D3947"/>
      <c r="E3947"/>
      <c r="F3947"/>
      <c r="G3947"/>
      <c r="U3947"/>
      <c r="V3947"/>
      <c r="W3947"/>
      <c r="X3947"/>
      <c r="Y3947"/>
      <c r="Z3947"/>
      <c r="AA3947"/>
      <c r="AB3947"/>
      <c r="AL3947"/>
      <c r="AM3947"/>
      <c r="AN3947"/>
      <c r="AO3947"/>
    </row>
    <row r="3948" spans="1:41" s="2" customFormat="1" x14ac:dyDescent="0.2">
      <c r="A3948"/>
      <c r="B3948"/>
      <c r="C3948"/>
      <c r="D3948"/>
      <c r="E3948"/>
      <c r="F3948"/>
      <c r="G3948"/>
      <c r="U3948"/>
      <c r="V3948"/>
      <c r="W3948"/>
      <c r="X3948"/>
      <c r="Y3948"/>
      <c r="Z3948"/>
      <c r="AA3948"/>
      <c r="AB3948"/>
      <c r="AL3948"/>
      <c r="AM3948"/>
      <c r="AN3948"/>
      <c r="AO3948"/>
    </row>
    <row r="3949" spans="1:41" s="2" customFormat="1" x14ac:dyDescent="0.2">
      <c r="A3949"/>
      <c r="B3949"/>
      <c r="C3949"/>
      <c r="D3949"/>
      <c r="E3949"/>
      <c r="F3949"/>
      <c r="G3949"/>
      <c r="U3949"/>
      <c r="V3949"/>
      <c r="W3949"/>
      <c r="X3949"/>
      <c r="Y3949"/>
      <c r="Z3949"/>
      <c r="AA3949"/>
      <c r="AB3949"/>
      <c r="AL3949"/>
      <c r="AM3949"/>
      <c r="AN3949"/>
      <c r="AO3949"/>
    </row>
    <row r="3950" spans="1:41" s="2" customFormat="1" x14ac:dyDescent="0.2">
      <c r="A3950"/>
      <c r="B3950"/>
      <c r="C3950"/>
      <c r="D3950"/>
      <c r="E3950"/>
      <c r="F3950"/>
      <c r="G3950"/>
      <c r="U3950"/>
      <c r="V3950"/>
      <c r="W3950"/>
      <c r="X3950"/>
      <c r="Y3950"/>
      <c r="Z3950"/>
      <c r="AA3950"/>
      <c r="AB3950"/>
      <c r="AL3950"/>
      <c r="AM3950"/>
      <c r="AN3950"/>
      <c r="AO3950"/>
    </row>
    <row r="3951" spans="1:41" s="2" customFormat="1" x14ac:dyDescent="0.2">
      <c r="A3951"/>
      <c r="B3951"/>
      <c r="C3951"/>
      <c r="D3951"/>
      <c r="E3951"/>
      <c r="F3951"/>
      <c r="G3951"/>
      <c r="U3951"/>
      <c r="V3951"/>
      <c r="W3951"/>
      <c r="X3951"/>
      <c r="Y3951"/>
      <c r="Z3951"/>
      <c r="AA3951"/>
      <c r="AB3951"/>
      <c r="AL3951"/>
      <c r="AM3951"/>
      <c r="AN3951"/>
      <c r="AO3951"/>
    </row>
    <row r="3952" spans="1:41" s="2" customFormat="1" x14ac:dyDescent="0.2">
      <c r="A3952"/>
      <c r="B3952"/>
      <c r="C3952"/>
      <c r="D3952"/>
      <c r="E3952"/>
      <c r="F3952"/>
      <c r="G3952"/>
      <c r="U3952"/>
      <c r="V3952"/>
      <c r="W3952"/>
      <c r="X3952"/>
      <c r="Y3952"/>
      <c r="Z3952"/>
      <c r="AA3952"/>
      <c r="AB3952"/>
      <c r="AL3952"/>
      <c r="AM3952"/>
      <c r="AN3952"/>
      <c r="AO3952"/>
    </row>
    <row r="3953" spans="1:41" s="2" customFormat="1" x14ac:dyDescent="0.2">
      <c r="A3953"/>
      <c r="B3953"/>
      <c r="C3953"/>
      <c r="D3953"/>
      <c r="E3953"/>
      <c r="F3953"/>
      <c r="G3953"/>
      <c r="U3953"/>
      <c r="V3953"/>
      <c r="W3953"/>
      <c r="X3953"/>
      <c r="Y3953"/>
      <c r="Z3953"/>
      <c r="AA3953"/>
      <c r="AB3953"/>
      <c r="AL3953"/>
      <c r="AM3953"/>
      <c r="AN3953"/>
      <c r="AO3953"/>
    </row>
    <row r="3954" spans="1:41" s="2" customFormat="1" x14ac:dyDescent="0.2">
      <c r="A3954"/>
      <c r="B3954"/>
      <c r="C3954"/>
      <c r="D3954"/>
      <c r="E3954"/>
      <c r="F3954"/>
      <c r="G3954"/>
      <c r="U3954"/>
      <c r="V3954"/>
      <c r="W3954"/>
      <c r="X3954"/>
      <c r="Y3954"/>
      <c r="Z3954"/>
      <c r="AA3954"/>
      <c r="AB3954"/>
      <c r="AL3954"/>
      <c r="AM3954"/>
      <c r="AN3954"/>
      <c r="AO3954"/>
    </row>
    <row r="3955" spans="1:41" s="2" customFormat="1" x14ac:dyDescent="0.2">
      <c r="A3955"/>
      <c r="B3955"/>
      <c r="C3955"/>
      <c r="D3955"/>
      <c r="E3955"/>
      <c r="F3955"/>
      <c r="G3955"/>
      <c r="U3955"/>
      <c r="V3955"/>
      <c r="W3955"/>
      <c r="X3955"/>
      <c r="Y3955"/>
      <c r="Z3955"/>
      <c r="AA3955"/>
      <c r="AB3955"/>
      <c r="AL3955"/>
      <c r="AM3955"/>
      <c r="AN3955"/>
      <c r="AO3955"/>
    </row>
    <row r="3956" spans="1:41" s="2" customFormat="1" x14ac:dyDescent="0.2">
      <c r="A3956"/>
      <c r="B3956"/>
      <c r="C3956"/>
      <c r="D3956"/>
      <c r="E3956"/>
      <c r="F3956"/>
      <c r="G3956"/>
      <c r="U3956"/>
      <c r="V3956"/>
      <c r="W3956"/>
      <c r="X3956"/>
      <c r="Y3956"/>
      <c r="Z3956"/>
      <c r="AA3956"/>
      <c r="AB3956"/>
      <c r="AL3956"/>
      <c r="AM3956"/>
      <c r="AN3956"/>
      <c r="AO3956"/>
    </row>
    <row r="3957" spans="1:41" s="2" customFormat="1" x14ac:dyDescent="0.2">
      <c r="A3957"/>
      <c r="B3957"/>
      <c r="C3957"/>
      <c r="D3957"/>
      <c r="E3957"/>
      <c r="F3957"/>
      <c r="G3957"/>
      <c r="U3957"/>
      <c r="V3957"/>
      <c r="W3957"/>
      <c r="X3957"/>
      <c r="Y3957"/>
      <c r="Z3957"/>
      <c r="AA3957"/>
      <c r="AB3957"/>
      <c r="AL3957"/>
      <c r="AM3957"/>
      <c r="AN3957"/>
      <c r="AO3957"/>
    </row>
    <row r="3958" spans="1:41" s="2" customFormat="1" x14ac:dyDescent="0.2">
      <c r="A3958"/>
      <c r="B3958"/>
      <c r="C3958"/>
      <c r="D3958"/>
      <c r="E3958"/>
      <c r="F3958"/>
      <c r="G3958"/>
      <c r="U3958"/>
      <c r="V3958"/>
      <c r="W3958"/>
      <c r="X3958"/>
      <c r="Y3958"/>
      <c r="Z3958"/>
      <c r="AA3958"/>
      <c r="AB3958"/>
      <c r="AL3958"/>
      <c r="AM3958"/>
      <c r="AN3958"/>
      <c r="AO3958"/>
    </row>
    <row r="3959" spans="1:41" s="2" customFormat="1" x14ac:dyDescent="0.2">
      <c r="A3959"/>
      <c r="B3959"/>
      <c r="C3959"/>
      <c r="D3959"/>
      <c r="E3959"/>
      <c r="F3959"/>
      <c r="G3959"/>
      <c r="U3959"/>
      <c r="V3959"/>
      <c r="W3959"/>
      <c r="X3959"/>
      <c r="Y3959"/>
      <c r="Z3959"/>
      <c r="AA3959"/>
      <c r="AB3959"/>
      <c r="AL3959"/>
      <c r="AM3959"/>
      <c r="AN3959"/>
      <c r="AO3959"/>
    </row>
    <row r="3960" spans="1:41" s="2" customFormat="1" x14ac:dyDescent="0.2">
      <c r="A3960"/>
      <c r="B3960"/>
      <c r="C3960"/>
      <c r="D3960"/>
      <c r="E3960"/>
      <c r="F3960"/>
      <c r="G3960"/>
      <c r="U3960"/>
      <c r="V3960"/>
      <c r="W3960"/>
      <c r="X3960"/>
      <c r="Y3960"/>
      <c r="Z3960"/>
      <c r="AA3960"/>
      <c r="AB3960"/>
      <c r="AL3960"/>
      <c r="AM3960"/>
      <c r="AN3960"/>
      <c r="AO3960"/>
    </row>
    <row r="3961" spans="1:41" s="2" customFormat="1" x14ac:dyDescent="0.2">
      <c r="A3961"/>
      <c r="B3961"/>
      <c r="C3961"/>
      <c r="D3961"/>
      <c r="E3961"/>
      <c r="F3961"/>
      <c r="G3961"/>
      <c r="U3961"/>
      <c r="V3961"/>
      <c r="W3961"/>
      <c r="X3961"/>
      <c r="Y3961"/>
      <c r="Z3961"/>
      <c r="AA3961"/>
      <c r="AB3961"/>
      <c r="AL3961"/>
      <c r="AM3961"/>
      <c r="AN3961"/>
      <c r="AO3961"/>
    </row>
    <row r="3962" spans="1:41" s="2" customFormat="1" x14ac:dyDescent="0.2">
      <c r="A3962"/>
      <c r="B3962"/>
      <c r="C3962"/>
      <c r="D3962"/>
      <c r="E3962"/>
      <c r="F3962"/>
      <c r="G3962"/>
      <c r="U3962"/>
      <c r="V3962"/>
      <c r="W3962"/>
      <c r="X3962"/>
      <c r="Y3962"/>
      <c r="Z3962"/>
      <c r="AA3962"/>
      <c r="AB3962"/>
      <c r="AL3962"/>
      <c r="AM3962"/>
      <c r="AN3962"/>
      <c r="AO3962"/>
    </row>
    <row r="3963" spans="1:41" s="2" customFormat="1" x14ac:dyDescent="0.2">
      <c r="A3963"/>
      <c r="B3963"/>
      <c r="C3963"/>
      <c r="D3963"/>
      <c r="E3963"/>
      <c r="F3963"/>
      <c r="G3963"/>
      <c r="U3963"/>
      <c r="V3963"/>
      <c r="W3963"/>
      <c r="X3963"/>
      <c r="Y3963"/>
      <c r="Z3963"/>
      <c r="AA3963"/>
      <c r="AB3963"/>
      <c r="AL3963"/>
      <c r="AM3963"/>
      <c r="AN3963"/>
      <c r="AO3963"/>
    </row>
    <row r="3964" spans="1:41" s="2" customFormat="1" x14ac:dyDescent="0.2">
      <c r="A3964"/>
      <c r="B3964"/>
      <c r="C3964"/>
      <c r="D3964"/>
      <c r="E3964"/>
      <c r="F3964"/>
      <c r="G3964"/>
      <c r="U3964"/>
      <c r="V3964"/>
      <c r="W3964"/>
      <c r="X3964"/>
      <c r="Y3964"/>
      <c r="Z3964"/>
      <c r="AA3964"/>
      <c r="AB3964"/>
      <c r="AL3964"/>
      <c r="AM3964"/>
      <c r="AN3964"/>
      <c r="AO3964"/>
    </row>
    <row r="3965" spans="1:41" s="2" customFormat="1" x14ac:dyDescent="0.2">
      <c r="A3965"/>
      <c r="B3965"/>
      <c r="C3965"/>
      <c r="D3965"/>
      <c r="E3965"/>
      <c r="F3965"/>
      <c r="G3965"/>
      <c r="U3965"/>
      <c r="V3965"/>
      <c r="W3965"/>
      <c r="X3965"/>
      <c r="Y3965"/>
      <c r="Z3965"/>
      <c r="AA3965"/>
      <c r="AB3965"/>
      <c r="AL3965"/>
      <c r="AM3965"/>
      <c r="AN3965"/>
      <c r="AO3965"/>
    </row>
    <row r="3966" spans="1:41" s="2" customFormat="1" x14ac:dyDescent="0.2">
      <c r="A3966"/>
      <c r="B3966"/>
      <c r="C3966"/>
      <c r="D3966"/>
      <c r="E3966"/>
      <c r="F3966"/>
      <c r="G3966"/>
      <c r="U3966"/>
      <c r="V3966"/>
      <c r="W3966"/>
      <c r="X3966"/>
      <c r="Y3966"/>
      <c r="Z3966"/>
      <c r="AA3966"/>
      <c r="AB3966"/>
      <c r="AL3966"/>
      <c r="AM3966"/>
      <c r="AN3966"/>
      <c r="AO3966"/>
    </row>
    <row r="3967" spans="1:41" s="2" customFormat="1" x14ac:dyDescent="0.2">
      <c r="A3967"/>
      <c r="B3967"/>
      <c r="C3967"/>
      <c r="D3967"/>
      <c r="E3967"/>
      <c r="F3967"/>
      <c r="G3967"/>
      <c r="U3967"/>
      <c r="V3967"/>
      <c r="W3967"/>
      <c r="X3967"/>
      <c r="Y3967"/>
      <c r="Z3967"/>
      <c r="AA3967"/>
      <c r="AB3967"/>
      <c r="AL3967"/>
      <c r="AM3967"/>
      <c r="AN3967"/>
      <c r="AO3967"/>
    </row>
    <row r="3968" spans="1:41" s="2" customFormat="1" x14ac:dyDescent="0.2">
      <c r="A3968"/>
      <c r="B3968"/>
      <c r="C3968"/>
      <c r="D3968"/>
      <c r="E3968"/>
      <c r="F3968"/>
      <c r="G3968"/>
      <c r="U3968"/>
      <c r="V3968"/>
      <c r="W3968"/>
      <c r="X3968"/>
      <c r="Y3968"/>
      <c r="Z3968"/>
      <c r="AA3968"/>
      <c r="AB3968"/>
      <c r="AL3968"/>
      <c r="AM3968"/>
      <c r="AN3968"/>
      <c r="AO3968"/>
    </row>
    <row r="3969" spans="1:41" s="2" customFormat="1" x14ac:dyDescent="0.2">
      <c r="A3969"/>
      <c r="B3969"/>
      <c r="C3969"/>
      <c r="D3969"/>
      <c r="E3969"/>
      <c r="F3969"/>
      <c r="G3969"/>
      <c r="U3969"/>
      <c r="V3969"/>
      <c r="W3969"/>
      <c r="X3969"/>
      <c r="Y3969"/>
      <c r="Z3969"/>
      <c r="AA3969"/>
      <c r="AB3969"/>
      <c r="AL3969"/>
      <c r="AM3969"/>
      <c r="AN3969"/>
      <c r="AO3969"/>
    </row>
    <row r="3970" spans="1:41" s="2" customFormat="1" x14ac:dyDescent="0.2">
      <c r="A3970"/>
      <c r="B3970"/>
      <c r="C3970"/>
      <c r="D3970"/>
      <c r="E3970"/>
      <c r="F3970"/>
      <c r="G3970"/>
      <c r="U3970"/>
      <c r="V3970"/>
      <c r="W3970"/>
      <c r="X3970"/>
      <c r="Y3970"/>
      <c r="Z3970"/>
      <c r="AA3970"/>
      <c r="AB3970"/>
      <c r="AL3970"/>
      <c r="AM3970"/>
      <c r="AN3970"/>
      <c r="AO3970"/>
    </row>
    <row r="3971" spans="1:41" s="2" customFormat="1" x14ac:dyDescent="0.2">
      <c r="A3971"/>
      <c r="B3971"/>
      <c r="C3971"/>
      <c r="D3971"/>
      <c r="E3971"/>
      <c r="F3971"/>
      <c r="G3971"/>
      <c r="U3971"/>
      <c r="V3971"/>
      <c r="W3971"/>
      <c r="X3971"/>
      <c r="Y3971"/>
      <c r="Z3971"/>
      <c r="AA3971"/>
      <c r="AB3971"/>
      <c r="AL3971"/>
      <c r="AM3971"/>
      <c r="AN3971"/>
      <c r="AO3971"/>
    </row>
    <row r="3972" spans="1:41" s="2" customFormat="1" x14ac:dyDescent="0.2">
      <c r="A3972"/>
      <c r="B3972"/>
      <c r="C3972"/>
      <c r="D3972"/>
      <c r="E3972"/>
      <c r="F3972"/>
      <c r="G3972"/>
      <c r="U3972"/>
      <c r="V3972"/>
      <c r="W3972"/>
      <c r="X3972"/>
      <c r="Y3972"/>
      <c r="Z3972"/>
      <c r="AA3972"/>
      <c r="AB3972"/>
      <c r="AL3972"/>
      <c r="AM3972"/>
      <c r="AN3972"/>
      <c r="AO3972"/>
    </row>
    <row r="3973" spans="1:41" s="2" customFormat="1" x14ac:dyDescent="0.2">
      <c r="A3973"/>
      <c r="B3973"/>
      <c r="C3973"/>
      <c r="D3973"/>
      <c r="E3973"/>
      <c r="F3973"/>
      <c r="G3973"/>
      <c r="U3973"/>
      <c r="V3973"/>
      <c r="W3973"/>
      <c r="X3973"/>
      <c r="Y3973"/>
      <c r="Z3973"/>
      <c r="AA3973"/>
      <c r="AB3973"/>
      <c r="AL3973"/>
      <c r="AM3973"/>
      <c r="AN3973"/>
      <c r="AO3973"/>
    </row>
    <row r="3974" spans="1:41" s="2" customFormat="1" x14ac:dyDescent="0.2">
      <c r="A3974"/>
      <c r="B3974"/>
      <c r="C3974"/>
      <c r="D3974"/>
      <c r="E3974"/>
      <c r="F3974"/>
      <c r="G3974"/>
      <c r="U3974"/>
      <c r="V3974"/>
      <c r="W3974"/>
      <c r="X3974"/>
      <c r="Y3974"/>
      <c r="Z3974"/>
      <c r="AA3974"/>
      <c r="AB3974"/>
      <c r="AL3974"/>
      <c r="AM3974"/>
      <c r="AN3974"/>
      <c r="AO3974"/>
    </row>
    <row r="3975" spans="1:41" s="2" customFormat="1" x14ac:dyDescent="0.2">
      <c r="A3975"/>
      <c r="B3975"/>
      <c r="C3975"/>
      <c r="D3975"/>
      <c r="E3975"/>
      <c r="F3975"/>
      <c r="G3975"/>
      <c r="U3975"/>
      <c r="V3975"/>
      <c r="W3975"/>
      <c r="X3975"/>
      <c r="Y3975"/>
      <c r="Z3975"/>
      <c r="AA3975"/>
      <c r="AB3975"/>
      <c r="AL3975"/>
      <c r="AM3975"/>
      <c r="AN3975"/>
      <c r="AO3975"/>
    </row>
    <row r="3976" spans="1:41" s="2" customFormat="1" x14ac:dyDescent="0.2">
      <c r="A3976"/>
      <c r="B3976"/>
      <c r="C3976"/>
      <c r="D3976"/>
      <c r="E3976"/>
      <c r="F3976"/>
      <c r="G3976"/>
      <c r="U3976"/>
      <c r="V3976"/>
      <c r="W3976"/>
      <c r="X3976"/>
      <c r="Y3976"/>
      <c r="Z3976"/>
      <c r="AA3976"/>
      <c r="AB3976"/>
      <c r="AL3976"/>
      <c r="AM3976"/>
      <c r="AN3976"/>
      <c r="AO3976"/>
    </row>
    <row r="3977" spans="1:41" s="2" customFormat="1" x14ac:dyDescent="0.2">
      <c r="A3977"/>
      <c r="B3977"/>
      <c r="C3977"/>
      <c r="D3977"/>
      <c r="E3977"/>
      <c r="F3977"/>
      <c r="G3977"/>
      <c r="U3977"/>
      <c r="V3977"/>
      <c r="W3977"/>
      <c r="X3977"/>
      <c r="Y3977"/>
      <c r="Z3977"/>
      <c r="AA3977"/>
      <c r="AB3977"/>
      <c r="AL3977"/>
      <c r="AM3977"/>
      <c r="AN3977"/>
      <c r="AO3977"/>
    </row>
    <row r="3978" spans="1:41" s="2" customFormat="1" x14ac:dyDescent="0.2">
      <c r="A3978"/>
      <c r="B3978"/>
      <c r="C3978"/>
      <c r="D3978"/>
      <c r="E3978"/>
      <c r="F3978"/>
      <c r="G3978"/>
      <c r="U3978"/>
      <c r="V3978"/>
      <c r="W3978"/>
      <c r="X3978"/>
      <c r="Y3978"/>
      <c r="Z3978"/>
      <c r="AA3978"/>
      <c r="AB3978"/>
      <c r="AL3978"/>
      <c r="AM3978"/>
      <c r="AN3978"/>
      <c r="AO3978"/>
    </row>
    <row r="3979" spans="1:41" s="2" customFormat="1" x14ac:dyDescent="0.2">
      <c r="A3979"/>
      <c r="B3979"/>
      <c r="C3979"/>
      <c r="D3979"/>
      <c r="E3979"/>
      <c r="F3979"/>
      <c r="G3979"/>
      <c r="U3979"/>
      <c r="V3979"/>
      <c r="W3979"/>
      <c r="X3979"/>
      <c r="Y3979"/>
      <c r="Z3979"/>
      <c r="AA3979"/>
      <c r="AB3979"/>
      <c r="AL3979"/>
      <c r="AM3979"/>
      <c r="AN3979"/>
      <c r="AO3979"/>
    </row>
    <row r="3980" spans="1:41" s="2" customFormat="1" x14ac:dyDescent="0.2">
      <c r="A3980"/>
      <c r="B3980"/>
      <c r="C3980"/>
      <c r="D3980"/>
      <c r="E3980"/>
      <c r="F3980"/>
      <c r="G3980"/>
      <c r="U3980"/>
      <c r="V3980"/>
      <c r="W3980"/>
      <c r="X3980"/>
      <c r="Y3980"/>
      <c r="Z3980"/>
      <c r="AA3980"/>
      <c r="AB3980"/>
      <c r="AL3980"/>
      <c r="AM3980"/>
      <c r="AN3980"/>
      <c r="AO3980"/>
    </row>
    <row r="3981" spans="1:41" s="2" customFormat="1" x14ac:dyDescent="0.2">
      <c r="A3981"/>
      <c r="B3981"/>
      <c r="C3981"/>
      <c r="D3981"/>
      <c r="E3981"/>
      <c r="F3981"/>
      <c r="G3981"/>
      <c r="U3981"/>
      <c r="V3981"/>
      <c r="W3981"/>
      <c r="X3981"/>
      <c r="Y3981"/>
      <c r="Z3981"/>
      <c r="AA3981"/>
      <c r="AB3981"/>
      <c r="AL3981"/>
      <c r="AM3981"/>
      <c r="AN3981"/>
      <c r="AO3981"/>
    </row>
    <row r="3982" spans="1:41" s="2" customFormat="1" x14ac:dyDescent="0.2">
      <c r="A3982"/>
      <c r="B3982"/>
      <c r="C3982"/>
      <c r="D3982"/>
      <c r="E3982"/>
      <c r="F3982"/>
      <c r="G3982"/>
      <c r="U3982"/>
      <c r="V3982"/>
      <c r="W3982"/>
      <c r="X3982"/>
      <c r="Y3982"/>
      <c r="Z3982"/>
      <c r="AA3982"/>
      <c r="AB3982"/>
      <c r="AL3982"/>
      <c r="AM3982"/>
      <c r="AN3982"/>
      <c r="AO3982"/>
    </row>
    <row r="3983" spans="1:41" s="2" customFormat="1" x14ac:dyDescent="0.2">
      <c r="A3983"/>
      <c r="B3983"/>
      <c r="C3983"/>
      <c r="D3983"/>
      <c r="E3983"/>
      <c r="F3983"/>
      <c r="G3983"/>
      <c r="U3983"/>
      <c r="V3983"/>
      <c r="W3983"/>
      <c r="X3983"/>
      <c r="Y3983"/>
      <c r="Z3983"/>
      <c r="AA3983"/>
      <c r="AB3983"/>
      <c r="AL3983"/>
      <c r="AM3983"/>
      <c r="AN3983"/>
      <c r="AO3983"/>
    </row>
    <row r="3984" spans="1:41" s="2" customFormat="1" x14ac:dyDescent="0.2">
      <c r="A3984"/>
      <c r="B3984"/>
      <c r="C3984"/>
      <c r="D3984"/>
      <c r="E3984"/>
      <c r="F3984"/>
      <c r="G3984"/>
      <c r="U3984"/>
      <c r="V3984"/>
      <c r="W3984"/>
      <c r="X3984"/>
      <c r="Y3984"/>
      <c r="Z3984"/>
      <c r="AA3984"/>
      <c r="AB3984"/>
      <c r="AL3984"/>
      <c r="AM3984"/>
      <c r="AN3984"/>
      <c r="AO3984"/>
    </row>
    <row r="3985" spans="1:41" s="2" customFormat="1" x14ac:dyDescent="0.2">
      <c r="A3985"/>
      <c r="B3985"/>
      <c r="C3985"/>
      <c r="D3985"/>
      <c r="E3985"/>
      <c r="F3985"/>
      <c r="G3985"/>
      <c r="U3985"/>
      <c r="V3985"/>
      <c r="W3985"/>
      <c r="X3985"/>
      <c r="Y3985"/>
      <c r="Z3985"/>
      <c r="AA3985"/>
      <c r="AB3985"/>
      <c r="AL3985"/>
      <c r="AM3985"/>
      <c r="AN3985"/>
      <c r="AO3985"/>
    </row>
    <row r="3986" spans="1:41" s="2" customFormat="1" x14ac:dyDescent="0.2">
      <c r="A3986"/>
      <c r="B3986"/>
      <c r="C3986"/>
      <c r="D3986"/>
      <c r="E3986"/>
      <c r="F3986"/>
      <c r="G3986"/>
      <c r="U3986"/>
      <c r="V3986"/>
      <c r="W3986"/>
      <c r="X3986"/>
      <c r="Y3986"/>
      <c r="Z3986"/>
      <c r="AA3986"/>
      <c r="AB3986"/>
      <c r="AL3986"/>
      <c r="AM3986"/>
      <c r="AN3986"/>
      <c r="AO3986"/>
    </row>
    <row r="3987" spans="1:41" s="2" customFormat="1" x14ac:dyDescent="0.2">
      <c r="A3987"/>
      <c r="B3987"/>
      <c r="C3987"/>
      <c r="D3987"/>
      <c r="E3987"/>
      <c r="F3987"/>
      <c r="G3987"/>
      <c r="U3987"/>
      <c r="V3987"/>
      <c r="W3987"/>
      <c r="X3987"/>
      <c r="Y3987"/>
      <c r="Z3987"/>
      <c r="AA3987"/>
      <c r="AB3987"/>
      <c r="AL3987"/>
      <c r="AM3987"/>
      <c r="AN3987"/>
      <c r="AO3987"/>
    </row>
    <row r="3988" spans="1:41" s="2" customFormat="1" x14ac:dyDescent="0.2">
      <c r="A3988"/>
      <c r="B3988"/>
      <c r="C3988"/>
      <c r="D3988"/>
      <c r="E3988"/>
      <c r="F3988"/>
      <c r="G3988"/>
      <c r="U3988"/>
      <c r="V3988"/>
      <c r="W3988"/>
      <c r="X3988"/>
      <c r="Y3988"/>
      <c r="Z3988"/>
      <c r="AA3988"/>
      <c r="AB3988"/>
      <c r="AL3988"/>
      <c r="AM3988"/>
      <c r="AN3988"/>
      <c r="AO3988"/>
    </row>
    <row r="3989" spans="1:41" s="2" customFormat="1" x14ac:dyDescent="0.2">
      <c r="A3989"/>
      <c r="B3989"/>
      <c r="C3989"/>
      <c r="D3989"/>
      <c r="E3989"/>
      <c r="F3989"/>
      <c r="G3989"/>
      <c r="U3989"/>
      <c r="V3989"/>
      <c r="W3989"/>
      <c r="X3989"/>
      <c r="Y3989"/>
      <c r="Z3989"/>
      <c r="AA3989"/>
      <c r="AB3989"/>
      <c r="AL3989"/>
      <c r="AM3989"/>
      <c r="AN3989"/>
      <c r="AO3989"/>
    </row>
    <row r="3990" spans="1:41" s="2" customFormat="1" x14ac:dyDescent="0.2">
      <c r="A3990"/>
      <c r="B3990"/>
      <c r="C3990"/>
      <c r="D3990"/>
      <c r="E3990"/>
      <c r="F3990"/>
      <c r="G3990"/>
      <c r="U3990"/>
      <c r="V3990"/>
      <c r="W3990"/>
      <c r="X3990"/>
      <c r="Y3990"/>
      <c r="Z3990"/>
      <c r="AA3990"/>
      <c r="AB3990"/>
      <c r="AL3990"/>
      <c r="AM3990"/>
      <c r="AN3990"/>
      <c r="AO3990"/>
    </row>
    <row r="3991" spans="1:41" s="2" customFormat="1" x14ac:dyDescent="0.2">
      <c r="A3991"/>
      <c r="B3991"/>
      <c r="C3991"/>
      <c r="D3991"/>
      <c r="E3991"/>
      <c r="F3991"/>
      <c r="G3991"/>
      <c r="U3991"/>
      <c r="V3991"/>
      <c r="W3991"/>
      <c r="X3991"/>
      <c r="Y3991"/>
      <c r="Z3991"/>
      <c r="AA3991"/>
      <c r="AB3991"/>
      <c r="AL3991"/>
      <c r="AM3991"/>
      <c r="AN3991"/>
      <c r="AO3991"/>
    </row>
    <row r="3992" spans="1:41" s="2" customFormat="1" x14ac:dyDescent="0.2">
      <c r="A3992"/>
      <c r="B3992"/>
      <c r="C3992"/>
      <c r="D3992"/>
      <c r="E3992"/>
      <c r="F3992"/>
      <c r="G3992"/>
      <c r="U3992"/>
      <c r="V3992"/>
      <c r="W3992"/>
      <c r="X3992"/>
      <c r="Y3992"/>
      <c r="Z3992"/>
      <c r="AA3992"/>
      <c r="AB3992"/>
      <c r="AL3992"/>
      <c r="AM3992"/>
      <c r="AN3992"/>
      <c r="AO3992"/>
    </row>
    <row r="3993" spans="1:41" s="2" customFormat="1" x14ac:dyDescent="0.2">
      <c r="A3993"/>
      <c r="B3993"/>
      <c r="C3993"/>
      <c r="D3993"/>
      <c r="E3993"/>
      <c r="F3993"/>
      <c r="G3993"/>
      <c r="U3993"/>
      <c r="V3993"/>
      <c r="W3993"/>
      <c r="X3993"/>
      <c r="Y3993"/>
      <c r="Z3993"/>
      <c r="AA3993"/>
      <c r="AB3993"/>
      <c r="AL3993"/>
      <c r="AM3993"/>
      <c r="AN3993"/>
      <c r="AO3993"/>
    </row>
    <row r="3994" spans="1:41" s="2" customFormat="1" x14ac:dyDescent="0.2">
      <c r="A3994"/>
      <c r="B3994"/>
      <c r="C3994"/>
      <c r="D3994"/>
      <c r="E3994"/>
      <c r="F3994"/>
      <c r="G3994"/>
      <c r="U3994"/>
      <c r="V3994"/>
      <c r="W3994"/>
      <c r="X3994"/>
      <c r="Y3994"/>
      <c r="Z3994"/>
      <c r="AA3994"/>
      <c r="AB3994"/>
      <c r="AL3994"/>
      <c r="AM3994"/>
      <c r="AN3994"/>
      <c r="AO3994"/>
    </row>
    <row r="3995" spans="1:41" s="2" customFormat="1" x14ac:dyDescent="0.2">
      <c r="A3995"/>
      <c r="B3995"/>
      <c r="C3995"/>
      <c r="D3995"/>
      <c r="E3995"/>
      <c r="F3995"/>
      <c r="G3995"/>
      <c r="U3995"/>
      <c r="V3995"/>
      <c r="W3995"/>
      <c r="X3995"/>
      <c r="Y3995"/>
      <c r="Z3995"/>
      <c r="AA3995"/>
      <c r="AB3995"/>
      <c r="AL3995"/>
      <c r="AM3995"/>
      <c r="AN3995"/>
      <c r="AO3995"/>
    </row>
    <row r="3996" spans="1:41" s="2" customFormat="1" x14ac:dyDescent="0.2">
      <c r="A3996"/>
      <c r="B3996"/>
      <c r="C3996"/>
      <c r="D3996"/>
      <c r="E3996"/>
      <c r="F3996"/>
      <c r="G3996"/>
      <c r="U3996"/>
      <c r="V3996"/>
      <c r="W3996"/>
      <c r="X3996"/>
      <c r="Y3996"/>
      <c r="Z3996"/>
      <c r="AA3996"/>
      <c r="AB3996"/>
      <c r="AL3996"/>
      <c r="AM3996"/>
      <c r="AN3996"/>
      <c r="AO3996"/>
    </row>
    <row r="3997" spans="1:41" s="2" customFormat="1" x14ac:dyDescent="0.2">
      <c r="A3997"/>
      <c r="B3997"/>
      <c r="C3997"/>
      <c r="D3997"/>
      <c r="E3997"/>
      <c r="F3997"/>
      <c r="G3997"/>
      <c r="U3997"/>
      <c r="V3997"/>
      <c r="W3997"/>
      <c r="X3997"/>
      <c r="Y3997"/>
      <c r="Z3997"/>
      <c r="AA3997"/>
      <c r="AB3997"/>
      <c r="AL3997"/>
      <c r="AM3997"/>
      <c r="AN3997"/>
      <c r="AO3997"/>
    </row>
    <row r="3998" spans="1:41" s="2" customFormat="1" x14ac:dyDescent="0.2">
      <c r="A3998"/>
      <c r="B3998"/>
      <c r="C3998"/>
      <c r="D3998"/>
      <c r="E3998"/>
      <c r="F3998"/>
      <c r="G3998"/>
      <c r="U3998"/>
      <c r="V3998"/>
      <c r="W3998"/>
      <c r="X3998"/>
      <c r="Y3998"/>
      <c r="Z3998"/>
      <c r="AA3998"/>
      <c r="AB3998"/>
      <c r="AL3998"/>
      <c r="AM3998"/>
      <c r="AN3998"/>
      <c r="AO3998"/>
    </row>
    <row r="3999" spans="1:41" s="2" customFormat="1" x14ac:dyDescent="0.2">
      <c r="A3999"/>
      <c r="B3999"/>
      <c r="C3999"/>
      <c r="D3999"/>
      <c r="E3999"/>
      <c r="F3999"/>
      <c r="G3999"/>
      <c r="U3999"/>
      <c r="V3999"/>
      <c r="W3999"/>
      <c r="X3999"/>
      <c r="Y3999"/>
      <c r="Z3999"/>
      <c r="AA3999"/>
      <c r="AB3999"/>
      <c r="AL3999"/>
      <c r="AM3999"/>
      <c r="AN3999"/>
      <c r="AO3999"/>
    </row>
    <row r="4000" spans="1:41" s="2" customFormat="1" x14ac:dyDescent="0.2">
      <c r="A4000"/>
      <c r="B4000"/>
      <c r="C4000"/>
      <c r="D4000"/>
      <c r="E4000"/>
      <c r="F4000"/>
      <c r="G4000"/>
      <c r="U4000"/>
      <c r="V4000"/>
      <c r="W4000"/>
      <c r="X4000"/>
      <c r="Y4000"/>
      <c r="Z4000"/>
      <c r="AA4000"/>
      <c r="AB4000"/>
      <c r="AL4000"/>
      <c r="AM4000"/>
      <c r="AN4000"/>
      <c r="AO4000"/>
    </row>
    <row r="4001" spans="1:41" s="2" customFormat="1" x14ac:dyDescent="0.2">
      <c r="A4001"/>
      <c r="B4001"/>
      <c r="C4001"/>
      <c r="D4001"/>
      <c r="E4001"/>
      <c r="F4001"/>
      <c r="G4001"/>
      <c r="U4001"/>
      <c r="V4001"/>
      <c r="W4001"/>
      <c r="X4001"/>
      <c r="Y4001"/>
      <c r="Z4001"/>
      <c r="AA4001"/>
      <c r="AB4001"/>
      <c r="AL4001"/>
      <c r="AM4001"/>
      <c r="AN4001"/>
      <c r="AO4001"/>
    </row>
    <row r="4002" spans="1:41" s="2" customFormat="1" x14ac:dyDescent="0.2">
      <c r="A4002"/>
      <c r="B4002"/>
      <c r="C4002"/>
      <c r="D4002"/>
      <c r="E4002"/>
      <c r="F4002"/>
      <c r="G4002"/>
      <c r="U4002"/>
      <c r="V4002"/>
      <c r="W4002"/>
      <c r="X4002"/>
      <c r="Y4002"/>
      <c r="Z4002"/>
      <c r="AA4002"/>
      <c r="AB4002"/>
      <c r="AL4002"/>
      <c r="AM4002"/>
      <c r="AN4002"/>
      <c r="AO4002"/>
    </row>
    <row r="4003" spans="1:41" s="2" customFormat="1" x14ac:dyDescent="0.2">
      <c r="A4003"/>
      <c r="B4003"/>
      <c r="C4003"/>
      <c r="D4003"/>
      <c r="E4003"/>
      <c r="F4003"/>
      <c r="G4003"/>
      <c r="U4003"/>
      <c r="V4003"/>
      <c r="W4003"/>
      <c r="X4003"/>
      <c r="Y4003"/>
      <c r="Z4003"/>
      <c r="AA4003"/>
      <c r="AB4003"/>
      <c r="AL4003"/>
      <c r="AM4003"/>
      <c r="AN4003"/>
      <c r="AO4003"/>
    </row>
    <row r="4004" spans="1:41" s="2" customFormat="1" x14ac:dyDescent="0.2">
      <c r="A4004"/>
      <c r="B4004"/>
      <c r="C4004"/>
      <c r="D4004"/>
      <c r="E4004"/>
      <c r="F4004"/>
      <c r="G4004"/>
      <c r="U4004"/>
      <c r="V4004"/>
      <c r="W4004"/>
      <c r="X4004"/>
      <c r="Y4004"/>
      <c r="Z4004"/>
      <c r="AA4004"/>
      <c r="AB4004"/>
      <c r="AL4004"/>
      <c r="AM4004"/>
      <c r="AN4004"/>
      <c r="AO4004"/>
    </row>
    <row r="4005" spans="1:41" s="2" customFormat="1" x14ac:dyDescent="0.2">
      <c r="A4005"/>
      <c r="B4005"/>
      <c r="C4005"/>
      <c r="D4005"/>
      <c r="E4005"/>
      <c r="F4005"/>
      <c r="G4005"/>
      <c r="U4005"/>
      <c r="V4005"/>
      <c r="W4005"/>
      <c r="X4005"/>
      <c r="Y4005"/>
      <c r="Z4005"/>
      <c r="AA4005"/>
      <c r="AB4005"/>
      <c r="AL4005"/>
      <c r="AM4005"/>
      <c r="AN4005"/>
      <c r="AO4005"/>
    </row>
    <row r="4006" spans="1:41" s="2" customFormat="1" x14ac:dyDescent="0.2">
      <c r="A4006"/>
      <c r="B4006"/>
      <c r="C4006"/>
      <c r="D4006"/>
      <c r="E4006"/>
      <c r="F4006"/>
      <c r="G4006"/>
      <c r="U4006"/>
      <c r="V4006"/>
      <c r="W4006"/>
      <c r="X4006"/>
      <c r="Y4006"/>
      <c r="Z4006"/>
      <c r="AA4006"/>
      <c r="AB4006"/>
      <c r="AL4006"/>
      <c r="AM4006"/>
      <c r="AN4006"/>
      <c r="AO4006"/>
    </row>
    <row r="4007" spans="1:41" s="2" customFormat="1" x14ac:dyDescent="0.2">
      <c r="A4007"/>
      <c r="B4007"/>
      <c r="C4007"/>
      <c r="D4007"/>
      <c r="E4007"/>
      <c r="F4007"/>
      <c r="G4007"/>
      <c r="U4007"/>
      <c r="V4007"/>
      <c r="W4007"/>
      <c r="X4007"/>
      <c r="Y4007"/>
      <c r="Z4007"/>
      <c r="AA4007"/>
      <c r="AB4007"/>
      <c r="AL4007"/>
      <c r="AM4007"/>
      <c r="AN4007"/>
      <c r="AO4007"/>
    </row>
    <row r="4008" spans="1:41" s="2" customFormat="1" x14ac:dyDescent="0.2">
      <c r="A4008"/>
      <c r="B4008"/>
      <c r="C4008"/>
      <c r="D4008"/>
      <c r="E4008"/>
      <c r="F4008"/>
      <c r="G4008"/>
      <c r="U4008"/>
      <c r="V4008"/>
      <c r="W4008"/>
      <c r="X4008"/>
      <c r="Y4008"/>
      <c r="Z4008"/>
      <c r="AA4008"/>
      <c r="AB4008"/>
      <c r="AL4008"/>
      <c r="AM4008"/>
      <c r="AN4008"/>
      <c r="AO4008"/>
    </row>
    <row r="4009" spans="1:41" s="2" customFormat="1" x14ac:dyDescent="0.2">
      <c r="A4009"/>
      <c r="B4009"/>
      <c r="C4009"/>
      <c r="D4009"/>
      <c r="E4009"/>
      <c r="F4009"/>
      <c r="G4009"/>
      <c r="U4009"/>
      <c r="V4009"/>
      <c r="W4009"/>
      <c r="X4009"/>
      <c r="Y4009"/>
      <c r="Z4009"/>
      <c r="AA4009"/>
      <c r="AB4009"/>
      <c r="AL4009"/>
      <c r="AM4009"/>
      <c r="AN4009"/>
      <c r="AO4009"/>
    </row>
    <row r="4010" spans="1:41" s="2" customFormat="1" x14ac:dyDescent="0.2">
      <c r="A4010"/>
      <c r="B4010"/>
      <c r="C4010"/>
      <c r="D4010"/>
      <c r="E4010"/>
      <c r="F4010"/>
      <c r="G4010"/>
      <c r="U4010"/>
      <c r="V4010"/>
      <c r="W4010"/>
      <c r="X4010"/>
      <c r="Y4010"/>
      <c r="Z4010"/>
      <c r="AA4010"/>
      <c r="AB4010"/>
      <c r="AL4010"/>
      <c r="AM4010"/>
      <c r="AN4010"/>
      <c r="AO4010"/>
    </row>
    <row r="4011" spans="1:41" s="2" customFormat="1" x14ac:dyDescent="0.2">
      <c r="A4011"/>
      <c r="B4011"/>
      <c r="C4011"/>
      <c r="D4011"/>
      <c r="E4011"/>
      <c r="F4011"/>
      <c r="G4011"/>
      <c r="U4011"/>
      <c r="V4011"/>
      <c r="W4011"/>
      <c r="X4011"/>
      <c r="Y4011"/>
      <c r="Z4011"/>
      <c r="AA4011"/>
      <c r="AB4011"/>
      <c r="AL4011"/>
      <c r="AM4011"/>
      <c r="AN4011"/>
      <c r="AO4011"/>
    </row>
    <row r="4012" spans="1:41" s="2" customFormat="1" x14ac:dyDescent="0.2">
      <c r="A4012"/>
      <c r="B4012"/>
      <c r="C4012"/>
      <c r="D4012"/>
      <c r="E4012"/>
      <c r="F4012"/>
      <c r="G4012"/>
      <c r="U4012"/>
      <c r="V4012"/>
      <c r="W4012"/>
      <c r="X4012"/>
      <c r="Y4012"/>
      <c r="Z4012"/>
      <c r="AA4012"/>
      <c r="AB4012"/>
      <c r="AL4012"/>
      <c r="AM4012"/>
      <c r="AN4012"/>
      <c r="AO4012"/>
    </row>
    <row r="4013" spans="1:41" s="2" customFormat="1" x14ac:dyDescent="0.2">
      <c r="A4013"/>
      <c r="B4013"/>
      <c r="C4013"/>
      <c r="D4013"/>
      <c r="E4013"/>
      <c r="F4013"/>
      <c r="G4013"/>
      <c r="U4013"/>
      <c r="V4013"/>
      <c r="W4013"/>
      <c r="X4013"/>
      <c r="Y4013"/>
      <c r="Z4013"/>
      <c r="AA4013"/>
      <c r="AB4013"/>
      <c r="AL4013"/>
      <c r="AM4013"/>
      <c r="AN4013"/>
      <c r="AO4013"/>
    </row>
    <row r="4014" spans="1:41" s="2" customFormat="1" x14ac:dyDescent="0.2">
      <c r="A4014"/>
      <c r="B4014"/>
      <c r="C4014"/>
      <c r="D4014"/>
      <c r="E4014"/>
      <c r="F4014"/>
      <c r="G4014"/>
      <c r="U4014"/>
      <c r="V4014"/>
      <c r="W4014"/>
      <c r="X4014"/>
      <c r="Y4014"/>
      <c r="Z4014"/>
      <c r="AA4014"/>
      <c r="AB4014"/>
      <c r="AL4014"/>
      <c r="AM4014"/>
      <c r="AN4014"/>
      <c r="AO4014"/>
    </row>
    <row r="4015" spans="1:41" s="2" customFormat="1" x14ac:dyDescent="0.2">
      <c r="A4015"/>
      <c r="B4015"/>
      <c r="C4015"/>
      <c r="D4015"/>
      <c r="E4015"/>
      <c r="F4015"/>
      <c r="G4015"/>
      <c r="U4015"/>
      <c r="V4015"/>
      <c r="W4015"/>
      <c r="X4015"/>
      <c r="Y4015"/>
      <c r="Z4015"/>
      <c r="AA4015"/>
      <c r="AB4015"/>
      <c r="AL4015"/>
      <c r="AM4015"/>
      <c r="AN4015"/>
      <c r="AO4015"/>
    </row>
    <row r="4016" spans="1:41" s="2" customFormat="1" x14ac:dyDescent="0.2">
      <c r="A4016"/>
      <c r="B4016"/>
      <c r="C4016"/>
      <c r="D4016"/>
      <c r="E4016"/>
      <c r="F4016"/>
      <c r="G4016"/>
      <c r="U4016"/>
      <c r="V4016"/>
      <c r="W4016"/>
      <c r="X4016"/>
      <c r="Y4016"/>
      <c r="Z4016"/>
      <c r="AA4016"/>
      <c r="AB4016"/>
      <c r="AL4016"/>
      <c r="AM4016"/>
      <c r="AN4016"/>
      <c r="AO4016"/>
    </row>
    <row r="4017" spans="1:41" s="2" customFormat="1" x14ac:dyDescent="0.2">
      <c r="A4017"/>
      <c r="B4017"/>
      <c r="C4017"/>
      <c r="D4017"/>
      <c r="E4017"/>
      <c r="F4017"/>
      <c r="G4017"/>
      <c r="U4017"/>
      <c r="V4017"/>
      <c r="W4017"/>
      <c r="X4017"/>
      <c r="Y4017"/>
      <c r="Z4017"/>
      <c r="AA4017"/>
      <c r="AB4017"/>
      <c r="AL4017"/>
      <c r="AM4017"/>
      <c r="AN4017"/>
      <c r="AO4017"/>
    </row>
    <row r="4018" spans="1:41" s="2" customFormat="1" x14ac:dyDescent="0.2">
      <c r="A4018"/>
      <c r="B4018"/>
      <c r="C4018"/>
      <c r="D4018"/>
      <c r="E4018"/>
      <c r="F4018"/>
      <c r="G4018"/>
      <c r="U4018"/>
      <c r="V4018"/>
      <c r="W4018"/>
      <c r="X4018"/>
      <c r="Y4018"/>
      <c r="Z4018"/>
      <c r="AA4018"/>
      <c r="AB4018"/>
      <c r="AL4018"/>
      <c r="AM4018"/>
      <c r="AN4018"/>
      <c r="AO4018"/>
    </row>
    <row r="4019" spans="1:41" s="2" customFormat="1" x14ac:dyDescent="0.2">
      <c r="A4019"/>
      <c r="B4019"/>
      <c r="C4019"/>
      <c r="D4019"/>
      <c r="E4019"/>
      <c r="F4019"/>
      <c r="G4019"/>
      <c r="U4019"/>
      <c r="V4019"/>
      <c r="W4019"/>
      <c r="X4019"/>
      <c r="Y4019"/>
      <c r="Z4019"/>
      <c r="AA4019"/>
      <c r="AB4019"/>
      <c r="AL4019"/>
      <c r="AM4019"/>
      <c r="AN4019"/>
      <c r="AO4019"/>
    </row>
    <row r="4020" spans="1:41" s="2" customFormat="1" x14ac:dyDescent="0.2">
      <c r="A4020"/>
      <c r="B4020"/>
      <c r="C4020"/>
      <c r="D4020"/>
      <c r="E4020"/>
      <c r="F4020"/>
      <c r="G4020"/>
      <c r="U4020"/>
      <c r="V4020"/>
      <c r="W4020"/>
      <c r="X4020"/>
      <c r="Y4020"/>
      <c r="Z4020"/>
      <c r="AA4020"/>
      <c r="AB4020"/>
      <c r="AL4020"/>
      <c r="AM4020"/>
      <c r="AN4020"/>
      <c r="AO4020"/>
    </row>
    <row r="4021" spans="1:41" s="2" customFormat="1" x14ac:dyDescent="0.2">
      <c r="A4021"/>
      <c r="B4021"/>
      <c r="C4021"/>
      <c r="D4021"/>
      <c r="E4021"/>
      <c r="F4021"/>
      <c r="G4021"/>
      <c r="U4021"/>
      <c r="V4021"/>
      <c r="W4021"/>
      <c r="X4021"/>
      <c r="Y4021"/>
      <c r="Z4021"/>
      <c r="AA4021"/>
      <c r="AB4021"/>
      <c r="AL4021"/>
      <c r="AM4021"/>
      <c r="AN4021"/>
      <c r="AO4021"/>
    </row>
    <row r="4022" spans="1:41" s="2" customFormat="1" x14ac:dyDescent="0.2">
      <c r="A4022"/>
      <c r="B4022"/>
      <c r="C4022"/>
      <c r="D4022"/>
      <c r="E4022"/>
      <c r="F4022"/>
      <c r="G4022"/>
      <c r="U4022"/>
      <c r="V4022"/>
      <c r="W4022"/>
      <c r="X4022"/>
      <c r="Y4022"/>
      <c r="Z4022"/>
      <c r="AA4022"/>
      <c r="AB4022"/>
      <c r="AL4022"/>
      <c r="AM4022"/>
      <c r="AN4022"/>
      <c r="AO4022"/>
    </row>
    <row r="4023" spans="1:41" s="2" customFormat="1" x14ac:dyDescent="0.2">
      <c r="A4023"/>
      <c r="B4023"/>
      <c r="C4023"/>
      <c r="D4023"/>
      <c r="E4023"/>
      <c r="F4023"/>
      <c r="G4023"/>
      <c r="U4023"/>
      <c r="V4023"/>
      <c r="W4023"/>
      <c r="X4023"/>
      <c r="Y4023"/>
      <c r="Z4023"/>
      <c r="AA4023"/>
      <c r="AB4023"/>
      <c r="AL4023"/>
      <c r="AM4023"/>
      <c r="AN4023"/>
      <c r="AO4023"/>
    </row>
    <row r="4024" spans="1:41" s="2" customFormat="1" x14ac:dyDescent="0.2">
      <c r="A4024"/>
      <c r="B4024"/>
      <c r="C4024"/>
      <c r="D4024"/>
      <c r="E4024"/>
      <c r="F4024"/>
      <c r="G4024"/>
      <c r="U4024"/>
      <c r="V4024"/>
      <c r="W4024"/>
      <c r="X4024"/>
      <c r="Y4024"/>
      <c r="Z4024"/>
      <c r="AA4024"/>
      <c r="AB4024"/>
      <c r="AL4024"/>
      <c r="AM4024"/>
      <c r="AN4024"/>
      <c r="AO4024"/>
    </row>
    <row r="4025" spans="1:41" s="2" customFormat="1" x14ac:dyDescent="0.2">
      <c r="A4025"/>
      <c r="B4025"/>
      <c r="C4025"/>
      <c r="D4025"/>
      <c r="E4025"/>
      <c r="F4025"/>
      <c r="G4025"/>
      <c r="U4025"/>
      <c r="V4025"/>
      <c r="W4025"/>
      <c r="X4025"/>
      <c r="Y4025"/>
      <c r="Z4025"/>
      <c r="AA4025"/>
      <c r="AB4025"/>
      <c r="AL4025"/>
      <c r="AM4025"/>
      <c r="AN4025"/>
      <c r="AO4025"/>
    </row>
    <row r="4026" spans="1:41" s="2" customFormat="1" x14ac:dyDescent="0.2">
      <c r="A4026"/>
      <c r="B4026"/>
      <c r="C4026"/>
      <c r="D4026"/>
      <c r="E4026"/>
      <c r="F4026"/>
      <c r="G4026"/>
      <c r="U4026"/>
      <c r="V4026"/>
      <c r="W4026"/>
      <c r="X4026"/>
      <c r="Y4026"/>
      <c r="Z4026"/>
      <c r="AA4026"/>
      <c r="AB4026"/>
      <c r="AL4026"/>
      <c r="AM4026"/>
      <c r="AN4026"/>
      <c r="AO4026"/>
    </row>
    <row r="4027" spans="1:41" s="2" customFormat="1" x14ac:dyDescent="0.2">
      <c r="A4027"/>
      <c r="B4027"/>
      <c r="C4027"/>
      <c r="D4027"/>
      <c r="E4027"/>
      <c r="F4027"/>
      <c r="G4027"/>
      <c r="U4027"/>
      <c r="V4027"/>
      <c r="W4027"/>
      <c r="X4027"/>
      <c r="Y4027"/>
      <c r="Z4027"/>
      <c r="AA4027"/>
      <c r="AB4027"/>
      <c r="AL4027"/>
      <c r="AM4027"/>
      <c r="AN4027"/>
      <c r="AO4027"/>
    </row>
    <row r="4028" spans="1:41" s="2" customFormat="1" x14ac:dyDescent="0.2">
      <c r="A4028"/>
      <c r="B4028"/>
      <c r="C4028"/>
      <c r="D4028"/>
      <c r="E4028"/>
      <c r="F4028"/>
      <c r="G4028"/>
      <c r="U4028"/>
      <c r="V4028"/>
      <c r="W4028"/>
      <c r="X4028"/>
      <c r="Y4028"/>
      <c r="Z4028"/>
      <c r="AA4028"/>
      <c r="AB4028"/>
      <c r="AL4028"/>
      <c r="AM4028"/>
      <c r="AN4028"/>
      <c r="AO4028"/>
    </row>
    <row r="4029" spans="1:41" s="2" customFormat="1" x14ac:dyDescent="0.2">
      <c r="A4029"/>
      <c r="B4029"/>
      <c r="C4029"/>
      <c r="D4029"/>
      <c r="E4029"/>
      <c r="F4029"/>
      <c r="G4029"/>
      <c r="U4029"/>
      <c r="V4029"/>
      <c r="W4029"/>
      <c r="X4029"/>
      <c r="Y4029"/>
      <c r="Z4029"/>
      <c r="AA4029"/>
      <c r="AB4029"/>
      <c r="AL4029"/>
      <c r="AM4029"/>
      <c r="AN4029"/>
      <c r="AO4029"/>
    </row>
    <row r="4030" spans="1:41" s="2" customFormat="1" x14ac:dyDescent="0.2">
      <c r="A4030"/>
      <c r="B4030"/>
      <c r="C4030"/>
      <c r="D4030"/>
      <c r="E4030"/>
      <c r="F4030"/>
      <c r="G4030"/>
      <c r="U4030"/>
      <c r="V4030"/>
      <c r="W4030"/>
      <c r="X4030"/>
      <c r="Y4030"/>
      <c r="Z4030"/>
      <c r="AA4030"/>
      <c r="AB4030"/>
      <c r="AL4030"/>
      <c r="AM4030"/>
      <c r="AN4030"/>
      <c r="AO4030"/>
    </row>
    <row r="4031" spans="1:41" s="2" customFormat="1" x14ac:dyDescent="0.2">
      <c r="A4031"/>
      <c r="B4031"/>
      <c r="C4031"/>
      <c r="D4031"/>
      <c r="E4031"/>
      <c r="F4031"/>
      <c r="G4031"/>
      <c r="U4031"/>
      <c r="V4031"/>
      <c r="W4031"/>
      <c r="X4031"/>
      <c r="Y4031"/>
      <c r="Z4031"/>
      <c r="AA4031"/>
      <c r="AB4031"/>
      <c r="AL4031"/>
      <c r="AM4031"/>
      <c r="AN4031"/>
      <c r="AO4031"/>
    </row>
    <row r="4032" spans="1:41" s="2" customFormat="1" x14ac:dyDescent="0.2">
      <c r="A4032"/>
      <c r="B4032"/>
      <c r="C4032"/>
      <c r="D4032"/>
      <c r="E4032"/>
      <c r="F4032"/>
      <c r="G4032"/>
      <c r="U4032"/>
      <c r="V4032"/>
      <c r="W4032"/>
      <c r="X4032"/>
      <c r="Y4032"/>
      <c r="Z4032"/>
      <c r="AA4032"/>
      <c r="AB4032"/>
      <c r="AL4032"/>
      <c r="AM4032"/>
      <c r="AN4032"/>
      <c r="AO4032"/>
    </row>
    <row r="4033" spans="1:41" s="2" customFormat="1" x14ac:dyDescent="0.2">
      <c r="A4033"/>
      <c r="B4033"/>
      <c r="C4033"/>
      <c r="D4033"/>
      <c r="E4033"/>
      <c r="F4033"/>
      <c r="G4033"/>
      <c r="U4033"/>
      <c r="V4033"/>
      <c r="W4033"/>
      <c r="X4033"/>
      <c r="Y4033"/>
      <c r="Z4033"/>
      <c r="AA4033"/>
      <c r="AB4033"/>
      <c r="AL4033"/>
      <c r="AM4033"/>
      <c r="AN4033"/>
      <c r="AO4033"/>
    </row>
    <row r="4034" spans="1:41" s="2" customFormat="1" x14ac:dyDescent="0.2">
      <c r="A4034"/>
      <c r="B4034"/>
      <c r="C4034"/>
      <c r="D4034"/>
      <c r="E4034"/>
      <c r="F4034"/>
      <c r="G4034"/>
      <c r="U4034"/>
      <c r="V4034"/>
      <c r="W4034"/>
      <c r="X4034"/>
      <c r="Y4034"/>
      <c r="Z4034"/>
      <c r="AA4034"/>
      <c r="AB4034"/>
      <c r="AL4034"/>
      <c r="AM4034"/>
      <c r="AN4034"/>
      <c r="AO4034"/>
    </row>
    <row r="4035" spans="1:41" s="2" customFormat="1" x14ac:dyDescent="0.2">
      <c r="A4035"/>
      <c r="B4035"/>
      <c r="C4035"/>
      <c r="D4035"/>
      <c r="E4035"/>
      <c r="F4035"/>
      <c r="G4035"/>
      <c r="U4035"/>
      <c r="V4035"/>
      <c r="W4035"/>
      <c r="X4035"/>
      <c r="Y4035"/>
      <c r="Z4035"/>
      <c r="AA4035"/>
      <c r="AB4035"/>
      <c r="AL4035"/>
      <c r="AM4035"/>
      <c r="AN4035"/>
      <c r="AO4035"/>
    </row>
    <row r="4036" spans="1:41" s="2" customFormat="1" x14ac:dyDescent="0.2">
      <c r="A4036"/>
      <c r="B4036"/>
      <c r="C4036"/>
      <c r="D4036"/>
      <c r="E4036"/>
      <c r="F4036"/>
      <c r="G4036"/>
      <c r="U4036"/>
      <c r="V4036"/>
      <c r="W4036"/>
      <c r="X4036"/>
      <c r="Y4036"/>
      <c r="Z4036"/>
      <c r="AA4036"/>
      <c r="AB4036"/>
      <c r="AL4036"/>
      <c r="AM4036"/>
      <c r="AN4036"/>
      <c r="AO4036"/>
    </row>
    <row r="4037" spans="1:41" s="2" customFormat="1" x14ac:dyDescent="0.2">
      <c r="A4037"/>
      <c r="B4037"/>
      <c r="C4037"/>
      <c r="D4037"/>
      <c r="E4037"/>
      <c r="F4037"/>
      <c r="G4037"/>
      <c r="U4037"/>
      <c r="V4037"/>
      <c r="W4037"/>
      <c r="X4037"/>
      <c r="Y4037"/>
      <c r="Z4037"/>
      <c r="AA4037"/>
      <c r="AB4037"/>
      <c r="AL4037"/>
      <c r="AM4037"/>
      <c r="AN4037"/>
      <c r="AO4037"/>
    </row>
    <row r="4038" spans="1:41" s="2" customFormat="1" x14ac:dyDescent="0.2">
      <c r="A4038"/>
      <c r="B4038"/>
      <c r="C4038"/>
      <c r="D4038"/>
      <c r="E4038"/>
      <c r="F4038"/>
      <c r="G4038"/>
      <c r="U4038"/>
      <c r="V4038"/>
      <c r="W4038"/>
      <c r="X4038"/>
      <c r="Y4038"/>
      <c r="Z4038"/>
      <c r="AA4038"/>
      <c r="AB4038"/>
      <c r="AL4038"/>
      <c r="AM4038"/>
      <c r="AN4038"/>
      <c r="AO4038"/>
    </row>
    <row r="4039" spans="1:41" s="2" customFormat="1" x14ac:dyDescent="0.2">
      <c r="A4039"/>
      <c r="B4039"/>
      <c r="C4039"/>
      <c r="D4039"/>
      <c r="E4039"/>
      <c r="F4039"/>
      <c r="G4039"/>
      <c r="U4039"/>
      <c r="V4039"/>
      <c r="W4039"/>
      <c r="X4039"/>
      <c r="Y4039"/>
      <c r="Z4039"/>
      <c r="AA4039"/>
      <c r="AB4039"/>
      <c r="AL4039"/>
      <c r="AM4039"/>
      <c r="AN4039"/>
      <c r="AO4039"/>
    </row>
    <row r="4040" spans="1:41" s="2" customFormat="1" x14ac:dyDescent="0.2">
      <c r="A4040"/>
      <c r="B4040"/>
      <c r="C4040"/>
      <c r="D4040"/>
      <c r="E4040"/>
      <c r="F4040"/>
      <c r="G4040"/>
      <c r="U4040"/>
      <c r="V4040"/>
      <c r="W4040"/>
      <c r="X4040"/>
      <c r="Y4040"/>
      <c r="Z4040"/>
      <c r="AA4040"/>
      <c r="AB4040"/>
      <c r="AL4040"/>
      <c r="AM4040"/>
      <c r="AN4040"/>
      <c r="AO4040"/>
    </row>
    <row r="4041" spans="1:41" s="2" customFormat="1" x14ac:dyDescent="0.2">
      <c r="A4041"/>
      <c r="B4041"/>
      <c r="C4041"/>
      <c r="D4041"/>
      <c r="E4041"/>
      <c r="F4041"/>
      <c r="G4041"/>
      <c r="U4041"/>
      <c r="V4041"/>
      <c r="W4041"/>
      <c r="X4041"/>
      <c r="Y4041"/>
      <c r="Z4041"/>
      <c r="AA4041"/>
      <c r="AB4041"/>
      <c r="AL4041"/>
      <c r="AM4041"/>
      <c r="AN4041"/>
      <c r="AO4041"/>
    </row>
    <row r="4042" spans="1:41" s="2" customFormat="1" x14ac:dyDescent="0.2">
      <c r="A4042"/>
      <c r="B4042"/>
      <c r="C4042"/>
      <c r="D4042"/>
      <c r="E4042"/>
      <c r="F4042"/>
      <c r="G4042"/>
      <c r="U4042"/>
      <c r="V4042"/>
      <c r="W4042"/>
      <c r="X4042"/>
      <c r="Y4042"/>
      <c r="Z4042"/>
      <c r="AA4042"/>
      <c r="AB4042"/>
      <c r="AL4042"/>
      <c r="AM4042"/>
      <c r="AN4042"/>
      <c r="AO4042"/>
    </row>
    <row r="4043" spans="1:41" s="2" customFormat="1" x14ac:dyDescent="0.2">
      <c r="A4043"/>
      <c r="B4043"/>
      <c r="C4043"/>
      <c r="D4043"/>
      <c r="E4043"/>
      <c r="F4043"/>
      <c r="G4043"/>
      <c r="U4043"/>
      <c r="V4043"/>
      <c r="W4043"/>
      <c r="X4043"/>
      <c r="Y4043"/>
      <c r="Z4043"/>
      <c r="AA4043"/>
      <c r="AB4043"/>
      <c r="AL4043"/>
      <c r="AM4043"/>
      <c r="AN4043"/>
      <c r="AO4043"/>
    </row>
    <row r="4044" spans="1:41" s="2" customFormat="1" x14ac:dyDescent="0.2">
      <c r="A4044"/>
      <c r="B4044"/>
      <c r="C4044"/>
      <c r="D4044"/>
      <c r="E4044"/>
      <c r="F4044"/>
      <c r="G4044"/>
      <c r="U4044"/>
      <c r="V4044"/>
      <c r="W4044"/>
      <c r="X4044"/>
      <c r="Y4044"/>
      <c r="Z4044"/>
      <c r="AA4044"/>
      <c r="AB4044"/>
      <c r="AL4044"/>
      <c r="AM4044"/>
      <c r="AN4044"/>
      <c r="AO4044"/>
    </row>
    <row r="4045" spans="1:41" s="2" customFormat="1" x14ac:dyDescent="0.2">
      <c r="A4045"/>
      <c r="B4045"/>
      <c r="C4045"/>
      <c r="D4045"/>
      <c r="E4045"/>
      <c r="F4045"/>
      <c r="G4045"/>
      <c r="U4045"/>
      <c r="V4045"/>
      <c r="W4045"/>
      <c r="X4045"/>
      <c r="Y4045"/>
      <c r="Z4045"/>
      <c r="AA4045"/>
      <c r="AB4045"/>
      <c r="AL4045"/>
      <c r="AM4045"/>
      <c r="AN4045"/>
      <c r="AO4045"/>
    </row>
    <row r="4046" spans="1:41" s="2" customFormat="1" x14ac:dyDescent="0.2">
      <c r="A4046"/>
      <c r="B4046"/>
      <c r="C4046"/>
      <c r="D4046"/>
      <c r="E4046"/>
      <c r="F4046"/>
      <c r="G4046"/>
      <c r="U4046"/>
      <c r="V4046"/>
      <c r="W4046"/>
      <c r="X4046"/>
      <c r="Y4046"/>
      <c r="Z4046"/>
      <c r="AA4046"/>
      <c r="AB4046"/>
      <c r="AL4046"/>
      <c r="AM4046"/>
      <c r="AN4046"/>
      <c r="AO4046"/>
    </row>
    <row r="4047" spans="1:41" s="2" customFormat="1" x14ac:dyDescent="0.2">
      <c r="A4047"/>
      <c r="B4047"/>
      <c r="C4047"/>
      <c r="D4047"/>
      <c r="E4047"/>
      <c r="F4047"/>
      <c r="G4047"/>
      <c r="U4047"/>
      <c r="V4047"/>
      <c r="W4047"/>
      <c r="X4047"/>
      <c r="Y4047"/>
      <c r="Z4047"/>
      <c r="AA4047"/>
      <c r="AB4047"/>
      <c r="AL4047"/>
      <c r="AM4047"/>
      <c r="AN4047"/>
      <c r="AO4047"/>
    </row>
    <row r="4048" spans="1:41" s="2" customFormat="1" x14ac:dyDescent="0.2">
      <c r="A4048"/>
      <c r="B4048"/>
      <c r="C4048"/>
      <c r="D4048"/>
      <c r="E4048"/>
      <c r="F4048"/>
      <c r="G4048"/>
      <c r="U4048"/>
      <c r="V4048"/>
      <c r="W4048"/>
      <c r="X4048"/>
      <c r="Y4048"/>
      <c r="Z4048"/>
      <c r="AA4048"/>
      <c r="AB4048"/>
      <c r="AL4048"/>
      <c r="AM4048"/>
      <c r="AN4048"/>
      <c r="AO4048"/>
    </row>
    <row r="4049" spans="1:41" s="2" customFormat="1" x14ac:dyDescent="0.2">
      <c r="A4049"/>
      <c r="B4049"/>
      <c r="C4049"/>
      <c r="D4049"/>
      <c r="E4049"/>
      <c r="F4049"/>
      <c r="G4049"/>
      <c r="U4049"/>
      <c r="V4049"/>
      <c r="W4049"/>
      <c r="X4049"/>
      <c r="Y4049"/>
      <c r="Z4049"/>
      <c r="AA4049"/>
      <c r="AB4049"/>
      <c r="AL4049"/>
      <c r="AM4049"/>
      <c r="AN4049"/>
      <c r="AO4049"/>
    </row>
    <row r="4050" spans="1:41" s="2" customFormat="1" x14ac:dyDescent="0.2">
      <c r="A4050"/>
      <c r="B4050"/>
      <c r="C4050"/>
      <c r="D4050"/>
      <c r="E4050"/>
      <c r="F4050"/>
      <c r="G4050"/>
      <c r="U4050"/>
      <c r="V4050"/>
      <c r="W4050"/>
      <c r="X4050"/>
      <c r="Y4050"/>
      <c r="Z4050"/>
      <c r="AA4050"/>
      <c r="AB4050"/>
      <c r="AL4050"/>
      <c r="AM4050"/>
      <c r="AN4050"/>
      <c r="AO4050"/>
    </row>
    <row r="4051" spans="1:41" s="2" customFormat="1" x14ac:dyDescent="0.2">
      <c r="A4051"/>
      <c r="B4051"/>
      <c r="C4051"/>
      <c r="D4051"/>
      <c r="E4051"/>
      <c r="F4051"/>
      <c r="G4051"/>
      <c r="U4051"/>
      <c r="V4051"/>
      <c r="W4051"/>
      <c r="X4051"/>
      <c r="Y4051"/>
      <c r="Z4051"/>
      <c r="AA4051"/>
      <c r="AB4051"/>
      <c r="AL4051"/>
      <c r="AM4051"/>
      <c r="AN4051"/>
      <c r="AO4051"/>
    </row>
    <row r="4052" spans="1:41" s="2" customFormat="1" x14ac:dyDescent="0.2">
      <c r="A4052"/>
      <c r="B4052"/>
      <c r="C4052"/>
      <c r="D4052"/>
      <c r="E4052"/>
      <c r="F4052"/>
      <c r="G4052"/>
      <c r="U4052"/>
      <c r="V4052"/>
      <c r="W4052"/>
      <c r="X4052"/>
      <c r="Y4052"/>
      <c r="Z4052"/>
      <c r="AA4052"/>
      <c r="AB4052"/>
      <c r="AL4052"/>
      <c r="AM4052"/>
      <c r="AN4052"/>
      <c r="AO4052"/>
    </row>
    <row r="4053" spans="1:41" s="2" customFormat="1" x14ac:dyDescent="0.2">
      <c r="A4053"/>
      <c r="B4053"/>
      <c r="C4053"/>
      <c r="D4053"/>
      <c r="E4053"/>
      <c r="F4053"/>
      <c r="G4053"/>
      <c r="U4053"/>
      <c r="V4053"/>
      <c r="W4053"/>
      <c r="X4053"/>
      <c r="Y4053"/>
      <c r="Z4053"/>
      <c r="AA4053"/>
      <c r="AB4053"/>
      <c r="AL4053"/>
      <c r="AM4053"/>
      <c r="AN4053"/>
      <c r="AO4053"/>
    </row>
    <row r="4054" spans="1:41" s="2" customFormat="1" x14ac:dyDescent="0.2">
      <c r="A4054"/>
      <c r="B4054"/>
      <c r="C4054"/>
      <c r="D4054"/>
      <c r="E4054"/>
      <c r="F4054"/>
      <c r="G4054"/>
      <c r="U4054"/>
      <c r="V4054"/>
      <c r="W4054"/>
      <c r="X4054"/>
      <c r="Y4054"/>
      <c r="Z4054"/>
      <c r="AA4054"/>
      <c r="AB4054"/>
      <c r="AL4054"/>
      <c r="AM4054"/>
      <c r="AN4054"/>
      <c r="AO4054"/>
    </row>
    <row r="4055" spans="1:41" s="2" customFormat="1" x14ac:dyDescent="0.2">
      <c r="A4055"/>
      <c r="B4055"/>
      <c r="C4055"/>
      <c r="D4055"/>
      <c r="E4055"/>
      <c r="F4055"/>
      <c r="G4055"/>
      <c r="U4055"/>
      <c r="V4055"/>
      <c r="W4055"/>
      <c r="X4055"/>
      <c r="Y4055"/>
      <c r="Z4055"/>
      <c r="AA4055"/>
      <c r="AB4055"/>
      <c r="AL4055"/>
      <c r="AM4055"/>
      <c r="AN4055"/>
      <c r="AO4055"/>
    </row>
    <row r="4056" spans="1:41" s="2" customFormat="1" x14ac:dyDescent="0.2">
      <c r="A4056"/>
      <c r="B4056"/>
      <c r="C4056"/>
      <c r="D4056"/>
      <c r="E4056"/>
      <c r="F4056"/>
      <c r="G4056"/>
      <c r="U4056"/>
      <c r="V4056"/>
      <c r="W4056"/>
      <c r="X4056"/>
      <c r="Y4056"/>
      <c r="Z4056"/>
      <c r="AA4056"/>
      <c r="AB4056"/>
      <c r="AL4056"/>
      <c r="AM4056"/>
      <c r="AN4056"/>
      <c r="AO4056"/>
    </row>
    <row r="4057" spans="1:41" s="2" customFormat="1" x14ac:dyDescent="0.2">
      <c r="A4057"/>
      <c r="B4057"/>
      <c r="C4057"/>
      <c r="D4057"/>
      <c r="E4057"/>
      <c r="F4057"/>
      <c r="G4057"/>
      <c r="U4057"/>
      <c r="V4057"/>
      <c r="W4057"/>
      <c r="X4057"/>
      <c r="Y4057"/>
      <c r="Z4057"/>
      <c r="AA4057"/>
      <c r="AB4057"/>
      <c r="AL4057"/>
      <c r="AM4057"/>
      <c r="AN4057"/>
      <c r="AO4057"/>
    </row>
    <row r="4058" spans="1:41" s="2" customFormat="1" x14ac:dyDescent="0.2">
      <c r="A4058"/>
      <c r="B4058"/>
      <c r="C4058"/>
      <c r="D4058"/>
      <c r="E4058"/>
      <c r="F4058"/>
      <c r="G4058"/>
      <c r="U4058"/>
      <c r="V4058"/>
      <c r="W4058"/>
      <c r="X4058"/>
      <c r="Y4058"/>
      <c r="Z4058"/>
      <c r="AA4058"/>
      <c r="AB4058"/>
      <c r="AL4058"/>
      <c r="AM4058"/>
      <c r="AN4058"/>
      <c r="AO4058"/>
    </row>
    <row r="4059" spans="1:41" s="2" customFormat="1" x14ac:dyDescent="0.2">
      <c r="A4059"/>
      <c r="B4059"/>
      <c r="C4059"/>
      <c r="D4059"/>
      <c r="E4059"/>
      <c r="F4059"/>
      <c r="G4059"/>
      <c r="U4059"/>
      <c r="V4059"/>
      <c r="W4059"/>
      <c r="X4059"/>
      <c r="Y4059"/>
      <c r="Z4059"/>
      <c r="AA4059"/>
      <c r="AB4059"/>
      <c r="AL4059"/>
      <c r="AM4059"/>
      <c r="AN4059"/>
      <c r="AO4059"/>
    </row>
    <row r="4060" spans="1:41" s="2" customFormat="1" x14ac:dyDescent="0.2">
      <c r="A4060"/>
      <c r="B4060"/>
      <c r="C4060"/>
      <c r="D4060"/>
      <c r="E4060"/>
      <c r="F4060"/>
      <c r="G4060"/>
      <c r="U4060"/>
      <c r="V4060"/>
      <c r="W4060"/>
      <c r="X4060"/>
      <c r="Y4060"/>
      <c r="Z4060"/>
      <c r="AA4060"/>
      <c r="AB4060"/>
      <c r="AL4060"/>
      <c r="AM4060"/>
      <c r="AN4060"/>
      <c r="AO4060"/>
    </row>
    <row r="4061" spans="1:41" s="2" customFormat="1" x14ac:dyDescent="0.2">
      <c r="A4061"/>
      <c r="B4061"/>
      <c r="C4061"/>
      <c r="D4061"/>
      <c r="E4061"/>
      <c r="F4061"/>
      <c r="G4061"/>
      <c r="U4061"/>
      <c r="V4061"/>
      <c r="W4061"/>
      <c r="X4061"/>
      <c r="Y4061"/>
      <c r="Z4061"/>
      <c r="AA4061"/>
      <c r="AB4061"/>
      <c r="AL4061"/>
      <c r="AM4061"/>
      <c r="AN4061"/>
      <c r="AO4061"/>
    </row>
    <row r="4062" spans="1:41" s="2" customFormat="1" x14ac:dyDescent="0.2">
      <c r="A4062"/>
      <c r="B4062"/>
      <c r="C4062"/>
      <c r="D4062"/>
      <c r="E4062"/>
      <c r="F4062"/>
      <c r="G4062"/>
      <c r="U4062"/>
      <c r="V4062"/>
      <c r="W4062"/>
      <c r="X4062"/>
      <c r="Y4062"/>
      <c r="Z4062"/>
      <c r="AA4062"/>
      <c r="AB4062"/>
      <c r="AL4062"/>
      <c r="AM4062"/>
      <c r="AN4062"/>
      <c r="AO4062"/>
    </row>
    <row r="4063" spans="1:41" s="2" customFormat="1" x14ac:dyDescent="0.2">
      <c r="A4063"/>
      <c r="B4063"/>
      <c r="C4063"/>
      <c r="D4063"/>
      <c r="E4063"/>
      <c r="F4063"/>
      <c r="G4063"/>
      <c r="U4063"/>
      <c r="V4063"/>
      <c r="W4063"/>
      <c r="X4063"/>
      <c r="Y4063"/>
      <c r="Z4063"/>
      <c r="AA4063"/>
      <c r="AB4063"/>
      <c r="AL4063"/>
      <c r="AM4063"/>
      <c r="AN4063"/>
      <c r="AO4063"/>
    </row>
    <row r="4064" spans="1:41" s="2" customFormat="1" x14ac:dyDescent="0.2">
      <c r="A4064"/>
      <c r="B4064"/>
      <c r="C4064"/>
      <c r="D4064"/>
      <c r="E4064"/>
      <c r="F4064"/>
      <c r="G4064"/>
      <c r="U4064"/>
      <c r="V4064"/>
      <c r="W4064"/>
      <c r="X4064"/>
      <c r="Y4064"/>
      <c r="Z4064"/>
      <c r="AA4064"/>
      <c r="AB4064"/>
      <c r="AL4064"/>
      <c r="AM4064"/>
      <c r="AN4064"/>
      <c r="AO4064"/>
    </row>
    <row r="4065" spans="1:41" s="2" customFormat="1" x14ac:dyDescent="0.2">
      <c r="A4065"/>
      <c r="B4065"/>
      <c r="C4065"/>
      <c r="D4065"/>
      <c r="E4065"/>
      <c r="F4065"/>
      <c r="G4065"/>
      <c r="U4065"/>
      <c r="V4065"/>
      <c r="W4065"/>
      <c r="X4065"/>
      <c r="Y4065"/>
      <c r="Z4065"/>
      <c r="AA4065"/>
      <c r="AB4065"/>
      <c r="AL4065"/>
      <c r="AM4065"/>
      <c r="AN4065"/>
      <c r="AO4065"/>
    </row>
    <row r="4066" spans="1:41" s="2" customFormat="1" x14ac:dyDescent="0.2">
      <c r="A4066"/>
      <c r="B4066"/>
      <c r="C4066"/>
      <c r="D4066"/>
      <c r="E4066"/>
      <c r="F4066"/>
      <c r="G4066"/>
      <c r="U4066"/>
      <c r="V4066"/>
      <c r="W4066"/>
      <c r="X4066"/>
      <c r="Y4066"/>
      <c r="Z4066"/>
      <c r="AA4066"/>
      <c r="AB4066"/>
      <c r="AL4066"/>
      <c r="AM4066"/>
      <c r="AN4066"/>
      <c r="AO4066"/>
    </row>
    <row r="4067" spans="1:41" s="2" customFormat="1" x14ac:dyDescent="0.2">
      <c r="A4067"/>
      <c r="B4067"/>
      <c r="C4067"/>
      <c r="D4067"/>
      <c r="E4067"/>
      <c r="F4067"/>
      <c r="G4067"/>
      <c r="U4067"/>
      <c r="V4067"/>
      <c r="W4067"/>
      <c r="X4067"/>
      <c r="Y4067"/>
      <c r="Z4067"/>
      <c r="AA4067"/>
      <c r="AB4067"/>
      <c r="AL4067"/>
      <c r="AM4067"/>
      <c r="AN4067"/>
      <c r="AO4067"/>
    </row>
    <row r="4068" spans="1:41" s="2" customFormat="1" x14ac:dyDescent="0.2">
      <c r="A4068"/>
      <c r="B4068"/>
      <c r="C4068"/>
      <c r="D4068"/>
      <c r="E4068"/>
      <c r="F4068"/>
      <c r="G4068"/>
      <c r="U4068"/>
      <c r="V4068"/>
      <c r="W4068"/>
      <c r="X4068"/>
      <c r="Y4068"/>
      <c r="Z4068"/>
      <c r="AA4068"/>
      <c r="AB4068"/>
      <c r="AL4068"/>
      <c r="AM4068"/>
      <c r="AN4068"/>
      <c r="AO4068"/>
    </row>
    <row r="4069" spans="1:41" s="2" customFormat="1" x14ac:dyDescent="0.2">
      <c r="A4069"/>
      <c r="B4069"/>
      <c r="C4069"/>
      <c r="D4069"/>
      <c r="E4069"/>
      <c r="F4069"/>
      <c r="G4069"/>
      <c r="U4069"/>
      <c r="V4069"/>
      <c r="W4069"/>
      <c r="X4069"/>
      <c r="Y4069"/>
      <c r="Z4069"/>
      <c r="AA4069"/>
      <c r="AB4069"/>
      <c r="AL4069"/>
      <c r="AM4069"/>
      <c r="AN4069"/>
      <c r="AO4069"/>
    </row>
    <row r="4070" spans="1:41" s="2" customFormat="1" x14ac:dyDescent="0.2">
      <c r="A4070"/>
      <c r="B4070"/>
      <c r="C4070"/>
      <c r="D4070"/>
      <c r="E4070"/>
      <c r="F4070"/>
      <c r="G4070"/>
      <c r="U4070"/>
      <c r="V4070"/>
      <c r="W4070"/>
      <c r="X4070"/>
      <c r="Y4070"/>
      <c r="Z4070"/>
      <c r="AA4070"/>
      <c r="AB4070"/>
      <c r="AL4070"/>
      <c r="AM4070"/>
      <c r="AN4070"/>
      <c r="AO4070"/>
    </row>
    <row r="4071" spans="1:41" s="2" customFormat="1" x14ac:dyDescent="0.2">
      <c r="A4071"/>
      <c r="B4071"/>
      <c r="C4071"/>
      <c r="D4071"/>
      <c r="E4071"/>
      <c r="F4071"/>
      <c r="G4071"/>
      <c r="U4071"/>
      <c r="V4071"/>
      <c r="W4071"/>
      <c r="X4071"/>
      <c r="Y4071"/>
      <c r="Z4071"/>
      <c r="AA4071"/>
      <c r="AB4071"/>
      <c r="AL4071"/>
      <c r="AM4071"/>
      <c r="AN4071"/>
      <c r="AO4071"/>
    </row>
    <row r="4072" spans="1:41" s="2" customFormat="1" x14ac:dyDescent="0.2">
      <c r="A4072"/>
      <c r="B4072"/>
      <c r="C4072"/>
      <c r="D4072"/>
      <c r="E4072"/>
      <c r="F4072"/>
      <c r="G4072"/>
      <c r="U4072"/>
      <c r="V4072"/>
      <c r="W4072"/>
      <c r="X4072"/>
      <c r="Y4072"/>
      <c r="Z4072"/>
      <c r="AA4072"/>
      <c r="AB4072"/>
      <c r="AL4072"/>
      <c r="AM4072"/>
      <c r="AN4072"/>
      <c r="AO4072"/>
    </row>
    <row r="4073" spans="1:41" s="2" customFormat="1" x14ac:dyDescent="0.2">
      <c r="A4073"/>
      <c r="B4073"/>
      <c r="C4073"/>
      <c r="D4073"/>
      <c r="E4073"/>
      <c r="F4073"/>
      <c r="G4073"/>
      <c r="U4073"/>
      <c r="V4073"/>
      <c r="W4073"/>
      <c r="X4073"/>
      <c r="Y4073"/>
      <c r="Z4073"/>
      <c r="AA4073"/>
      <c r="AB4073"/>
      <c r="AL4073"/>
      <c r="AM4073"/>
      <c r="AN4073"/>
      <c r="AO4073"/>
    </row>
    <row r="4074" spans="1:41" s="2" customFormat="1" x14ac:dyDescent="0.2">
      <c r="A4074"/>
      <c r="B4074"/>
      <c r="C4074"/>
      <c r="D4074"/>
      <c r="E4074"/>
      <c r="F4074"/>
      <c r="G4074"/>
      <c r="U4074"/>
      <c r="V4074"/>
      <c r="W4074"/>
      <c r="X4074"/>
      <c r="Y4074"/>
      <c r="Z4074"/>
      <c r="AA4074"/>
      <c r="AB4074"/>
      <c r="AL4074"/>
      <c r="AM4074"/>
      <c r="AN4074"/>
      <c r="AO4074"/>
    </row>
    <row r="4075" spans="1:41" s="2" customFormat="1" x14ac:dyDescent="0.2">
      <c r="A4075"/>
      <c r="B4075"/>
      <c r="C4075"/>
      <c r="D4075"/>
      <c r="E4075"/>
      <c r="F4075"/>
      <c r="G4075"/>
      <c r="U4075"/>
      <c r="V4075"/>
      <c r="W4075"/>
      <c r="X4075"/>
      <c r="Y4075"/>
      <c r="Z4075"/>
      <c r="AA4075"/>
      <c r="AB4075"/>
      <c r="AL4075"/>
      <c r="AM4075"/>
      <c r="AN4075"/>
      <c r="AO4075"/>
    </row>
    <row r="4076" spans="1:41" s="2" customFormat="1" x14ac:dyDescent="0.2">
      <c r="A4076"/>
      <c r="B4076"/>
      <c r="C4076"/>
      <c r="D4076"/>
      <c r="E4076"/>
      <c r="F4076"/>
      <c r="G4076"/>
      <c r="U4076"/>
      <c r="V4076"/>
      <c r="W4076"/>
      <c r="X4076"/>
      <c r="Y4076"/>
      <c r="Z4076"/>
      <c r="AA4076"/>
      <c r="AB4076"/>
      <c r="AL4076"/>
      <c r="AM4076"/>
      <c r="AN4076"/>
      <c r="AO4076"/>
    </row>
    <row r="4077" spans="1:41" s="2" customFormat="1" x14ac:dyDescent="0.2">
      <c r="A4077"/>
      <c r="B4077"/>
      <c r="C4077"/>
      <c r="D4077"/>
      <c r="E4077"/>
      <c r="F4077"/>
      <c r="G4077"/>
      <c r="U4077"/>
      <c r="V4077"/>
      <c r="W4077"/>
      <c r="X4077"/>
      <c r="Y4077"/>
      <c r="Z4077"/>
      <c r="AA4077"/>
      <c r="AB4077"/>
      <c r="AL4077"/>
      <c r="AM4077"/>
      <c r="AN4077"/>
      <c r="AO4077"/>
    </row>
    <row r="4078" spans="1:41" s="2" customFormat="1" x14ac:dyDescent="0.2">
      <c r="A4078"/>
      <c r="B4078"/>
      <c r="C4078"/>
      <c r="D4078"/>
      <c r="E4078"/>
      <c r="F4078"/>
      <c r="G4078"/>
      <c r="U4078"/>
      <c r="V4078"/>
      <c r="W4078"/>
      <c r="X4078"/>
      <c r="Y4078"/>
      <c r="Z4078"/>
      <c r="AA4078"/>
      <c r="AB4078"/>
      <c r="AL4078"/>
      <c r="AM4078"/>
      <c r="AN4078"/>
      <c r="AO4078"/>
    </row>
    <row r="4079" spans="1:41" s="2" customFormat="1" x14ac:dyDescent="0.2">
      <c r="A4079"/>
      <c r="B4079"/>
      <c r="C4079"/>
      <c r="D4079"/>
      <c r="E4079"/>
      <c r="F4079"/>
      <c r="G4079"/>
      <c r="U4079"/>
      <c r="V4079"/>
      <c r="W4079"/>
      <c r="X4079"/>
      <c r="Y4079"/>
      <c r="Z4079"/>
      <c r="AA4079"/>
      <c r="AB4079"/>
      <c r="AL4079"/>
      <c r="AM4079"/>
      <c r="AN4079"/>
      <c r="AO4079"/>
    </row>
    <row r="4080" spans="1:41" s="2" customFormat="1" x14ac:dyDescent="0.2">
      <c r="A4080"/>
      <c r="B4080"/>
      <c r="C4080"/>
      <c r="D4080"/>
      <c r="E4080"/>
      <c r="F4080"/>
      <c r="G4080"/>
      <c r="U4080"/>
      <c r="V4080"/>
      <c r="W4080"/>
      <c r="X4080"/>
      <c r="Y4080"/>
      <c r="Z4080"/>
      <c r="AA4080"/>
      <c r="AB4080"/>
      <c r="AL4080"/>
      <c r="AM4080"/>
      <c r="AN4080"/>
      <c r="AO4080"/>
    </row>
    <row r="4081" spans="1:41" s="2" customFormat="1" x14ac:dyDescent="0.2">
      <c r="A4081"/>
      <c r="B4081"/>
      <c r="C4081"/>
      <c r="D4081"/>
      <c r="E4081"/>
      <c r="F4081"/>
      <c r="G4081"/>
      <c r="U4081"/>
      <c r="V4081"/>
      <c r="W4081"/>
      <c r="X4081"/>
      <c r="Y4081"/>
      <c r="Z4081"/>
      <c r="AA4081"/>
      <c r="AB4081"/>
      <c r="AL4081"/>
      <c r="AM4081"/>
      <c r="AN4081"/>
      <c r="AO4081"/>
    </row>
    <row r="4082" spans="1:41" s="2" customFormat="1" x14ac:dyDescent="0.2">
      <c r="A4082"/>
      <c r="B4082"/>
      <c r="C4082"/>
      <c r="D4082"/>
      <c r="E4082"/>
      <c r="F4082"/>
      <c r="G4082"/>
      <c r="U4082"/>
      <c r="V4082"/>
      <c r="W4082"/>
      <c r="X4082"/>
      <c r="Y4082"/>
      <c r="Z4082"/>
      <c r="AA4082"/>
      <c r="AB4082"/>
      <c r="AL4082"/>
      <c r="AM4082"/>
      <c r="AN4082"/>
      <c r="AO4082"/>
    </row>
    <row r="4083" spans="1:41" s="2" customFormat="1" x14ac:dyDescent="0.2">
      <c r="A4083"/>
      <c r="B4083"/>
      <c r="C4083"/>
      <c r="D4083"/>
      <c r="E4083"/>
      <c r="F4083"/>
      <c r="G4083"/>
      <c r="U4083"/>
      <c r="V4083"/>
      <c r="W4083"/>
      <c r="X4083"/>
      <c r="Y4083"/>
      <c r="Z4083"/>
      <c r="AA4083"/>
      <c r="AB4083"/>
      <c r="AL4083"/>
      <c r="AM4083"/>
      <c r="AN4083"/>
      <c r="AO4083"/>
    </row>
    <row r="4084" spans="1:41" s="2" customFormat="1" x14ac:dyDescent="0.2">
      <c r="A4084"/>
      <c r="B4084"/>
      <c r="C4084"/>
      <c r="D4084"/>
      <c r="E4084"/>
      <c r="F4084"/>
      <c r="G4084"/>
      <c r="U4084"/>
      <c r="V4084"/>
      <c r="W4084"/>
      <c r="X4084"/>
      <c r="Y4084"/>
      <c r="Z4084"/>
      <c r="AA4084"/>
      <c r="AB4084"/>
      <c r="AL4084"/>
      <c r="AM4084"/>
      <c r="AN4084"/>
      <c r="AO4084"/>
    </row>
    <row r="4085" spans="1:41" s="2" customFormat="1" x14ac:dyDescent="0.2">
      <c r="A4085"/>
      <c r="B4085"/>
      <c r="C4085"/>
      <c r="D4085"/>
      <c r="E4085"/>
      <c r="F4085"/>
      <c r="G4085"/>
      <c r="U4085"/>
      <c r="V4085"/>
      <c r="W4085"/>
      <c r="X4085"/>
      <c r="Y4085"/>
      <c r="Z4085"/>
      <c r="AA4085"/>
      <c r="AB4085"/>
      <c r="AL4085"/>
      <c r="AM4085"/>
      <c r="AN4085"/>
      <c r="AO4085"/>
    </row>
    <row r="4086" spans="1:41" s="2" customFormat="1" x14ac:dyDescent="0.2">
      <c r="A4086"/>
      <c r="B4086"/>
      <c r="C4086"/>
      <c r="D4086"/>
      <c r="E4086"/>
      <c r="F4086"/>
      <c r="G4086"/>
      <c r="U4086"/>
      <c r="V4086"/>
      <c r="W4086"/>
      <c r="X4086"/>
      <c r="Y4086"/>
      <c r="Z4086"/>
      <c r="AA4086"/>
      <c r="AB4086"/>
      <c r="AL4086"/>
      <c r="AM4086"/>
      <c r="AN4086"/>
      <c r="AO4086"/>
    </row>
    <row r="4087" spans="1:41" s="2" customFormat="1" x14ac:dyDescent="0.2">
      <c r="A4087"/>
      <c r="B4087"/>
      <c r="C4087"/>
      <c r="D4087"/>
      <c r="E4087"/>
      <c r="F4087"/>
      <c r="G4087"/>
      <c r="U4087"/>
      <c r="V4087"/>
      <c r="W4087"/>
      <c r="X4087"/>
      <c r="Y4087"/>
      <c r="Z4087"/>
      <c r="AA4087"/>
      <c r="AB4087"/>
      <c r="AL4087"/>
      <c r="AM4087"/>
      <c r="AN4087"/>
      <c r="AO4087"/>
    </row>
    <row r="4088" spans="1:41" s="2" customFormat="1" x14ac:dyDescent="0.2">
      <c r="A4088"/>
      <c r="B4088"/>
      <c r="C4088"/>
      <c r="D4088"/>
      <c r="E4088"/>
      <c r="F4088"/>
      <c r="G4088"/>
      <c r="U4088"/>
      <c r="V4088"/>
      <c r="W4088"/>
      <c r="X4088"/>
      <c r="Y4088"/>
      <c r="Z4088"/>
      <c r="AA4088"/>
      <c r="AB4088"/>
      <c r="AL4088"/>
      <c r="AM4088"/>
      <c r="AN4088"/>
      <c r="AO4088"/>
    </row>
    <row r="4089" spans="1:41" s="2" customFormat="1" x14ac:dyDescent="0.2">
      <c r="A4089"/>
      <c r="B4089"/>
      <c r="C4089"/>
      <c r="D4089"/>
      <c r="E4089"/>
      <c r="F4089"/>
      <c r="G4089"/>
      <c r="U4089"/>
      <c r="V4089"/>
      <c r="W4089"/>
      <c r="X4089"/>
      <c r="Y4089"/>
      <c r="Z4089"/>
      <c r="AA4089"/>
      <c r="AB4089"/>
      <c r="AL4089"/>
      <c r="AM4089"/>
      <c r="AN4089"/>
      <c r="AO4089"/>
    </row>
    <row r="4090" spans="1:41" s="2" customFormat="1" x14ac:dyDescent="0.2">
      <c r="A4090"/>
      <c r="B4090"/>
      <c r="C4090"/>
      <c r="D4090"/>
      <c r="E4090"/>
      <c r="F4090"/>
      <c r="G4090"/>
      <c r="U4090"/>
      <c r="V4090"/>
      <c r="W4090"/>
      <c r="X4090"/>
      <c r="Y4090"/>
      <c r="Z4090"/>
      <c r="AA4090"/>
      <c r="AB4090"/>
      <c r="AL4090"/>
      <c r="AM4090"/>
      <c r="AN4090"/>
      <c r="AO4090"/>
    </row>
    <row r="4091" spans="1:41" s="2" customFormat="1" x14ac:dyDescent="0.2">
      <c r="A4091"/>
      <c r="B4091"/>
      <c r="C4091"/>
      <c r="D4091"/>
      <c r="E4091"/>
      <c r="F4091"/>
      <c r="G4091"/>
      <c r="U4091"/>
      <c r="V4091"/>
      <c r="W4091"/>
      <c r="X4091"/>
      <c r="Y4091"/>
      <c r="Z4091"/>
      <c r="AA4091"/>
      <c r="AB4091"/>
      <c r="AL4091"/>
      <c r="AM4091"/>
      <c r="AN4091"/>
      <c r="AO4091"/>
    </row>
    <row r="4092" spans="1:41" s="2" customFormat="1" x14ac:dyDescent="0.2">
      <c r="A4092"/>
      <c r="B4092"/>
      <c r="C4092"/>
      <c r="D4092"/>
      <c r="E4092"/>
      <c r="F4092"/>
      <c r="G4092"/>
      <c r="U4092"/>
      <c r="V4092"/>
      <c r="W4092"/>
      <c r="X4092"/>
      <c r="Y4092"/>
      <c r="Z4092"/>
      <c r="AA4092"/>
      <c r="AB4092"/>
      <c r="AL4092"/>
      <c r="AM4092"/>
      <c r="AN4092"/>
      <c r="AO4092"/>
    </row>
    <row r="4093" spans="1:41" s="2" customFormat="1" x14ac:dyDescent="0.2">
      <c r="A4093"/>
      <c r="B4093"/>
      <c r="C4093"/>
      <c r="D4093"/>
      <c r="E4093"/>
      <c r="F4093"/>
      <c r="G4093"/>
      <c r="U4093"/>
      <c r="V4093"/>
      <c r="W4093"/>
      <c r="X4093"/>
      <c r="Y4093"/>
      <c r="Z4093"/>
      <c r="AA4093"/>
      <c r="AB4093"/>
      <c r="AL4093"/>
      <c r="AM4093"/>
      <c r="AN4093"/>
      <c r="AO4093"/>
    </row>
    <row r="4094" spans="1:41" s="2" customFormat="1" x14ac:dyDescent="0.2">
      <c r="A4094"/>
      <c r="B4094"/>
      <c r="C4094"/>
      <c r="D4094"/>
      <c r="E4094"/>
      <c r="F4094"/>
      <c r="G4094"/>
      <c r="U4094"/>
      <c r="V4094"/>
      <c r="W4094"/>
      <c r="X4094"/>
      <c r="Y4094"/>
      <c r="Z4094"/>
      <c r="AA4094"/>
      <c r="AB4094"/>
      <c r="AL4094"/>
      <c r="AM4094"/>
      <c r="AN4094"/>
      <c r="AO4094"/>
    </row>
    <row r="4095" spans="1:41" s="2" customFormat="1" x14ac:dyDescent="0.2">
      <c r="A4095"/>
      <c r="B4095"/>
      <c r="C4095"/>
      <c r="D4095"/>
      <c r="E4095"/>
      <c r="F4095"/>
      <c r="G4095"/>
      <c r="U4095"/>
      <c r="V4095"/>
      <c r="W4095"/>
      <c r="X4095"/>
      <c r="Y4095"/>
      <c r="Z4095"/>
      <c r="AA4095"/>
      <c r="AB4095"/>
      <c r="AL4095"/>
      <c r="AM4095"/>
      <c r="AN4095"/>
      <c r="AO4095"/>
    </row>
    <row r="4096" spans="1:41" s="2" customFormat="1" x14ac:dyDescent="0.2">
      <c r="A4096"/>
      <c r="B4096"/>
      <c r="C4096"/>
      <c r="D4096"/>
      <c r="E4096"/>
      <c r="F4096"/>
      <c r="G4096"/>
      <c r="U4096"/>
      <c r="V4096"/>
      <c r="W4096"/>
      <c r="X4096"/>
      <c r="Y4096"/>
      <c r="Z4096"/>
      <c r="AA4096"/>
      <c r="AB4096"/>
      <c r="AL4096"/>
      <c r="AM4096"/>
      <c r="AN4096"/>
      <c r="AO4096"/>
    </row>
    <row r="4097" spans="1:41" s="2" customFormat="1" x14ac:dyDescent="0.2">
      <c r="A4097"/>
      <c r="B4097"/>
      <c r="C4097"/>
      <c r="D4097"/>
      <c r="E4097"/>
      <c r="F4097"/>
      <c r="G4097"/>
      <c r="U4097"/>
      <c r="V4097"/>
      <c r="W4097"/>
      <c r="X4097"/>
      <c r="Y4097"/>
      <c r="Z4097"/>
      <c r="AA4097"/>
      <c r="AB4097"/>
      <c r="AL4097"/>
      <c r="AM4097"/>
      <c r="AN4097"/>
      <c r="AO4097"/>
    </row>
    <row r="4098" spans="1:41" s="2" customFormat="1" x14ac:dyDescent="0.2">
      <c r="A4098"/>
      <c r="B4098"/>
      <c r="C4098"/>
      <c r="D4098"/>
      <c r="E4098"/>
      <c r="F4098"/>
      <c r="G4098"/>
      <c r="U4098"/>
      <c r="V4098"/>
      <c r="W4098"/>
      <c r="X4098"/>
      <c r="Y4098"/>
      <c r="Z4098"/>
      <c r="AA4098"/>
      <c r="AB4098"/>
      <c r="AL4098"/>
      <c r="AM4098"/>
      <c r="AN4098"/>
      <c r="AO4098"/>
    </row>
    <row r="4099" spans="1:41" s="2" customFormat="1" x14ac:dyDescent="0.2">
      <c r="A4099"/>
      <c r="B4099"/>
      <c r="C4099"/>
      <c r="D4099"/>
      <c r="E4099"/>
      <c r="F4099"/>
      <c r="G4099"/>
      <c r="U4099"/>
      <c r="V4099"/>
      <c r="W4099"/>
      <c r="X4099"/>
      <c r="Y4099"/>
      <c r="Z4099"/>
      <c r="AA4099"/>
      <c r="AB4099"/>
      <c r="AL4099"/>
      <c r="AM4099"/>
      <c r="AN4099"/>
      <c r="AO4099"/>
    </row>
    <row r="4100" spans="1:41" s="2" customFormat="1" x14ac:dyDescent="0.2">
      <c r="A4100"/>
      <c r="B4100"/>
      <c r="C4100"/>
      <c r="D4100"/>
      <c r="E4100"/>
      <c r="F4100"/>
      <c r="G4100"/>
      <c r="U4100"/>
      <c r="V4100"/>
      <c r="W4100"/>
      <c r="X4100"/>
      <c r="Y4100"/>
      <c r="Z4100"/>
      <c r="AA4100"/>
      <c r="AB4100"/>
      <c r="AL4100"/>
      <c r="AM4100"/>
      <c r="AN4100"/>
      <c r="AO4100"/>
    </row>
    <row r="4101" spans="1:41" s="2" customFormat="1" x14ac:dyDescent="0.2">
      <c r="A4101"/>
      <c r="B4101"/>
      <c r="C4101"/>
      <c r="D4101"/>
      <c r="E4101"/>
      <c r="F4101"/>
      <c r="G4101"/>
      <c r="U4101"/>
      <c r="V4101"/>
      <c r="W4101"/>
      <c r="X4101"/>
      <c r="Y4101"/>
      <c r="Z4101"/>
      <c r="AA4101"/>
      <c r="AB4101"/>
      <c r="AL4101"/>
      <c r="AM4101"/>
      <c r="AN4101"/>
      <c r="AO4101"/>
    </row>
    <row r="4102" spans="1:41" s="2" customFormat="1" x14ac:dyDescent="0.2">
      <c r="A4102"/>
      <c r="B4102"/>
      <c r="C4102"/>
      <c r="D4102"/>
      <c r="E4102"/>
      <c r="F4102"/>
      <c r="G4102"/>
      <c r="U4102"/>
      <c r="V4102"/>
      <c r="W4102"/>
      <c r="X4102"/>
      <c r="Y4102"/>
      <c r="Z4102"/>
      <c r="AA4102"/>
      <c r="AB4102"/>
      <c r="AL4102"/>
      <c r="AM4102"/>
      <c r="AN4102"/>
      <c r="AO4102"/>
    </row>
    <row r="4103" spans="1:41" s="2" customFormat="1" x14ac:dyDescent="0.2">
      <c r="A4103"/>
      <c r="B4103"/>
      <c r="C4103"/>
      <c r="D4103"/>
      <c r="E4103"/>
      <c r="F4103"/>
      <c r="G4103"/>
      <c r="U4103"/>
      <c r="V4103"/>
      <c r="W4103"/>
      <c r="X4103"/>
      <c r="Y4103"/>
      <c r="Z4103"/>
      <c r="AA4103"/>
      <c r="AB4103"/>
      <c r="AL4103"/>
      <c r="AM4103"/>
      <c r="AN4103"/>
      <c r="AO4103"/>
    </row>
    <row r="4104" spans="1:41" s="2" customFormat="1" x14ac:dyDescent="0.2">
      <c r="A4104"/>
      <c r="B4104"/>
      <c r="C4104"/>
      <c r="D4104"/>
      <c r="E4104"/>
      <c r="F4104"/>
      <c r="G4104"/>
      <c r="U4104"/>
      <c r="V4104"/>
      <c r="W4104"/>
      <c r="X4104"/>
      <c r="Y4104"/>
      <c r="Z4104"/>
      <c r="AA4104"/>
      <c r="AB4104"/>
      <c r="AL4104"/>
      <c r="AM4104"/>
      <c r="AN4104"/>
      <c r="AO4104"/>
    </row>
    <row r="4105" spans="1:41" s="2" customFormat="1" x14ac:dyDescent="0.2">
      <c r="A4105"/>
      <c r="B4105"/>
      <c r="C4105"/>
      <c r="D4105"/>
      <c r="E4105"/>
      <c r="F4105"/>
      <c r="G4105"/>
      <c r="U4105"/>
      <c r="V4105"/>
      <c r="W4105"/>
      <c r="X4105"/>
      <c r="Y4105"/>
      <c r="Z4105"/>
      <c r="AA4105"/>
      <c r="AB4105"/>
      <c r="AL4105"/>
      <c r="AM4105"/>
      <c r="AN4105"/>
      <c r="AO4105"/>
    </row>
    <row r="4106" spans="1:41" s="2" customFormat="1" x14ac:dyDescent="0.2">
      <c r="A4106"/>
      <c r="B4106"/>
      <c r="C4106"/>
      <c r="D4106"/>
      <c r="E4106"/>
      <c r="F4106"/>
      <c r="G4106"/>
      <c r="U4106"/>
      <c r="V4106"/>
      <c r="W4106"/>
      <c r="X4106"/>
      <c r="Y4106"/>
      <c r="Z4106"/>
      <c r="AA4106"/>
      <c r="AB4106"/>
      <c r="AL4106"/>
      <c r="AM4106"/>
      <c r="AN4106"/>
      <c r="AO4106"/>
    </row>
    <row r="4107" spans="1:41" s="2" customFormat="1" x14ac:dyDescent="0.2">
      <c r="A4107"/>
      <c r="B4107"/>
      <c r="C4107"/>
      <c r="D4107"/>
      <c r="E4107"/>
      <c r="F4107"/>
      <c r="G4107"/>
      <c r="U4107"/>
      <c r="V4107"/>
      <c r="W4107"/>
      <c r="X4107"/>
      <c r="Y4107"/>
      <c r="Z4107"/>
      <c r="AA4107"/>
      <c r="AB4107"/>
      <c r="AL4107"/>
      <c r="AM4107"/>
      <c r="AN4107"/>
      <c r="AO4107"/>
    </row>
    <row r="4108" spans="1:41" s="2" customFormat="1" x14ac:dyDescent="0.2">
      <c r="A4108"/>
      <c r="B4108"/>
      <c r="C4108"/>
      <c r="D4108"/>
      <c r="E4108"/>
      <c r="F4108"/>
      <c r="G4108"/>
      <c r="U4108"/>
      <c r="V4108"/>
      <c r="W4108"/>
      <c r="X4108"/>
      <c r="Y4108"/>
      <c r="Z4108"/>
      <c r="AA4108"/>
      <c r="AB4108"/>
      <c r="AL4108"/>
      <c r="AM4108"/>
      <c r="AN4108"/>
      <c r="AO4108"/>
    </row>
    <row r="4109" spans="1:41" s="2" customFormat="1" x14ac:dyDescent="0.2">
      <c r="A4109"/>
      <c r="B4109"/>
      <c r="C4109"/>
      <c r="D4109"/>
      <c r="E4109"/>
      <c r="F4109"/>
      <c r="G4109"/>
      <c r="U4109"/>
      <c r="V4109"/>
      <c r="W4109"/>
      <c r="X4109"/>
      <c r="Y4109"/>
      <c r="Z4109"/>
      <c r="AA4109"/>
      <c r="AB4109"/>
      <c r="AL4109"/>
      <c r="AM4109"/>
      <c r="AN4109"/>
      <c r="AO4109"/>
    </row>
    <row r="4110" spans="1:41" s="2" customFormat="1" x14ac:dyDescent="0.2">
      <c r="A4110"/>
      <c r="B4110"/>
      <c r="C4110"/>
      <c r="D4110"/>
      <c r="E4110"/>
      <c r="F4110"/>
      <c r="G4110"/>
      <c r="U4110"/>
      <c r="V4110"/>
      <c r="W4110"/>
      <c r="X4110"/>
      <c r="Y4110"/>
      <c r="Z4110"/>
      <c r="AA4110"/>
      <c r="AB4110"/>
      <c r="AL4110"/>
      <c r="AM4110"/>
      <c r="AN4110"/>
      <c r="AO4110"/>
    </row>
    <row r="4111" spans="1:41" s="2" customFormat="1" x14ac:dyDescent="0.2">
      <c r="A4111"/>
      <c r="B4111"/>
      <c r="C4111"/>
      <c r="D4111"/>
      <c r="E4111"/>
      <c r="F4111"/>
      <c r="G4111"/>
      <c r="U4111"/>
      <c r="V4111"/>
      <c r="W4111"/>
      <c r="X4111"/>
      <c r="Y4111"/>
      <c r="Z4111"/>
      <c r="AA4111"/>
      <c r="AB4111"/>
      <c r="AL4111"/>
      <c r="AM4111"/>
      <c r="AN4111"/>
      <c r="AO4111"/>
    </row>
    <row r="4112" spans="1:41" s="2" customFormat="1" x14ac:dyDescent="0.2">
      <c r="A4112"/>
      <c r="B4112"/>
      <c r="C4112"/>
      <c r="D4112"/>
      <c r="E4112"/>
      <c r="F4112"/>
      <c r="G4112"/>
      <c r="U4112"/>
      <c r="V4112"/>
      <c r="W4112"/>
      <c r="X4112"/>
      <c r="Y4112"/>
      <c r="Z4112"/>
      <c r="AA4112"/>
      <c r="AB4112"/>
      <c r="AL4112"/>
      <c r="AM4112"/>
      <c r="AN4112"/>
      <c r="AO4112"/>
    </row>
    <row r="4113" spans="1:41" s="2" customFormat="1" x14ac:dyDescent="0.2">
      <c r="A4113"/>
      <c r="B4113"/>
      <c r="C4113"/>
      <c r="D4113"/>
      <c r="E4113"/>
      <c r="F4113"/>
      <c r="G4113"/>
      <c r="U4113"/>
      <c r="V4113"/>
      <c r="W4113"/>
      <c r="X4113"/>
      <c r="Y4113"/>
      <c r="Z4113"/>
      <c r="AA4113"/>
      <c r="AB4113"/>
      <c r="AL4113"/>
      <c r="AM4113"/>
      <c r="AN4113"/>
      <c r="AO4113"/>
    </row>
    <row r="4114" spans="1:41" s="2" customFormat="1" x14ac:dyDescent="0.2">
      <c r="A4114"/>
      <c r="B4114"/>
      <c r="C4114"/>
      <c r="D4114"/>
      <c r="E4114"/>
      <c r="F4114"/>
      <c r="G4114"/>
      <c r="U4114"/>
      <c r="V4114"/>
      <c r="W4114"/>
      <c r="X4114"/>
      <c r="Y4114"/>
      <c r="Z4114"/>
      <c r="AA4114"/>
      <c r="AB4114"/>
      <c r="AL4114"/>
      <c r="AM4114"/>
      <c r="AN4114"/>
      <c r="AO4114"/>
    </row>
    <row r="4115" spans="1:41" s="2" customFormat="1" x14ac:dyDescent="0.2">
      <c r="A4115"/>
      <c r="B4115"/>
      <c r="C4115"/>
      <c r="D4115"/>
      <c r="E4115"/>
      <c r="F4115"/>
      <c r="G4115"/>
      <c r="U4115"/>
      <c r="V4115"/>
      <c r="W4115"/>
      <c r="X4115"/>
      <c r="Y4115"/>
      <c r="Z4115"/>
      <c r="AA4115"/>
      <c r="AB4115"/>
      <c r="AL4115"/>
      <c r="AM4115"/>
      <c r="AN4115"/>
      <c r="AO4115"/>
    </row>
    <row r="4116" spans="1:41" s="2" customFormat="1" x14ac:dyDescent="0.2">
      <c r="A4116"/>
      <c r="B4116"/>
      <c r="C4116"/>
      <c r="D4116"/>
      <c r="E4116"/>
      <c r="F4116"/>
      <c r="G4116"/>
      <c r="U4116"/>
      <c r="V4116"/>
      <c r="W4116"/>
      <c r="X4116"/>
      <c r="Y4116"/>
      <c r="Z4116"/>
      <c r="AA4116"/>
      <c r="AB4116"/>
      <c r="AL4116"/>
      <c r="AM4116"/>
      <c r="AN4116"/>
      <c r="AO4116"/>
    </row>
    <row r="4117" spans="1:41" s="2" customFormat="1" x14ac:dyDescent="0.2">
      <c r="A4117"/>
      <c r="B4117"/>
      <c r="C4117"/>
      <c r="D4117"/>
      <c r="E4117"/>
      <c r="F4117"/>
      <c r="G4117"/>
      <c r="U4117"/>
      <c r="V4117"/>
      <c r="W4117"/>
      <c r="X4117"/>
      <c r="Y4117"/>
      <c r="Z4117"/>
      <c r="AA4117"/>
      <c r="AB4117"/>
      <c r="AL4117"/>
      <c r="AM4117"/>
      <c r="AN4117"/>
      <c r="AO4117"/>
    </row>
    <row r="4118" spans="1:41" s="2" customFormat="1" x14ac:dyDescent="0.2">
      <c r="A4118"/>
      <c r="B4118"/>
      <c r="C4118"/>
      <c r="D4118"/>
      <c r="E4118"/>
      <c r="F4118"/>
      <c r="G4118"/>
      <c r="U4118"/>
      <c r="V4118"/>
      <c r="W4118"/>
      <c r="X4118"/>
      <c r="Y4118"/>
      <c r="Z4118"/>
      <c r="AA4118"/>
      <c r="AB4118"/>
      <c r="AL4118"/>
      <c r="AM4118"/>
      <c r="AN4118"/>
      <c r="AO4118"/>
    </row>
    <row r="4119" spans="1:41" s="2" customFormat="1" x14ac:dyDescent="0.2">
      <c r="A4119"/>
      <c r="B4119"/>
      <c r="C4119"/>
      <c r="D4119"/>
      <c r="E4119"/>
      <c r="F4119"/>
      <c r="G4119"/>
      <c r="U4119"/>
      <c r="V4119"/>
      <c r="W4119"/>
      <c r="X4119"/>
      <c r="Y4119"/>
      <c r="Z4119"/>
      <c r="AA4119"/>
      <c r="AB4119"/>
      <c r="AL4119"/>
      <c r="AM4119"/>
      <c r="AN4119"/>
      <c r="AO4119"/>
    </row>
    <row r="4120" spans="1:41" s="2" customFormat="1" x14ac:dyDescent="0.2">
      <c r="A4120"/>
      <c r="B4120"/>
      <c r="C4120"/>
      <c r="D4120"/>
      <c r="E4120"/>
      <c r="F4120"/>
      <c r="G4120"/>
      <c r="U4120"/>
      <c r="V4120"/>
      <c r="W4120"/>
      <c r="X4120"/>
      <c r="Y4120"/>
      <c r="Z4120"/>
      <c r="AA4120"/>
      <c r="AB4120"/>
      <c r="AL4120"/>
      <c r="AM4120"/>
      <c r="AN4120"/>
      <c r="AO4120"/>
    </row>
    <row r="4121" spans="1:41" s="2" customFormat="1" x14ac:dyDescent="0.2">
      <c r="A4121"/>
      <c r="B4121"/>
      <c r="C4121"/>
      <c r="D4121"/>
      <c r="E4121"/>
      <c r="F4121"/>
      <c r="G4121"/>
      <c r="U4121"/>
      <c r="V4121"/>
      <c r="W4121"/>
      <c r="X4121"/>
      <c r="Y4121"/>
      <c r="Z4121"/>
      <c r="AA4121"/>
      <c r="AB4121"/>
      <c r="AL4121"/>
      <c r="AM4121"/>
      <c r="AN4121"/>
      <c r="AO4121"/>
    </row>
    <row r="4122" spans="1:41" s="2" customFormat="1" x14ac:dyDescent="0.2">
      <c r="A4122"/>
      <c r="B4122"/>
      <c r="C4122"/>
      <c r="D4122"/>
      <c r="E4122"/>
      <c r="F4122"/>
      <c r="G4122"/>
      <c r="U4122"/>
      <c r="V4122"/>
      <c r="W4122"/>
      <c r="X4122"/>
      <c r="Y4122"/>
      <c r="Z4122"/>
      <c r="AA4122"/>
      <c r="AB4122"/>
      <c r="AL4122"/>
      <c r="AM4122"/>
      <c r="AN4122"/>
      <c r="AO4122"/>
    </row>
    <row r="4123" spans="1:41" s="2" customFormat="1" x14ac:dyDescent="0.2">
      <c r="A4123"/>
      <c r="B4123"/>
      <c r="C4123"/>
      <c r="D4123"/>
      <c r="E4123"/>
      <c r="F4123"/>
      <c r="G4123"/>
      <c r="U4123"/>
      <c r="V4123"/>
      <c r="W4123"/>
      <c r="X4123"/>
      <c r="Y4123"/>
      <c r="Z4123"/>
      <c r="AA4123"/>
      <c r="AB4123"/>
      <c r="AL4123"/>
      <c r="AM4123"/>
      <c r="AN4123"/>
      <c r="AO4123"/>
    </row>
    <row r="4124" spans="1:41" s="2" customFormat="1" x14ac:dyDescent="0.2">
      <c r="A4124"/>
      <c r="B4124"/>
      <c r="C4124"/>
      <c r="D4124"/>
      <c r="E4124"/>
      <c r="F4124"/>
      <c r="G4124"/>
      <c r="U4124"/>
      <c r="V4124"/>
      <c r="W4124"/>
      <c r="X4124"/>
      <c r="Y4124"/>
      <c r="Z4124"/>
      <c r="AA4124"/>
      <c r="AB4124"/>
      <c r="AL4124"/>
      <c r="AM4124"/>
      <c r="AN4124"/>
      <c r="AO4124"/>
    </row>
    <row r="4125" spans="1:41" s="2" customFormat="1" x14ac:dyDescent="0.2">
      <c r="A4125"/>
      <c r="B4125"/>
      <c r="C4125"/>
      <c r="D4125"/>
      <c r="E4125"/>
      <c r="F4125"/>
      <c r="G4125"/>
      <c r="U4125"/>
      <c r="V4125"/>
      <c r="W4125"/>
      <c r="X4125"/>
      <c r="Y4125"/>
      <c r="Z4125"/>
      <c r="AA4125"/>
      <c r="AB4125"/>
      <c r="AL4125"/>
      <c r="AM4125"/>
      <c r="AN4125"/>
      <c r="AO4125"/>
    </row>
    <row r="4126" spans="1:41" s="2" customFormat="1" x14ac:dyDescent="0.2">
      <c r="A4126"/>
      <c r="B4126"/>
      <c r="C4126"/>
      <c r="D4126"/>
      <c r="E4126"/>
      <c r="F4126"/>
      <c r="G4126"/>
      <c r="U4126"/>
      <c r="V4126"/>
      <c r="W4126"/>
      <c r="X4126"/>
      <c r="Y4126"/>
      <c r="Z4126"/>
      <c r="AA4126"/>
      <c r="AB4126"/>
      <c r="AL4126"/>
      <c r="AM4126"/>
      <c r="AN4126"/>
      <c r="AO4126"/>
    </row>
    <row r="4127" spans="1:41" s="2" customFormat="1" x14ac:dyDescent="0.2">
      <c r="A4127"/>
      <c r="B4127"/>
      <c r="C4127"/>
      <c r="D4127"/>
      <c r="E4127"/>
      <c r="F4127"/>
      <c r="G4127"/>
      <c r="U4127"/>
      <c r="V4127"/>
      <c r="W4127"/>
      <c r="X4127"/>
      <c r="Y4127"/>
      <c r="Z4127"/>
      <c r="AA4127"/>
      <c r="AB4127"/>
      <c r="AL4127"/>
      <c r="AM4127"/>
      <c r="AN4127"/>
      <c r="AO4127"/>
    </row>
    <row r="4128" spans="1:41" s="2" customFormat="1" x14ac:dyDescent="0.2">
      <c r="A4128"/>
      <c r="B4128"/>
      <c r="C4128"/>
      <c r="D4128"/>
      <c r="E4128"/>
      <c r="F4128"/>
      <c r="G4128"/>
      <c r="U4128"/>
      <c r="V4128"/>
      <c r="W4128"/>
      <c r="X4128"/>
      <c r="Y4128"/>
      <c r="Z4128"/>
      <c r="AA4128"/>
      <c r="AB4128"/>
      <c r="AL4128"/>
      <c r="AM4128"/>
      <c r="AN4128"/>
      <c r="AO4128"/>
    </row>
    <row r="4129" spans="1:41" s="2" customFormat="1" x14ac:dyDescent="0.2">
      <c r="A4129"/>
      <c r="B4129"/>
      <c r="C4129"/>
      <c r="D4129"/>
      <c r="E4129"/>
      <c r="F4129"/>
      <c r="G4129"/>
      <c r="U4129"/>
      <c r="V4129"/>
      <c r="W4129"/>
      <c r="X4129"/>
      <c r="Y4129"/>
      <c r="Z4129"/>
      <c r="AA4129"/>
      <c r="AB4129"/>
      <c r="AL4129"/>
      <c r="AM4129"/>
      <c r="AN4129"/>
      <c r="AO4129"/>
    </row>
    <row r="4130" spans="1:41" s="2" customFormat="1" x14ac:dyDescent="0.2">
      <c r="A4130"/>
      <c r="B4130"/>
      <c r="C4130"/>
      <c r="D4130"/>
      <c r="E4130"/>
      <c r="F4130"/>
      <c r="G4130"/>
      <c r="U4130"/>
      <c r="V4130"/>
      <c r="W4130"/>
      <c r="X4130"/>
      <c r="Y4130"/>
      <c r="Z4130"/>
      <c r="AA4130"/>
      <c r="AB4130"/>
      <c r="AL4130"/>
      <c r="AM4130"/>
      <c r="AN4130"/>
      <c r="AO4130"/>
    </row>
    <row r="4131" spans="1:41" s="2" customFormat="1" x14ac:dyDescent="0.2">
      <c r="A4131"/>
      <c r="B4131"/>
      <c r="C4131"/>
      <c r="D4131"/>
      <c r="E4131"/>
      <c r="F4131"/>
      <c r="G4131"/>
      <c r="U4131"/>
      <c r="V4131"/>
      <c r="W4131"/>
      <c r="X4131"/>
      <c r="Y4131"/>
      <c r="Z4131"/>
      <c r="AA4131"/>
      <c r="AB4131"/>
      <c r="AL4131"/>
      <c r="AM4131"/>
      <c r="AN4131"/>
      <c r="AO4131"/>
    </row>
    <row r="4132" spans="1:41" s="2" customFormat="1" x14ac:dyDescent="0.2">
      <c r="A4132"/>
      <c r="B4132"/>
      <c r="C4132"/>
      <c r="D4132"/>
      <c r="E4132"/>
      <c r="F4132"/>
      <c r="G4132"/>
      <c r="U4132"/>
      <c r="V4132"/>
      <c r="W4132"/>
      <c r="X4132"/>
      <c r="Y4132"/>
      <c r="Z4132"/>
      <c r="AA4132"/>
      <c r="AB4132"/>
      <c r="AL4132"/>
      <c r="AM4132"/>
      <c r="AN4132"/>
      <c r="AO4132"/>
    </row>
    <row r="4133" spans="1:41" s="2" customFormat="1" x14ac:dyDescent="0.2">
      <c r="A4133"/>
      <c r="B4133"/>
      <c r="C4133"/>
      <c r="D4133"/>
      <c r="E4133"/>
      <c r="F4133"/>
      <c r="G4133"/>
      <c r="U4133"/>
      <c r="V4133"/>
      <c r="W4133"/>
      <c r="X4133"/>
      <c r="Y4133"/>
      <c r="Z4133"/>
      <c r="AA4133"/>
      <c r="AB4133"/>
      <c r="AL4133"/>
      <c r="AM4133"/>
      <c r="AN4133"/>
      <c r="AO4133"/>
    </row>
    <row r="4134" spans="1:41" s="2" customFormat="1" x14ac:dyDescent="0.2">
      <c r="A4134"/>
      <c r="B4134"/>
      <c r="C4134"/>
      <c r="D4134"/>
      <c r="E4134"/>
      <c r="F4134"/>
      <c r="G4134"/>
      <c r="U4134"/>
      <c r="V4134"/>
      <c r="W4134"/>
      <c r="X4134"/>
      <c r="Y4134"/>
      <c r="Z4134"/>
      <c r="AA4134"/>
      <c r="AB4134"/>
      <c r="AL4134"/>
      <c r="AM4134"/>
      <c r="AN4134"/>
      <c r="AO4134"/>
    </row>
    <row r="4135" spans="1:41" s="2" customFormat="1" x14ac:dyDescent="0.2">
      <c r="A4135"/>
      <c r="B4135"/>
      <c r="C4135"/>
      <c r="D4135"/>
      <c r="E4135"/>
      <c r="F4135"/>
      <c r="G4135"/>
      <c r="U4135"/>
      <c r="V4135"/>
      <c r="W4135"/>
      <c r="X4135"/>
      <c r="Y4135"/>
      <c r="Z4135"/>
      <c r="AA4135"/>
      <c r="AB4135"/>
      <c r="AL4135"/>
      <c r="AM4135"/>
      <c r="AN4135"/>
      <c r="AO4135"/>
    </row>
    <row r="4136" spans="1:41" s="2" customFormat="1" x14ac:dyDescent="0.2">
      <c r="A4136"/>
      <c r="B4136"/>
      <c r="C4136"/>
      <c r="D4136"/>
      <c r="E4136"/>
      <c r="F4136"/>
      <c r="G4136"/>
      <c r="U4136"/>
      <c r="V4136"/>
      <c r="W4136"/>
      <c r="X4136"/>
      <c r="Y4136"/>
      <c r="Z4136"/>
      <c r="AA4136"/>
      <c r="AB4136"/>
      <c r="AL4136"/>
      <c r="AM4136"/>
      <c r="AN4136"/>
      <c r="AO4136"/>
    </row>
    <row r="4137" spans="1:41" s="2" customFormat="1" x14ac:dyDescent="0.2">
      <c r="A4137"/>
      <c r="B4137"/>
      <c r="C4137"/>
      <c r="D4137"/>
      <c r="E4137"/>
      <c r="F4137"/>
      <c r="G4137"/>
      <c r="U4137"/>
      <c r="V4137"/>
      <c r="W4137"/>
      <c r="X4137"/>
      <c r="Y4137"/>
      <c r="Z4137"/>
      <c r="AA4137"/>
      <c r="AB4137"/>
      <c r="AL4137"/>
      <c r="AM4137"/>
      <c r="AN4137"/>
      <c r="AO4137"/>
    </row>
    <row r="4138" spans="1:41" s="2" customFormat="1" x14ac:dyDescent="0.2">
      <c r="A4138"/>
      <c r="B4138"/>
      <c r="C4138"/>
      <c r="D4138"/>
      <c r="E4138"/>
      <c r="F4138"/>
      <c r="G4138"/>
      <c r="U4138"/>
      <c r="V4138"/>
      <c r="W4138"/>
      <c r="X4138"/>
      <c r="Y4138"/>
      <c r="Z4138"/>
      <c r="AA4138"/>
      <c r="AB4138"/>
      <c r="AL4138"/>
      <c r="AM4138"/>
      <c r="AN4138"/>
      <c r="AO4138"/>
    </row>
    <row r="4139" spans="1:41" s="2" customFormat="1" x14ac:dyDescent="0.2">
      <c r="A4139"/>
      <c r="B4139"/>
      <c r="C4139"/>
      <c r="D4139"/>
      <c r="E4139"/>
      <c r="F4139"/>
      <c r="G4139"/>
      <c r="U4139"/>
      <c r="V4139"/>
      <c r="W4139"/>
      <c r="X4139"/>
      <c r="Y4139"/>
      <c r="Z4139"/>
      <c r="AA4139"/>
      <c r="AB4139"/>
      <c r="AL4139"/>
      <c r="AM4139"/>
      <c r="AN4139"/>
      <c r="AO4139"/>
    </row>
    <row r="4140" spans="1:41" s="2" customFormat="1" x14ac:dyDescent="0.2">
      <c r="A4140"/>
      <c r="B4140"/>
      <c r="C4140"/>
      <c r="D4140"/>
      <c r="E4140"/>
      <c r="F4140"/>
      <c r="G4140"/>
      <c r="U4140"/>
      <c r="V4140"/>
      <c r="W4140"/>
      <c r="X4140"/>
      <c r="Y4140"/>
      <c r="Z4140"/>
      <c r="AA4140"/>
      <c r="AB4140"/>
      <c r="AL4140"/>
      <c r="AM4140"/>
      <c r="AN4140"/>
      <c r="AO4140"/>
    </row>
    <row r="4141" spans="1:41" s="2" customFormat="1" x14ac:dyDescent="0.2">
      <c r="A4141"/>
      <c r="B4141"/>
      <c r="C4141"/>
      <c r="D4141"/>
      <c r="E4141"/>
      <c r="F4141"/>
      <c r="G4141"/>
      <c r="U4141"/>
      <c r="V4141"/>
      <c r="W4141"/>
      <c r="X4141"/>
      <c r="Y4141"/>
      <c r="Z4141"/>
      <c r="AA4141"/>
      <c r="AB4141"/>
      <c r="AL4141"/>
      <c r="AM4141"/>
      <c r="AN4141"/>
      <c r="AO4141"/>
    </row>
    <row r="4142" spans="1:41" s="2" customFormat="1" x14ac:dyDescent="0.2">
      <c r="A4142"/>
      <c r="B4142"/>
      <c r="C4142"/>
      <c r="D4142"/>
      <c r="E4142"/>
      <c r="F4142"/>
      <c r="G4142"/>
      <c r="U4142"/>
      <c r="V4142"/>
      <c r="W4142"/>
      <c r="X4142"/>
      <c r="Y4142"/>
      <c r="Z4142"/>
      <c r="AA4142"/>
      <c r="AB4142"/>
      <c r="AL4142"/>
      <c r="AM4142"/>
      <c r="AN4142"/>
      <c r="AO4142"/>
    </row>
    <row r="4143" spans="1:41" s="2" customFormat="1" x14ac:dyDescent="0.2">
      <c r="A4143"/>
      <c r="B4143"/>
      <c r="C4143"/>
      <c r="D4143"/>
      <c r="E4143"/>
      <c r="F4143"/>
      <c r="G4143"/>
      <c r="U4143"/>
      <c r="V4143"/>
      <c r="W4143"/>
      <c r="X4143"/>
      <c r="Y4143"/>
      <c r="Z4143"/>
      <c r="AA4143"/>
      <c r="AB4143"/>
      <c r="AL4143"/>
      <c r="AM4143"/>
      <c r="AN4143"/>
      <c r="AO4143"/>
    </row>
    <row r="4144" spans="1:41" s="2" customFormat="1" x14ac:dyDescent="0.2">
      <c r="A4144"/>
      <c r="B4144"/>
      <c r="C4144"/>
      <c r="D4144"/>
      <c r="E4144"/>
      <c r="F4144"/>
      <c r="G4144"/>
      <c r="U4144"/>
      <c r="V4144"/>
      <c r="W4144"/>
      <c r="X4144"/>
      <c r="Y4144"/>
      <c r="Z4144"/>
      <c r="AA4144"/>
      <c r="AB4144"/>
      <c r="AL4144"/>
      <c r="AM4144"/>
      <c r="AN4144"/>
      <c r="AO4144"/>
    </row>
    <row r="4145" spans="1:41" s="2" customFormat="1" x14ac:dyDescent="0.2">
      <c r="A4145"/>
      <c r="B4145"/>
      <c r="C4145"/>
      <c r="D4145"/>
      <c r="E4145"/>
      <c r="F4145"/>
      <c r="G4145"/>
      <c r="U4145"/>
      <c r="V4145"/>
      <c r="W4145"/>
      <c r="X4145"/>
      <c r="Y4145"/>
      <c r="Z4145"/>
      <c r="AA4145"/>
      <c r="AB4145"/>
      <c r="AL4145"/>
      <c r="AM4145"/>
      <c r="AN4145"/>
      <c r="AO4145"/>
    </row>
    <row r="4146" spans="1:41" s="2" customFormat="1" x14ac:dyDescent="0.2">
      <c r="A4146"/>
      <c r="B4146"/>
      <c r="C4146"/>
      <c r="D4146"/>
      <c r="E4146"/>
      <c r="F4146"/>
      <c r="G4146"/>
      <c r="U4146"/>
      <c r="V4146"/>
      <c r="W4146"/>
      <c r="X4146"/>
      <c r="Y4146"/>
      <c r="Z4146"/>
      <c r="AA4146"/>
      <c r="AB4146"/>
      <c r="AL4146"/>
      <c r="AM4146"/>
      <c r="AN4146"/>
      <c r="AO4146"/>
    </row>
    <row r="4147" spans="1:41" s="2" customFormat="1" x14ac:dyDescent="0.2">
      <c r="A4147"/>
      <c r="B4147"/>
      <c r="C4147"/>
      <c r="D4147"/>
      <c r="E4147"/>
      <c r="F4147"/>
      <c r="G4147"/>
      <c r="U4147"/>
      <c r="V4147"/>
      <c r="W4147"/>
      <c r="X4147"/>
      <c r="Y4147"/>
      <c r="Z4147"/>
      <c r="AA4147"/>
      <c r="AB4147"/>
      <c r="AL4147"/>
      <c r="AM4147"/>
      <c r="AN4147"/>
      <c r="AO4147"/>
    </row>
    <row r="4148" spans="1:41" s="2" customFormat="1" x14ac:dyDescent="0.2">
      <c r="A4148"/>
      <c r="B4148"/>
      <c r="C4148"/>
      <c r="D4148"/>
      <c r="E4148"/>
      <c r="F4148"/>
      <c r="G4148"/>
      <c r="U4148"/>
      <c r="V4148"/>
      <c r="W4148"/>
      <c r="X4148"/>
      <c r="Y4148"/>
      <c r="Z4148"/>
      <c r="AA4148"/>
      <c r="AB4148"/>
      <c r="AL4148"/>
      <c r="AM4148"/>
      <c r="AN4148"/>
      <c r="AO4148"/>
    </row>
    <row r="4149" spans="1:41" s="2" customFormat="1" x14ac:dyDescent="0.2">
      <c r="A4149"/>
      <c r="B4149"/>
      <c r="C4149"/>
      <c r="D4149"/>
      <c r="E4149"/>
      <c r="F4149"/>
      <c r="G4149"/>
      <c r="U4149"/>
      <c r="V4149"/>
      <c r="W4149"/>
      <c r="X4149"/>
      <c r="Y4149"/>
      <c r="Z4149"/>
      <c r="AA4149"/>
      <c r="AB4149"/>
      <c r="AL4149"/>
      <c r="AM4149"/>
      <c r="AN4149"/>
      <c r="AO4149"/>
    </row>
    <row r="4150" spans="1:41" s="2" customFormat="1" x14ac:dyDescent="0.2">
      <c r="A4150"/>
      <c r="B4150"/>
      <c r="C4150"/>
      <c r="D4150"/>
      <c r="E4150"/>
      <c r="F4150"/>
      <c r="G4150"/>
      <c r="U4150"/>
      <c r="V4150"/>
      <c r="W4150"/>
      <c r="X4150"/>
      <c r="Y4150"/>
      <c r="Z4150"/>
      <c r="AA4150"/>
      <c r="AB4150"/>
      <c r="AL4150"/>
      <c r="AM4150"/>
      <c r="AN4150"/>
      <c r="AO4150"/>
    </row>
    <row r="4151" spans="1:41" s="2" customFormat="1" x14ac:dyDescent="0.2">
      <c r="A4151"/>
      <c r="B4151"/>
      <c r="C4151"/>
      <c r="D4151"/>
      <c r="E4151"/>
      <c r="F4151"/>
      <c r="G4151"/>
      <c r="U4151"/>
      <c r="V4151"/>
      <c r="W4151"/>
      <c r="X4151"/>
      <c r="Y4151"/>
      <c r="Z4151"/>
      <c r="AA4151"/>
      <c r="AB4151"/>
      <c r="AL4151"/>
      <c r="AM4151"/>
      <c r="AN4151"/>
      <c r="AO4151"/>
    </row>
    <row r="4152" spans="1:41" s="2" customFormat="1" x14ac:dyDescent="0.2">
      <c r="A4152"/>
      <c r="B4152"/>
      <c r="C4152"/>
      <c r="D4152"/>
      <c r="E4152"/>
      <c r="F4152"/>
      <c r="G4152"/>
      <c r="U4152"/>
      <c r="V4152"/>
      <c r="W4152"/>
      <c r="X4152"/>
      <c r="Y4152"/>
      <c r="Z4152"/>
      <c r="AA4152"/>
      <c r="AB4152"/>
      <c r="AL4152"/>
      <c r="AM4152"/>
      <c r="AN4152"/>
      <c r="AO4152"/>
    </row>
    <row r="4153" spans="1:41" s="2" customFormat="1" x14ac:dyDescent="0.2">
      <c r="A4153"/>
      <c r="B4153"/>
      <c r="C4153"/>
      <c r="D4153"/>
      <c r="E4153"/>
      <c r="F4153"/>
      <c r="G4153"/>
      <c r="U4153"/>
      <c r="V4153"/>
      <c r="W4153"/>
      <c r="X4153"/>
      <c r="Y4153"/>
      <c r="Z4153"/>
      <c r="AA4153"/>
      <c r="AB4153"/>
      <c r="AL4153"/>
      <c r="AM4153"/>
      <c r="AN4153"/>
      <c r="AO4153"/>
    </row>
    <row r="4154" spans="1:41" s="2" customFormat="1" x14ac:dyDescent="0.2">
      <c r="A4154"/>
      <c r="B4154"/>
      <c r="C4154"/>
      <c r="D4154"/>
      <c r="E4154"/>
      <c r="F4154"/>
      <c r="G4154"/>
      <c r="U4154"/>
      <c r="V4154"/>
      <c r="W4154"/>
      <c r="X4154"/>
      <c r="Y4154"/>
      <c r="Z4154"/>
      <c r="AA4154"/>
      <c r="AB4154"/>
      <c r="AL4154"/>
      <c r="AM4154"/>
      <c r="AN4154"/>
      <c r="AO4154"/>
    </row>
    <row r="4155" spans="1:41" s="2" customFormat="1" x14ac:dyDescent="0.2">
      <c r="A4155"/>
      <c r="B4155"/>
      <c r="C4155"/>
      <c r="D4155"/>
      <c r="E4155"/>
      <c r="F4155"/>
      <c r="G4155"/>
      <c r="U4155"/>
      <c r="V4155"/>
      <c r="W4155"/>
      <c r="X4155"/>
      <c r="Y4155"/>
      <c r="Z4155"/>
      <c r="AA4155"/>
      <c r="AB4155"/>
      <c r="AL4155"/>
      <c r="AM4155"/>
      <c r="AN4155"/>
      <c r="AO4155"/>
    </row>
    <row r="4156" spans="1:41" s="2" customFormat="1" x14ac:dyDescent="0.2">
      <c r="A4156"/>
      <c r="B4156"/>
      <c r="C4156"/>
      <c r="D4156"/>
      <c r="E4156"/>
      <c r="F4156"/>
      <c r="G4156"/>
      <c r="U4156"/>
      <c r="V4156"/>
      <c r="W4156"/>
      <c r="X4156"/>
      <c r="Y4156"/>
      <c r="Z4156"/>
      <c r="AA4156"/>
      <c r="AB4156"/>
      <c r="AL4156"/>
      <c r="AM4156"/>
      <c r="AN4156"/>
      <c r="AO4156"/>
    </row>
    <row r="4157" spans="1:41" s="2" customFormat="1" x14ac:dyDescent="0.2">
      <c r="A4157"/>
      <c r="B4157"/>
      <c r="C4157"/>
      <c r="D4157"/>
      <c r="E4157"/>
      <c r="F4157"/>
      <c r="G4157"/>
      <c r="U4157"/>
      <c r="V4157"/>
      <c r="W4157"/>
      <c r="X4157"/>
      <c r="Y4157"/>
      <c r="Z4157"/>
      <c r="AA4157"/>
      <c r="AB4157"/>
      <c r="AL4157"/>
      <c r="AM4157"/>
      <c r="AN4157"/>
      <c r="AO4157"/>
    </row>
    <row r="4158" spans="1:41" s="2" customFormat="1" x14ac:dyDescent="0.2">
      <c r="A4158"/>
      <c r="B4158"/>
      <c r="C4158"/>
      <c r="D4158"/>
      <c r="E4158"/>
      <c r="F4158"/>
      <c r="G4158"/>
      <c r="U4158"/>
      <c r="V4158"/>
      <c r="W4158"/>
      <c r="X4158"/>
      <c r="Y4158"/>
      <c r="Z4158"/>
      <c r="AA4158"/>
      <c r="AB4158"/>
      <c r="AL4158"/>
      <c r="AM4158"/>
      <c r="AN4158"/>
      <c r="AO4158"/>
    </row>
    <row r="4159" spans="1:41" s="2" customFormat="1" x14ac:dyDescent="0.2">
      <c r="A4159"/>
      <c r="B4159"/>
      <c r="C4159"/>
      <c r="D4159"/>
      <c r="E4159"/>
      <c r="F4159"/>
      <c r="G4159"/>
      <c r="U4159"/>
      <c r="V4159"/>
      <c r="W4159"/>
      <c r="X4159"/>
      <c r="Y4159"/>
      <c r="Z4159"/>
      <c r="AA4159"/>
      <c r="AB4159"/>
      <c r="AL4159"/>
      <c r="AM4159"/>
      <c r="AN4159"/>
      <c r="AO4159"/>
    </row>
    <row r="4160" spans="1:41" s="2" customFormat="1" x14ac:dyDescent="0.2">
      <c r="A4160"/>
      <c r="B4160"/>
      <c r="C4160"/>
      <c r="D4160"/>
      <c r="E4160"/>
      <c r="F4160"/>
      <c r="G4160"/>
      <c r="U4160"/>
      <c r="V4160"/>
      <c r="W4160"/>
      <c r="X4160"/>
      <c r="Y4160"/>
      <c r="Z4160"/>
      <c r="AA4160"/>
      <c r="AB4160"/>
      <c r="AL4160"/>
      <c r="AM4160"/>
      <c r="AN4160"/>
      <c r="AO4160"/>
    </row>
    <row r="4161" spans="1:41" s="2" customFormat="1" x14ac:dyDescent="0.2">
      <c r="A4161"/>
      <c r="B4161"/>
      <c r="C4161"/>
      <c r="D4161"/>
      <c r="E4161"/>
      <c r="F4161"/>
      <c r="G4161"/>
      <c r="U4161"/>
      <c r="V4161"/>
      <c r="W4161"/>
      <c r="X4161"/>
      <c r="Y4161"/>
      <c r="Z4161"/>
      <c r="AA4161"/>
      <c r="AB4161"/>
      <c r="AL4161"/>
      <c r="AM4161"/>
      <c r="AN4161"/>
      <c r="AO4161"/>
    </row>
    <row r="4162" spans="1:41" s="2" customFormat="1" x14ac:dyDescent="0.2">
      <c r="A4162"/>
      <c r="B4162"/>
      <c r="C4162"/>
      <c r="D4162"/>
      <c r="E4162"/>
      <c r="F4162"/>
      <c r="G4162"/>
      <c r="U4162"/>
      <c r="V4162"/>
      <c r="W4162"/>
      <c r="X4162"/>
      <c r="Y4162"/>
      <c r="Z4162"/>
      <c r="AA4162"/>
      <c r="AB4162"/>
      <c r="AL4162"/>
      <c r="AM4162"/>
      <c r="AN4162"/>
      <c r="AO4162"/>
    </row>
    <row r="4163" spans="1:41" s="2" customFormat="1" x14ac:dyDescent="0.2">
      <c r="A4163"/>
      <c r="B4163"/>
      <c r="C4163"/>
      <c r="D4163"/>
      <c r="E4163"/>
      <c r="F4163"/>
      <c r="G4163"/>
      <c r="U4163"/>
      <c r="V4163"/>
      <c r="W4163"/>
      <c r="X4163"/>
      <c r="Y4163"/>
      <c r="Z4163"/>
      <c r="AA4163"/>
      <c r="AB4163"/>
      <c r="AL4163"/>
      <c r="AM4163"/>
      <c r="AN4163"/>
      <c r="AO4163"/>
    </row>
    <row r="4164" spans="1:41" s="2" customFormat="1" x14ac:dyDescent="0.2">
      <c r="A4164"/>
      <c r="B4164"/>
      <c r="C4164"/>
      <c r="D4164"/>
      <c r="E4164"/>
      <c r="F4164"/>
      <c r="G4164"/>
      <c r="U4164"/>
      <c r="V4164"/>
      <c r="W4164"/>
      <c r="X4164"/>
      <c r="Y4164"/>
      <c r="Z4164"/>
      <c r="AA4164"/>
      <c r="AB4164"/>
      <c r="AL4164"/>
      <c r="AM4164"/>
      <c r="AN4164"/>
      <c r="AO4164"/>
    </row>
    <row r="4165" spans="1:41" s="2" customFormat="1" x14ac:dyDescent="0.2">
      <c r="A4165"/>
      <c r="B4165"/>
      <c r="C4165"/>
      <c r="D4165"/>
      <c r="E4165"/>
      <c r="F4165"/>
      <c r="G4165"/>
      <c r="U4165"/>
      <c r="V4165"/>
      <c r="W4165"/>
      <c r="X4165"/>
      <c r="Y4165"/>
      <c r="Z4165"/>
      <c r="AA4165"/>
      <c r="AB4165"/>
      <c r="AL4165"/>
      <c r="AM4165"/>
      <c r="AN4165"/>
      <c r="AO4165"/>
    </row>
    <row r="4166" spans="1:41" s="2" customFormat="1" x14ac:dyDescent="0.2">
      <c r="A4166"/>
      <c r="B4166"/>
      <c r="C4166"/>
      <c r="D4166"/>
      <c r="E4166"/>
      <c r="F4166"/>
      <c r="G4166"/>
      <c r="U4166"/>
      <c r="V4166"/>
      <c r="W4166"/>
      <c r="X4166"/>
      <c r="Y4166"/>
      <c r="Z4166"/>
      <c r="AA4166"/>
      <c r="AB4166"/>
      <c r="AL4166"/>
      <c r="AM4166"/>
      <c r="AN4166"/>
      <c r="AO4166"/>
    </row>
    <row r="4167" spans="1:41" s="2" customFormat="1" x14ac:dyDescent="0.2">
      <c r="A4167"/>
      <c r="B4167"/>
      <c r="C4167"/>
      <c r="D4167"/>
      <c r="E4167"/>
      <c r="F4167"/>
      <c r="G4167"/>
      <c r="U4167"/>
      <c r="V4167"/>
      <c r="W4167"/>
      <c r="X4167"/>
      <c r="Y4167"/>
      <c r="Z4167"/>
      <c r="AA4167"/>
      <c r="AB4167"/>
      <c r="AL4167"/>
      <c r="AM4167"/>
      <c r="AN4167"/>
      <c r="AO4167"/>
    </row>
    <row r="4168" spans="1:41" s="2" customFormat="1" x14ac:dyDescent="0.2">
      <c r="A4168"/>
      <c r="B4168"/>
      <c r="C4168"/>
      <c r="D4168"/>
      <c r="E4168"/>
      <c r="F4168"/>
      <c r="G4168"/>
      <c r="U4168"/>
      <c r="V4168"/>
      <c r="W4168"/>
      <c r="X4168"/>
      <c r="Y4168"/>
      <c r="Z4168"/>
      <c r="AA4168"/>
      <c r="AB4168"/>
      <c r="AL4168"/>
      <c r="AM4168"/>
      <c r="AN4168"/>
      <c r="AO4168"/>
    </row>
    <row r="4169" spans="1:41" s="2" customFormat="1" x14ac:dyDescent="0.2">
      <c r="A4169"/>
      <c r="B4169"/>
      <c r="C4169"/>
      <c r="D4169"/>
      <c r="E4169"/>
      <c r="F4169"/>
      <c r="G4169"/>
      <c r="U4169"/>
      <c r="V4169"/>
      <c r="W4169"/>
      <c r="X4169"/>
      <c r="Y4169"/>
      <c r="Z4169"/>
      <c r="AA4169"/>
      <c r="AB4169"/>
      <c r="AL4169"/>
      <c r="AM4169"/>
      <c r="AN4169"/>
      <c r="AO4169"/>
    </row>
    <row r="4170" spans="1:41" s="2" customFormat="1" x14ac:dyDescent="0.2">
      <c r="A4170"/>
      <c r="B4170"/>
      <c r="C4170"/>
      <c r="D4170"/>
      <c r="E4170"/>
      <c r="F4170"/>
      <c r="G4170"/>
      <c r="U4170"/>
      <c r="V4170"/>
      <c r="W4170"/>
      <c r="X4170"/>
      <c r="Y4170"/>
      <c r="Z4170"/>
      <c r="AA4170"/>
      <c r="AB4170"/>
      <c r="AL4170"/>
      <c r="AM4170"/>
      <c r="AN4170"/>
      <c r="AO4170"/>
    </row>
    <row r="4171" spans="1:41" s="2" customFormat="1" x14ac:dyDescent="0.2">
      <c r="A4171"/>
      <c r="B4171"/>
      <c r="C4171"/>
      <c r="D4171"/>
      <c r="E4171"/>
      <c r="F4171"/>
      <c r="G4171"/>
      <c r="U4171"/>
      <c r="V4171"/>
      <c r="W4171"/>
      <c r="X4171"/>
      <c r="Y4171"/>
      <c r="Z4171"/>
      <c r="AA4171"/>
      <c r="AB4171"/>
      <c r="AL4171"/>
      <c r="AM4171"/>
      <c r="AN4171"/>
      <c r="AO4171"/>
    </row>
    <row r="4172" spans="1:41" s="2" customFormat="1" x14ac:dyDescent="0.2">
      <c r="A4172"/>
      <c r="B4172"/>
      <c r="C4172"/>
      <c r="D4172"/>
      <c r="E4172"/>
      <c r="F4172"/>
      <c r="G4172"/>
      <c r="U4172"/>
      <c r="V4172"/>
      <c r="W4172"/>
      <c r="X4172"/>
      <c r="Y4172"/>
      <c r="Z4172"/>
      <c r="AA4172"/>
      <c r="AB4172"/>
      <c r="AL4172"/>
      <c r="AM4172"/>
      <c r="AN4172"/>
      <c r="AO4172"/>
    </row>
    <row r="4173" spans="1:41" s="2" customFormat="1" x14ac:dyDescent="0.2">
      <c r="A4173"/>
      <c r="B4173"/>
      <c r="C4173"/>
      <c r="D4173"/>
      <c r="E4173"/>
      <c r="F4173"/>
      <c r="G4173"/>
      <c r="U4173"/>
      <c r="V4173"/>
      <c r="W4173"/>
      <c r="X4173"/>
      <c r="Y4173"/>
      <c r="Z4173"/>
      <c r="AA4173"/>
      <c r="AB4173"/>
      <c r="AL4173"/>
      <c r="AM4173"/>
      <c r="AN4173"/>
      <c r="AO4173"/>
    </row>
    <row r="4174" spans="1:41" s="2" customFormat="1" x14ac:dyDescent="0.2">
      <c r="A4174"/>
      <c r="B4174"/>
      <c r="C4174"/>
      <c r="D4174"/>
      <c r="E4174"/>
      <c r="F4174"/>
      <c r="G4174"/>
      <c r="U4174"/>
      <c r="V4174"/>
      <c r="W4174"/>
      <c r="X4174"/>
      <c r="Y4174"/>
      <c r="Z4174"/>
      <c r="AA4174"/>
      <c r="AB4174"/>
      <c r="AL4174"/>
      <c r="AM4174"/>
      <c r="AN4174"/>
      <c r="AO4174"/>
    </row>
    <row r="4175" spans="1:41" s="2" customFormat="1" x14ac:dyDescent="0.2">
      <c r="A4175"/>
      <c r="B4175"/>
      <c r="C4175"/>
      <c r="D4175"/>
      <c r="E4175"/>
      <c r="F4175"/>
      <c r="G4175"/>
      <c r="U4175"/>
      <c r="V4175"/>
      <c r="W4175"/>
      <c r="X4175"/>
      <c r="Y4175"/>
      <c r="Z4175"/>
      <c r="AA4175"/>
      <c r="AB4175"/>
      <c r="AL4175"/>
      <c r="AM4175"/>
      <c r="AN4175"/>
      <c r="AO4175"/>
    </row>
    <row r="4176" spans="1:41" s="2" customFormat="1" x14ac:dyDescent="0.2">
      <c r="A4176"/>
      <c r="B4176"/>
      <c r="C4176"/>
      <c r="D4176"/>
      <c r="E4176"/>
      <c r="F4176"/>
      <c r="G4176"/>
      <c r="U4176"/>
      <c r="V4176"/>
      <c r="W4176"/>
      <c r="X4176"/>
      <c r="Y4176"/>
      <c r="Z4176"/>
      <c r="AA4176"/>
      <c r="AB4176"/>
      <c r="AL4176"/>
      <c r="AM4176"/>
      <c r="AN4176"/>
      <c r="AO4176"/>
    </row>
    <row r="4177" spans="1:41" s="2" customFormat="1" x14ac:dyDescent="0.2">
      <c r="A4177"/>
      <c r="B4177"/>
      <c r="C4177"/>
      <c r="D4177"/>
      <c r="E4177"/>
      <c r="F4177"/>
      <c r="G4177"/>
      <c r="U4177"/>
      <c r="V4177"/>
      <c r="W4177"/>
      <c r="X4177"/>
      <c r="Y4177"/>
      <c r="Z4177"/>
      <c r="AA4177"/>
      <c r="AB4177"/>
      <c r="AL4177"/>
      <c r="AM4177"/>
      <c r="AN4177"/>
      <c r="AO4177"/>
    </row>
    <row r="4178" spans="1:41" s="2" customFormat="1" x14ac:dyDescent="0.2">
      <c r="A4178"/>
      <c r="B4178"/>
      <c r="C4178"/>
      <c r="D4178"/>
      <c r="E4178"/>
      <c r="F4178"/>
      <c r="G4178"/>
      <c r="U4178"/>
      <c r="V4178"/>
      <c r="W4178"/>
      <c r="X4178"/>
      <c r="Y4178"/>
      <c r="Z4178"/>
      <c r="AA4178"/>
      <c r="AB4178"/>
      <c r="AL4178"/>
      <c r="AM4178"/>
      <c r="AN4178"/>
      <c r="AO4178"/>
    </row>
    <row r="4179" spans="1:41" s="2" customFormat="1" x14ac:dyDescent="0.2">
      <c r="A4179"/>
      <c r="B4179"/>
      <c r="C4179"/>
      <c r="D4179"/>
      <c r="E4179"/>
      <c r="F4179"/>
      <c r="G4179"/>
      <c r="U4179"/>
      <c r="V4179"/>
      <c r="W4179"/>
      <c r="X4179"/>
      <c r="Y4179"/>
      <c r="Z4179"/>
      <c r="AA4179"/>
      <c r="AB4179"/>
      <c r="AL4179"/>
      <c r="AM4179"/>
      <c r="AN4179"/>
      <c r="AO4179"/>
    </row>
    <row r="4180" spans="1:41" s="2" customFormat="1" x14ac:dyDescent="0.2">
      <c r="A4180"/>
      <c r="B4180"/>
      <c r="C4180"/>
      <c r="D4180"/>
      <c r="E4180"/>
      <c r="F4180"/>
      <c r="G4180"/>
      <c r="U4180"/>
      <c r="V4180"/>
      <c r="W4180"/>
      <c r="X4180"/>
      <c r="Y4180"/>
      <c r="Z4180"/>
      <c r="AA4180"/>
      <c r="AB4180"/>
      <c r="AL4180"/>
      <c r="AM4180"/>
      <c r="AN4180"/>
      <c r="AO4180"/>
    </row>
    <row r="4181" spans="1:41" s="2" customFormat="1" x14ac:dyDescent="0.2">
      <c r="A4181"/>
      <c r="B4181"/>
      <c r="C4181"/>
      <c r="D4181"/>
      <c r="E4181"/>
      <c r="F4181"/>
      <c r="G4181"/>
      <c r="U4181"/>
      <c r="V4181"/>
      <c r="W4181"/>
      <c r="X4181"/>
      <c r="Y4181"/>
      <c r="Z4181"/>
      <c r="AA4181"/>
      <c r="AB4181"/>
      <c r="AL4181"/>
      <c r="AM4181"/>
      <c r="AN4181"/>
      <c r="AO4181"/>
    </row>
    <row r="4182" spans="1:41" s="2" customFormat="1" x14ac:dyDescent="0.2">
      <c r="A4182"/>
      <c r="B4182"/>
      <c r="C4182"/>
      <c r="D4182"/>
      <c r="E4182"/>
      <c r="F4182"/>
      <c r="G4182"/>
      <c r="U4182"/>
      <c r="V4182"/>
      <c r="W4182"/>
      <c r="X4182"/>
      <c r="Y4182"/>
      <c r="Z4182"/>
      <c r="AA4182"/>
      <c r="AB4182"/>
      <c r="AL4182"/>
      <c r="AM4182"/>
      <c r="AN4182"/>
      <c r="AO4182"/>
    </row>
    <row r="4183" spans="1:41" s="2" customFormat="1" x14ac:dyDescent="0.2">
      <c r="A4183"/>
      <c r="B4183"/>
      <c r="C4183"/>
      <c r="D4183"/>
      <c r="E4183"/>
      <c r="F4183"/>
      <c r="G4183"/>
      <c r="U4183"/>
      <c r="V4183"/>
      <c r="W4183"/>
      <c r="X4183"/>
      <c r="Y4183"/>
      <c r="Z4183"/>
      <c r="AA4183"/>
      <c r="AB4183"/>
      <c r="AL4183"/>
      <c r="AM4183"/>
      <c r="AN4183"/>
      <c r="AO4183"/>
    </row>
    <row r="4184" spans="1:41" s="2" customFormat="1" x14ac:dyDescent="0.2">
      <c r="A4184"/>
      <c r="B4184"/>
      <c r="C4184"/>
      <c r="D4184"/>
      <c r="E4184"/>
      <c r="F4184"/>
      <c r="G4184"/>
      <c r="U4184"/>
      <c r="V4184"/>
      <c r="W4184"/>
      <c r="X4184"/>
      <c r="Y4184"/>
      <c r="Z4184"/>
      <c r="AA4184"/>
      <c r="AB4184"/>
      <c r="AL4184"/>
      <c r="AM4184"/>
      <c r="AN4184"/>
      <c r="AO4184"/>
    </row>
    <row r="4185" spans="1:41" s="2" customFormat="1" x14ac:dyDescent="0.2">
      <c r="A4185"/>
      <c r="B4185"/>
      <c r="C4185"/>
      <c r="D4185"/>
      <c r="E4185"/>
      <c r="F4185"/>
      <c r="G4185"/>
      <c r="U4185"/>
      <c r="V4185"/>
      <c r="W4185"/>
      <c r="X4185"/>
      <c r="Y4185"/>
      <c r="Z4185"/>
      <c r="AA4185"/>
      <c r="AB4185"/>
      <c r="AL4185"/>
      <c r="AM4185"/>
      <c r="AN4185"/>
      <c r="AO4185"/>
    </row>
    <row r="4186" spans="1:41" s="2" customFormat="1" x14ac:dyDescent="0.2">
      <c r="A4186"/>
      <c r="B4186"/>
      <c r="C4186"/>
      <c r="D4186"/>
      <c r="E4186"/>
      <c r="F4186"/>
      <c r="G4186"/>
      <c r="U4186"/>
      <c r="V4186"/>
      <c r="W4186"/>
      <c r="X4186"/>
      <c r="Y4186"/>
      <c r="Z4186"/>
      <c r="AA4186"/>
      <c r="AB4186"/>
      <c r="AL4186"/>
      <c r="AM4186"/>
      <c r="AN4186"/>
      <c r="AO4186"/>
    </row>
    <row r="4187" spans="1:41" s="2" customFormat="1" x14ac:dyDescent="0.2">
      <c r="A4187"/>
      <c r="B4187"/>
      <c r="C4187"/>
      <c r="D4187"/>
      <c r="E4187"/>
      <c r="F4187"/>
      <c r="G4187"/>
      <c r="U4187"/>
      <c r="V4187"/>
      <c r="W4187"/>
      <c r="X4187"/>
      <c r="Y4187"/>
      <c r="Z4187"/>
      <c r="AA4187"/>
      <c r="AB4187"/>
      <c r="AL4187"/>
      <c r="AM4187"/>
      <c r="AN4187"/>
      <c r="AO4187"/>
    </row>
    <row r="4188" spans="1:41" s="2" customFormat="1" x14ac:dyDescent="0.2">
      <c r="A4188"/>
      <c r="B4188"/>
      <c r="C4188"/>
      <c r="D4188"/>
      <c r="E4188"/>
      <c r="F4188"/>
      <c r="G4188"/>
      <c r="U4188"/>
      <c r="V4188"/>
      <c r="W4188"/>
      <c r="X4188"/>
      <c r="Y4188"/>
      <c r="Z4188"/>
      <c r="AA4188"/>
      <c r="AB4188"/>
      <c r="AL4188"/>
      <c r="AM4188"/>
      <c r="AN4188"/>
      <c r="AO4188"/>
    </row>
    <row r="4189" spans="1:41" s="2" customFormat="1" x14ac:dyDescent="0.2">
      <c r="A4189"/>
      <c r="B4189"/>
      <c r="C4189"/>
      <c r="D4189"/>
      <c r="E4189"/>
      <c r="F4189"/>
      <c r="G4189"/>
      <c r="U4189"/>
      <c r="V4189"/>
      <c r="W4189"/>
      <c r="X4189"/>
      <c r="Y4189"/>
      <c r="Z4189"/>
      <c r="AA4189"/>
      <c r="AB4189"/>
      <c r="AL4189"/>
      <c r="AM4189"/>
      <c r="AN4189"/>
      <c r="AO4189"/>
    </row>
    <row r="4190" spans="1:41" s="2" customFormat="1" x14ac:dyDescent="0.2">
      <c r="A4190"/>
      <c r="B4190"/>
      <c r="C4190"/>
      <c r="D4190"/>
      <c r="E4190"/>
      <c r="F4190"/>
      <c r="G4190"/>
      <c r="U4190"/>
      <c r="V4190"/>
      <c r="W4190"/>
      <c r="X4190"/>
      <c r="Y4190"/>
      <c r="Z4190"/>
      <c r="AA4190"/>
      <c r="AB4190"/>
      <c r="AL4190"/>
      <c r="AM4190"/>
      <c r="AN4190"/>
      <c r="AO4190"/>
    </row>
    <row r="4191" spans="1:41" s="2" customFormat="1" x14ac:dyDescent="0.2">
      <c r="A4191"/>
      <c r="B4191"/>
      <c r="C4191"/>
      <c r="D4191"/>
      <c r="E4191"/>
      <c r="F4191"/>
      <c r="G4191"/>
      <c r="U4191"/>
      <c r="V4191"/>
      <c r="W4191"/>
      <c r="X4191"/>
      <c r="Y4191"/>
      <c r="Z4191"/>
      <c r="AA4191"/>
      <c r="AB4191"/>
      <c r="AL4191"/>
      <c r="AM4191"/>
      <c r="AN4191"/>
      <c r="AO4191"/>
    </row>
    <row r="4192" spans="1:41" s="2" customFormat="1" x14ac:dyDescent="0.2">
      <c r="A4192"/>
      <c r="B4192"/>
      <c r="C4192"/>
      <c r="D4192"/>
      <c r="E4192"/>
      <c r="F4192"/>
      <c r="G4192"/>
      <c r="U4192"/>
      <c r="V4192"/>
      <c r="W4192"/>
      <c r="X4192"/>
      <c r="Y4192"/>
      <c r="Z4192"/>
      <c r="AA4192"/>
      <c r="AB4192"/>
      <c r="AL4192"/>
      <c r="AM4192"/>
      <c r="AN4192"/>
      <c r="AO4192"/>
    </row>
    <row r="4193" spans="1:41" s="2" customFormat="1" x14ac:dyDescent="0.2">
      <c r="A4193"/>
      <c r="B4193"/>
      <c r="C4193"/>
      <c r="D4193"/>
      <c r="E4193"/>
      <c r="F4193"/>
      <c r="G4193"/>
      <c r="U4193"/>
      <c r="V4193"/>
      <c r="W4193"/>
      <c r="X4193"/>
      <c r="Y4193"/>
      <c r="Z4193"/>
      <c r="AA4193"/>
      <c r="AB4193"/>
      <c r="AL4193"/>
      <c r="AM4193"/>
      <c r="AN4193"/>
      <c r="AO4193"/>
    </row>
    <row r="4194" spans="1:41" s="2" customFormat="1" x14ac:dyDescent="0.2">
      <c r="A4194"/>
      <c r="B4194"/>
      <c r="C4194"/>
      <c r="D4194"/>
      <c r="E4194"/>
      <c r="F4194"/>
      <c r="G4194"/>
      <c r="U4194"/>
      <c r="V4194"/>
      <c r="W4194"/>
      <c r="X4194"/>
      <c r="Y4194"/>
      <c r="Z4194"/>
      <c r="AA4194"/>
      <c r="AB4194"/>
      <c r="AL4194"/>
      <c r="AM4194"/>
      <c r="AN4194"/>
      <c r="AO4194"/>
    </row>
    <row r="4195" spans="1:41" s="2" customFormat="1" x14ac:dyDescent="0.2">
      <c r="A4195"/>
      <c r="B4195"/>
      <c r="C4195"/>
      <c r="D4195"/>
      <c r="E4195"/>
      <c r="F4195"/>
      <c r="G4195"/>
      <c r="U4195"/>
      <c r="V4195"/>
      <c r="W4195"/>
      <c r="X4195"/>
      <c r="Y4195"/>
      <c r="Z4195"/>
      <c r="AA4195"/>
      <c r="AB4195"/>
      <c r="AL4195"/>
      <c r="AM4195"/>
      <c r="AN4195"/>
      <c r="AO4195"/>
    </row>
    <row r="4196" spans="1:41" s="2" customFormat="1" x14ac:dyDescent="0.2">
      <c r="A4196"/>
      <c r="B4196"/>
      <c r="C4196"/>
      <c r="D4196"/>
      <c r="E4196"/>
      <c r="F4196"/>
      <c r="G4196"/>
      <c r="U4196"/>
      <c r="V4196"/>
      <c r="W4196"/>
      <c r="X4196"/>
      <c r="Y4196"/>
      <c r="Z4196"/>
      <c r="AA4196"/>
      <c r="AB4196"/>
      <c r="AL4196"/>
      <c r="AM4196"/>
      <c r="AN4196"/>
      <c r="AO4196"/>
    </row>
    <row r="4197" spans="1:41" s="2" customFormat="1" x14ac:dyDescent="0.2">
      <c r="A4197"/>
      <c r="B4197"/>
      <c r="C4197"/>
      <c r="D4197"/>
      <c r="E4197"/>
      <c r="F4197"/>
      <c r="G4197"/>
      <c r="U4197"/>
      <c r="V4197"/>
      <c r="W4197"/>
      <c r="X4197"/>
      <c r="Y4197"/>
      <c r="Z4197"/>
      <c r="AA4197"/>
      <c r="AB4197"/>
      <c r="AL4197"/>
      <c r="AM4197"/>
      <c r="AN4197"/>
      <c r="AO4197"/>
    </row>
    <row r="4198" spans="1:41" s="2" customFormat="1" x14ac:dyDescent="0.2">
      <c r="A4198"/>
      <c r="B4198"/>
      <c r="C4198"/>
      <c r="D4198"/>
      <c r="E4198"/>
      <c r="F4198"/>
      <c r="G4198"/>
      <c r="U4198"/>
      <c r="V4198"/>
      <c r="W4198"/>
      <c r="X4198"/>
      <c r="Y4198"/>
      <c r="Z4198"/>
      <c r="AA4198"/>
      <c r="AB4198"/>
      <c r="AL4198"/>
      <c r="AM4198"/>
      <c r="AN4198"/>
      <c r="AO4198"/>
    </row>
    <row r="4199" spans="1:41" s="2" customFormat="1" x14ac:dyDescent="0.2">
      <c r="A4199"/>
      <c r="B4199"/>
      <c r="C4199"/>
      <c r="D4199"/>
      <c r="E4199"/>
      <c r="F4199"/>
      <c r="G4199"/>
      <c r="U4199"/>
      <c r="V4199"/>
      <c r="W4199"/>
      <c r="X4199"/>
      <c r="Y4199"/>
      <c r="Z4199"/>
      <c r="AA4199"/>
      <c r="AB4199"/>
      <c r="AL4199"/>
      <c r="AM4199"/>
      <c r="AN4199"/>
      <c r="AO4199"/>
    </row>
    <row r="4200" spans="1:41" s="2" customFormat="1" x14ac:dyDescent="0.2">
      <c r="A4200"/>
      <c r="B4200"/>
      <c r="C4200"/>
      <c r="D4200"/>
      <c r="E4200"/>
      <c r="F4200"/>
      <c r="G4200"/>
      <c r="U4200"/>
      <c r="V4200"/>
      <c r="W4200"/>
      <c r="X4200"/>
      <c r="Y4200"/>
      <c r="Z4200"/>
      <c r="AA4200"/>
      <c r="AB4200"/>
      <c r="AL4200"/>
      <c r="AM4200"/>
      <c r="AN4200"/>
      <c r="AO4200"/>
    </row>
    <row r="4201" spans="1:41" s="2" customFormat="1" x14ac:dyDescent="0.2">
      <c r="A4201"/>
      <c r="B4201"/>
      <c r="C4201"/>
      <c r="D4201"/>
      <c r="E4201"/>
      <c r="F4201"/>
      <c r="G4201"/>
      <c r="U4201"/>
      <c r="V4201"/>
      <c r="W4201"/>
      <c r="X4201"/>
      <c r="Y4201"/>
      <c r="Z4201"/>
      <c r="AA4201"/>
      <c r="AB4201"/>
      <c r="AL4201"/>
      <c r="AM4201"/>
      <c r="AN4201"/>
      <c r="AO4201"/>
    </row>
    <row r="4202" spans="1:41" s="2" customFormat="1" x14ac:dyDescent="0.2">
      <c r="A4202"/>
      <c r="B4202"/>
      <c r="C4202"/>
      <c r="D4202"/>
      <c r="E4202"/>
      <c r="F4202"/>
      <c r="G4202"/>
      <c r="U4202"/>
      <c r="V4202"/>
      <c r="W4202"/>
      <c r="X4202"/>
      <c r="Y4202"/>
      <c r="Z4202"/>
      <c r="AA4202"/>
      <c r="AB4202"/>
      <c r="AL4202"/>
      <c r="AM4202"/>
      <c r="AN4202"/>
      <c r="AO4202"/>
    </row>
    <row r="4203" spans="1:41" s="2" customFormat="1" x14ac:dyDescent="0.2">
      <c r="A4203"/>
      <c r="B4203"/>
      <c r="C4203"/>
      <c r="D4203"/>
      <c r="E4203"/>
      <c r="F4203"/>
      <c r="G4203"/>
      <c r="U4203"/>
      <c r="V4203"/>
      <c r="W4203"/>
      <c r="X4203"/>
      <c r="Y4203"/>
      <c r="Z4203"/>
      <c r="AA4203"/>
      <c r="AB4203"/>
      <c r="AL4203"/>
      <c r="AM4203"/>
      <c r="AN4203"/>
      <c r="AO4203"/>
    </row>
    <row r="4204" spans="1:41" s="2" customFormat="1" x14ac:dyDescent="0.2">
      <c r="A4204"/>
      <c r="B4204"/>
      <c r="C4204"/>
      <c r="D4204"/>
      <c r="E4204"/>
      <c r="F4204"/>
      <c r="G4204"/>
      <c r="U4204"/>
      <c r="V4204"/>
      <c r="W4204"/>
      <c r="X4204"/>
      <c r="Y4204"/>
      <c r="Z4204"/>
      <c r="AA4204"/>
      <c r="AB4204"/>
      <c r="AL4204"/>
      <c r="AM4204"/>
      <c r="AN4204"/>
      <c r="AO4204"/>
    </row>
    <row r="4205" spans="1:41" s="2" customFormat="1" x14ac:dyDescent="0.2">
      <c r="A4205"/>
      <c r="B4205"/>
      <c r="C4205"/>
      <c r="D4205"/>
      <c r="E4205"/>
      <c r="F4205"/>
      <c r="G4205"/>
      <c r="U4205"/>
      <c r="V4205"/>
      <c r="W4205"/>
      <c r="X4205"/>
      <c r="Y4205"/>
      <c r="Z4205"/>
      <c r="AA4205"/>
      <c r="AB4205"/>
      <c r="AL4205"/>
      <c r="AM4205"/>
      <c r="AN4205"/>
      <c r="AO4205"/>
    </row>
    <row r="4206" spans="1:41" s="2" customFormat="1" x14ac:dyDescent="0.2">
      <c r="A4206"/>
      <c r="B4206"/>
      <c r="C4206"/>
      <c r="D4206"/>
      <c r="E4206"/>
      <c r="F4206"/>
      <c r="G4206"/>
      <c r="U4206"/>
      <c r="V4206"/>
      <c r="W4206"/>
      <c r="X4206"/>
      <c r="Y4206"/>
      <c r="Z4206"/>
      <c r="AA4206"/>
      <c r="AB4206"/>
      <c r="AL4206"/>
      <c r="AM4206"/>
      <c r="AN4206"/>
      <c r="AO4206"/>
    </row>
    <row r="4207" spans="1:41" s="2" customFormat="1" x14ac:dyDescent="0.2">
      <c r="A4207"/>
      <c r="B4207"/>
      <c r="C4207"/>
      <c r="D4207"/>
      <c r="E4207"/>
      <c r="F4207"/>
      <c r="G4207"/>
      <c r="U4207"/>
      <c r="V4207"/>
      <c r="W4207"/>
      <c r="X4207"/>
      <c r="Y4207"/>
      <c r="Z4207"/>
      <c r="AA4207"/>
      <c r="AB4207"/>
      <c r="AL4207"/>
      <c r="AM4207"/>
      <c r="AN4207"/>
      <c r="AO4207"/>
    </row>
    <row r="4208" spans="1:41" s="2" customFormat="1" x14ac:dyDescent="0.2">
      <c r="A4208"/>
      <c r="B4208"/>
      <c r="C4208"/>
      <c r="D4208"/>
      <c r="E4208"/>
      <c r="F4208"/>
      <c r="G4208"/>
      <c r="U4208"/>
      <c r="V4208"/>
      <c r="W4208"/>
      <c r="X4208"/>
      <c r="Y4208"/>
      <c r="Z4208"/>
      <c r="AA4208"/>
      <c r="AB4208"/>
      <c r="AL4208"/>
      <c r="AM4208"/>
      <c r="AN4208"/>
      <c r="AO4208"/>
    </row>
    <row r="4209" spans="1:41" s="2" customFormat="1" x14ac:dyDescent="0.2">
      <c r="A4209"/>
      <c r="B4209"/>
      <c r="C4209"/>
      <c r="D4209"/>
      <c r="E4209"/>
      <c r="F4209"/>
      <c r="G4209"/>
      <c r="U4209"/>
      <c r="V4209"/>
      <c r="W4209"/>
      <c r="X4209"/>
      <c r="Y4209"/>
      <c r="Z4209"/>
      <c r="AA4209"/>
      <c r="AB4209"/>
      <c r="AL4209"/>
      <c r="AM4209"/>
      <c r="AN4209"/>
      <c r="AO4209"/>
    </row>
    <row r="4210" spans="1:41" s="2" customFormat="1" x14ac:dyDescent="0.2">
      <c r="A4210"/>
      <c r="B4210"/>
      <c r="C4210"/>
      <c r="D4210"/>
      <c r="E4210"/>
      <c r="F4210"/>
      <c r="G4210"/>
      <c r="U4210"/>
      <c r="V4210"/>
      <c r="W4210"/>
      <c r="X4210"/>
      <c r="Y4210"/>
      <c r="Z4210"/>
      <c r="AA4210"/>
      <c r="AB4210"/>
      <c r="AL4210"/>
      <c r="AM4210"/>
      <c r="AN4210"/>
      <c r="AO4210"/>
    </row>
    <row r="4211" spans="1:41" s="2" customFormat="1" x14ac:dyDescent="0.2">
      <c r="A4211"/>
      <c r="B4211"/>
      <c r="C4211"/>
      <c r="D4211"/>
      <c r="E4211"/>
      <c r="F4211"/>
      <c r="G4211"/>
      <c r="U4211"/>
      <c r="V4211"/>
      <c r="W4211"/>
      <c r="X4211"/>
      <c r="Y4211"/>
      <c r="Z4211"/>
      <c r="AA4211"/>
      <c r="AB4211"/>
      <c r="AL4211"/>
      <c r="AM4211"/>
      <c r="AN4211"/>
      <c r="AO4211"/>
    </row>
    <row r="4212" spans="1:41" s="2" customFormat="1" x14ac:dyDescent="0.2">
      <c r="A4212"/>
      <c r="B4212"/>
      <c r="C4212"/>
      <c r="D4212"/>
      <c r="E4212"/>
      <c r="F4212"/>
      <c r="G4212"/>
      <c r="U4212"/>
      <c r="V4212"/>
      <c r="W4212"/>
      <c r="X4212"/>
      <c r="Y4212"/>
      <c r="Z4212"/>
      <c r="AA4212"/>
      <c r="AB4212"/>
      <c r="AL4212"/>
      <c r="AM4212"/>
      <c r="AN4212"/>
      <c r="AO4212"/>
    </row>
    <row r="4213" spans="1:41" s="2" customFormat="1" x14ac:dyDescent="0.2">
      <c r="A4213"/>
      <c r="B4213"/>
      <c r="C4213"/>
      <c r="D4213"/>
      <c r="E4213"/>
      <c r="F4213"/>
      <c r="G4213"/>
      <c r="U4213"/>
      <c r="V4213"/>
      <c r="W4213"/>
      <c r="X4213"/>
      <c r="Y4213"/>
      <c r="Z4213"/>
      <c r="AA4213"/>
      <c r="AB4213"/>
      <c r="AL4213"/>
      <c r="AM4213"/>
      <c r="AN4213"/>
      <c r="AO4213"/>
    </row>
    <row r="4214" spans="1:41" s="2" customFormat="1" x14ac:dyDescent="0.2">
      <c r="A4214"/>
      <c r="B4214"/>
      <c r="C4214"/>
      <c r="D4214"/>
      <c r="E4214"/>
      <c r="F4214"/>
      <c r="G4214"/>
      <c r="U4214"/>
      <c r="V4214"/>
      <c r="W4214"/>
      <c r="X4214"/>
      <c r="Y4214"/>
      <c r="Z4214"/>
      <c r="AA4214"/>
      <c r="AB4214"/>
      <c r="AL4214"/>
      <c r="AM4214"/>
      <c r="AN4214"/>
      <c r="AO4214"/>
    </row>
    <row r="4215" spans="1:41" s="2" customFormat="1" x14ac:dyDescent="0.2">
      <c r="A4215"/>
      <c r="B4215"/>
      <c r="C4215"/>
      <c r="D4215"/>
      <c r="E4215"/>
      <c r="F4215"/>
      <c r="G4215"/>
      <c r="U4215"/>
      <c r="V4215"/>
      <c r="W4215"/>
      <c r="X4215"/>
      <c r="Y4215"/>
      <c r="Z4215"/>
      <c r="AA4215"/>
      <c r="AB4215"/>
      <c r="AL4215"/>
      <c r="AM4215"/>
      <c r="AN4215"/>
      <c r="AO4215"/>
    </row>
    <row r="4216" spans="1:41" s="2" customFormat="1" x14ac:dyDescent="0.2">
      <c r="A4216"/>
      <c r="B4216"/>
      <c r="C4216"/>
      <c r="D4216"/>
      <c r="E4216"/>
      <c r="F4216"/>
      <c r="G4216"/>
      <c r="U4216"/>
      <c r="V4216"/>
      <c r="W4216"/>
      <c r="X4216"/>
      <c r="Y4216"/>
      <c r="Z4216"/>
      <c r="AA4216"/>
      <c r="AB4216"/>
      <c r="AL4216"/>
      <c r="AM4216"/>
      <c r="AN4216"/>
      <c r="AO4216"/>
    </row>
    <row r="4217" spans="1:41" s="2" customFormat="1" x14ac:dyDescent="0.2">
      <c r="A4217"/>
      <c r="B4217"/>
      <c r="C4217"/>
      <c r="D4217"/>
      <c r="E4217"/>
      <c r="F4217"/>
      <c r="G4217"/>
      <c r="U4217"/>
      <c r="V4217"/>
      <c r="W4217"/>
      <c r="X4217"/>
      <c r="Y4217"/>
      <c r="Z4217"/>
      <c r="AA4217"/>
      <c r="AB4217"/>
      <c r="AL4217"/>
      <c r="AM4217"/>
      <c r="AN4217"/>
      <c r="AO4217"/>
    </row>
    <row r="4218" spans="1:41" s="2" customFormat="1" x14ac:dyDescent="0.2">
      <c r="A4218"/>
      <c r="B4218"/>
      <c r="C4218"/>
      <c r="D4218"/>
      <c r="E4218"/>
      <c r="F4218"/>
      <c r="G4218"/>
      <c r="U4218"/>
      <c r="V4218"/>
      <c r="W4218"/>
      <c r="X4218"/>
      <c r="Y4218"/>
      <c r="Z4218"/>
      <c r="AA4218"/>
      <c r="AB4218"/>
      <c r="AL4218"/>
      <c r="AM4218"/>
      <c r="AN4218"/>
      <c r="AO4218"/>
    </row>
    <row r="4219" spans="1:41" s="2" customFormat="1" x14ac:dyDescent="0.2">
      <c r="A4219"/>
      <c r="B4219"/>
      <c r="C4219"/>
      <c r="D4219"/>
      <c r="E4219"/>
      <c r="F4219"/>
      <c r="G4219"/>
      <c r="U4219"/>
      <c r="V4219"/>
      <c r="W4219"/>
      <c r="X4219"/>
      <c r="Y4219"/>
      <c r="Z4219"/>
      <c r="AA4219"/>
      <c r="AB4219"/>
      <c r="AL4219"/>
      <c r="AM4219"/>
      <c r="AN4219"/>
      <c r="AO4219"/>
    </row>
    <row r="4220" spans="1:41" s="2" customFormat="1" x14ac:dyDescent="0.2">
      <c r="A4220"/>
      <c r="B4220"/>
      <c r="C4220"/>
      <c r="D4220"/>
      <c r="E4220"/>
      <c r="F4220"/>
      <c r="G4220"/>
      <c r="U4220"/>
      <c r="V4220"/>
      <c r="W4220"/>
      <c r="X4220"/>
      <c r="Y4220"/>
      <c r="Z4220"/>
      <c r="AA4220"/>
      <c r="AB4220"/>
      <c r="AL4220"/>
      <c r="AM4220"/>
      <c r="AN4220"/>
      <c r="AO4220"/>
    </row>
    <row r="4221" spans="1:41" s="2" customFormat="1" x14ac:dyDescent="0.2">
      <c r="A4221"/>
      <c r="B4221"/>
      <c r="C4221"/>
      <c r="D4221"/>
      <c r="E4221"/>
      <c r="F4221"/>
      <c r="G4221"/>
      <c r="U4221"/>
      <c r="V4221"/>
      <c r="W4221"/>
      <c r="X4221"/>
      <c r="Y4221"/>
      <c r="Z4221"/>
      <c r="AA4221"/>
      <c r="AB4221"/>
      <c r="AL4221"/>
      <c r="AM4221"/>
      <c r="AN4221"/>
      <c r="AO4221"/>
    </row>
    <row r="4222" spans="1:41" s="2" customFormat="1" x14ac:dyDescent="0.2">
      <c r="A4222"/>
      <c r="B4222"/>
      <c r="C4222"/>
      <c r="D4222"/>
      <c r="E4222"/>
      <c r="F4222"/>
      <c r="G4222"/>
      <c r="U4222"/>
      <c r="V4222"/>
      <c r="W4222"/>
      <c r="X4222"/>
      <c r="Y4222"/>
      <c r="Z4222"/>
      <c r="AA4222"/>
      <c r="AB4222"/>
      <c r="AL4222"/>
      <c r="AM4222"/>
      <c r="AN4222"/>
      <c r="AO4222"/>
    </row>
    <row r="4223" spans="1:41" s="2" customFormat="1" x14ac:dyDescent="0.2">
      <c r="A4223"/>
      <c r="B4223"/>
      <c r="C4223"/>
      <c r="D4223"/>
      <c r="E4223"/>
      <c r="F4223"/>
      <c r="G4223"/>
      <c r="U4223"/>
      <c r="V4223"/>
      <c r="W4223"/>
      <c r="X4223"/>
      <c r="Y4223"/>
      <c r="Z4223"/>
      <c r="AA4223"/>
      <c r="AB4223"/>
      <c r="AL4223"/>
      <c r="AM4223"/>
      <c r="AN4223"/>
      <c r="AO4223"/>
    </row>
    <row r="4224" spans="1:41" s="2" customFormat="1" x14ac:dyDescent="0.2">
      <c r="A4224"/>
      <c r="B4224"/>
      <c r="C4224"/>
      <c r="D4224"/>
      <c r="E4224"/>
      <c r="F4224"/>
      <c r="G4224"/>
      <c r="U4224"/>
      <c r="V4224"/>
      <c r="W4224"/>
      <c r="X4224"/>
      <c r="Y4224"/>
      <c r="Z4224"/>
      <c r="AA4224"/>
      <c r="AB4224"/>
      <c r="AL4224"/>
      <c r="AM4224"/>
      <c r="AN4224"/>
      <c r="AO4224"/>
    </row>
    <row r="4225" spans="1:41" s="2" customFormat="1" x14ac:dyDescent="0.2">
      <c r="A4225"/>
      <c r="B4225"/>
      <c r="C4225"/>
      <c r="D4225"/>
      <c r="E4225"/>
      <c r="F4225"/>
      <c r="G4225"/>
      <c r="U4225"/>
      <c r="V4225"/>
      <c r="W4225"/>
      <c r="X4225"/>
      <c r="Y4225"/>
      <c r="Z4225"/>
      <c r="AA4225"/>
      <c r="AB4225"/>
      <c r="AL4225"/>
      <c r="AM4225"/>
      <c r="AN4225"/>
      <c r="AO4225"/>
    </row>
    <row r="4226" spans="1:41" s="2" customFormat="1" x14ac:dyDescent="0.2">
      <c r="A4226"/>
      <c r="B4226"/>
      <c r="C4226"/>
      <c r="D4226"/>
      <c r="E4226"/>
      <c r="F4226"/>
      <c r="G4226"/>
      <c r="U4226"/>
      <c r="V4226"/>
      <c r="W4226"/>
      <c r="X4226"/>
      <c r="Y4226"/>
      <c r="Z4226"/>
      <c r="AA4226"/>
      <c r="AB4226"/>
      <c r="AL4226"/>
      <c r="AM4226"/>
      <c r="AN4226"/>
      <c r="AO4226"/>
    </row>
    <row r="4227" spans="1:41" s="2" customFormat="1" x14ac:dyDescent="0.2">
      <c r="A4227"/>
      <c r="B4227"/>
      <c r="C4227"/>
      <c r="D4227"/>
      <c r="E4227"/>
      <c r="F4227"/>
      <c r="G4227"/>
      <c r="U4227"/>
      <c r="V4227"/>
      <c r="W4227"/>
      <c r="X4227"/>
      <c r="Y4227"/>
      <c r="Z4227"/>
      <c r="AA4227"/>
      <c r="AB4227"/>
      <c r="AL4227"/>
      <c r="AM4227"/>
      <c r="AN4227"/>
      <c r="AO4227"/>
    </row>
    <row r="4228" spans="1:41" s="2" customFormat="1" x14ac:dyDescent="0.2">
      <c r="A4228"/>
      <c r="B4228"/>
      <c r="C4228"/>
      <c r="D4228"/>
      <c r="E4228"/>
      <c r="F4228"/>
      <c r="G4228"/>
      <c r="U4228"/>
      <c r="V4228"/>
      <c r="W4228"/>
      <c r="X4228"/>
      <c r="Y4228"/>
      <c r="Z4228"/>
      <c r="AA4228"/>
      <c r="AB4228"/>
      <c r="AL4228"/>
      <c r="AM4228"/>
      <c r="AN4228"/>
      <c r="AO4228"/>
    </row>
    <row r="4229" spans="1:41" s="2" customFormat="1" x14ac:dyDescent="0.2">
      <c r="A4229"/>
      <c r="B4229"/>
      <c r="C4229"/>
      <c r="D4229"/>
      <c r="E4229"/>
      <c r="F4229"/>
      <c r="G4229"/>
      <c r="U4229"/>
      <c r="V4229"/>
      <c r="W4229"/>
      <c r="X4229"/>
      <c r="Y4229"/>
      <c r="Z4229"/>
      <c r="AA4229"/>
      <c r="AB4229"/>
      <c r="AL4229"/>
      <c r="AM4229"/>
      <c r="AN4229"/>
      <c r="AO4229"/>
    </row>
    <row r="4230" spans="1:41" s="2" customFormat="1" x14ac:dyDescent="0.2">
      <c r="A4230"/>
      <c r="B4230"/>
      <c r="C4230"/>
      <c r="D4230"/>
      <c r="E4230"/>
      <c r="F4230"/>
      <c r="G4230"/>
      <c r="U4230"/>
      <c r="V4230"/>
      <c r="W4230"/>
      <c r="X4230"/>
      <c r="Y4230"/>
      <c r="Z4230"/>
      <c r="AA4230"/>
      <c r="AB4230"/>
      <c r="AL4230"/>
      <c r="AM4230"/>
      <c r="AN4230"/>
      <c r="AO4230"/>
    </row>
    <row r="4231" spans="1:41" s="2" customFormat="1" x14ac:dyDescent="0.2">
      <c r="A4231"/>
      <c r="B4231"/>
      <c r="C4231"/>
      <c r="D4231"/>
      <c r="E4231"/>
      <c r="F4231"/>
      <c r="G4231"/>
      <c r="U4231"/>
      <c r="V4231"/>
      <c r="W4231"/>
      <c r="X4231"/>
      <c r="Y4231"/>
      <c r="Z4231"/>
      <c r="AA4231"/>
      <c r="AB4231"/>
      <c r="AL4231"/>
      <c r="AM4231"/>
      <c r="AN4231"/>
      <c r="AO4231"/>
    </row>
    <row r="4232" spans="1:41" s="2" customFormat="1" x14ac:dyDescent="0.2">
      <c r="A4232"/>
      <c r="B4232"/>
      <c r="C4232"/>
      <c r="D4232"/>
      <c r="E4232"/>
      <c r="F4232"/>
      <c r="G4232"/>
      <c r="U4232"/>
      <c r="V4232"/>
      <c r="W4232"/>
      <c r="X4232"/>
      <c r="Y4232"/>
      <c r="Z4232"/>
      <c r="AA4232"/>
      <c r="AB4232"/>
      <c r="AL4232"/>
      <c r="AM4232"/>
      <c r="AN4232"/>
      <c r="AO4232"/>
    </row>
    <row r="4233" spans="1:41" s="2" customFormat="1" x14ac:dyDescent="0.2">
      <c r="A4233"/>
      <c r="B4233"/>
      <c r="C4233"/>
      <c r="D4233"/>
      <c r="E4233"/>
      <c r="F4233"/>
      <c r="G4233"/>
      <c r="U4233"/>
      <c r="V4233"/>
      <c r="W4233"/>
      <c r="X4233"/>
      <c r="Y4233"/>
      <c r="Z4233"/>
      <c r="AA4233"/>
      <c r="AB4233"/>
      <c r="AL4233"/>
      <c r="AM4233"/>
      <c r="AN4233"/>
      <c r="AO4233"/>
    </row>
    <row r="4234" spans="1:41" s="2" customFormat="1" x14ac:dyDescent="0.2">
      <c r="A4234"/>
      <c r="B4234"/>
      <c r="C4234"/>
      <c r="D4234"/>
      <c r="E4234"/>
      <c r="F4234"/>
      <c r="G4234"/>
      <c r="U4234"/>
      <c r="V4234"/>
      <c r="W4234"/>
      <c r="X4234"/>
      <c r="Y4234"/>
      <c r="Z4234"/>
      <c r="AA4234"/>
      <c r="AB4234"/>
      <c r="AL4234"/>
      <c r="AM4234"/>
      <c r="AN4234"/>
      <c r="AO4234"/>
    </row>
    <row r="4235" spans="1:41" s="2" customFormat="1" x14ac:dyDescent="0.2">
      <c r="A4235"/>
      <c r="B4235"/>
      <c r="C4235"/>
      <c r="D4235"/>
      <c r="E4235"/>
      <c r="F4235"/>
      <c r="G4235"/>
      <c r="U4235"/>
      <c r="V4235"/>
      <c r="W4235"/>
      <c r="X4235"/>
      <c r="Y4235"/>
      <c r="Z4235"/>
      <c r="AA4235"/>
      <c r="AB4235"/>
      <c r="AL4235"/>
      <c r="AM4235"/>
      <c r="AN4235"/>
      <c r="AO4235"/>
    </row>
    <row r="4236" spans="1:41" s="2" customFormat="1" x14ac:dyDescent="0.2">
      <c r="A4236"/>
      <c r="B4236"/>
      <c r="C4236"/>
      <c r="D4236"/>
      <c r="E4236"/>
      <c r="F4236"/>
      <c r="G4236"/>
      <c r="U4236"/>
      <c r="V4236"/>
      <c r="W4236"/>
      <c r="X4236"/>
      <c r="Y4236"/>
      <c r="Z4236"/>
      <c r="AA4236"/>
      <c r="AB4236"/>
      <c r="AL4236"/>
      <c r="AM4236"/>
      <c r="AN4236"/>
      <c r="AO4236"/>
    </row>
    <row r="4237" spans="1:41" s="2" customFormat="1" x14ac:dyDescent="0.2">
      <c r="A4237"/>
      <c r="B4237"/>
      <c r="C4237"/>
      <c r="D4237"/>
      <c r="E4237"/>
      <c r="F4237"/>
      <c r="G4237"/>
      <c r="U4237"/>
      <c r="V4237"/>
      <c r="W4237"/>
      <c r="X4237"/>
      <c r="Y4237"/>
      <c r="Z4237"/>
      <c r="AA4237"/>
      <c r="AB4237"/>
      <c r="AL4237"/>
      <c r="AM4237"/>
      <c r="AN4237"/>
      <c r="AO4237"/>
    </row>
    <row r="4238" spans="1:41" s="2" customFormat="1" x14ac:dyDescent="0.2">
      <c r="A4238"/>
      <c r="B4238"/>
      <c r="C4238"/>
      <c r="D4238"/>
      <c r="E4238"/>
      <c r="F4238"/>
      <c r="G4238"/>
      <c r="U4238"/>
      <c r="V4238"/>
      <c r="W4238"/>
      <c r="X4238"/>
      <c r="Y4238"/>
      <c r="Z4238"/>
      <c r="AA4238"/>
      <c r="AB4238"/>
      <c r="AL4238"/>
      <c r="AM4238"/>
      <c r="AN4238"/>
      <c r="AO4238"/>
    </row>
    <row r="4239" spans="1:41" s="2" customFormat="1" x14ac:dyDescent="0.2">
      <c r="A4239"/>
      <c r="B4239"/>
      <c r="C4239"/>
      <c r="D4239"/>
      <c r="E4239"/>
      <c r="F4239"/>
      <c r="G4239"/>
      <c r="U4239"/>
      <c r="V4239"/>
      <c r="W4239"/>
      <c r="X4239"/>
      <c r="Y4239"/>
      <c r="Z4239"/>
      <c r="AA4239"/>
      <c r="AB4239"/>
      <c r="AL4239"/>
      <c r="AM4239"/>
      <c r="AN4239"/>
      <c r="AO4239"/>
    </row>
    <row r="4240" spans="1:41" s="2" customFormat="1" x14ac:dyDescent="0.2">
      <c r="A4240"/>
      <c r="B4240"/>
      <c r="C4240"/>
      <c r="D4240"/>
      <c r="E4240"/>
      <c r="F4240"/>
      <c r="G4240"/>
      <c r="U4240"/>
      <c r="V4240"/>
      <c r="W4240"/>
      <c r="X4240"/>
      <c r="Y4240"/>
      <c r="Z4240"/>
      <c r="AA4240"/>
      <c r="AB4240"/>
      <c r="AL4240"/>
      <c r="AM4240"/>
      <c r="AN4240"/>
      <c r="AO4240"/>
    </row>
    <row r="4241" spans="1:41" s="2" customFormat="1" x14ac:dyDescent="0.2">
      <c r="A4241"/>
      <c r="B4241"/>
      <c r="C4241"/>
      <c r="D4241"/>
      <c r="E4241"/>
      <c r="F4241"/>
      <c r="G4241"/>
      <c r="U4241"/>
      <c r="V4241"/>
      <c r="W4241"/>
      <c r="X4241"/>
      <c r="Y4241"/>
      <c r="Z4241"/>
      <c r="AA4241"/>
      <c r="AB4241"/>
      <c r="AL4241"/>
      <c r="AM4241"/>
      <c r="AN4241"/>
      <c r="AO4241"/>
    </row>
    <row r="4242" spans="1:41" s="2" customFormat="1" x14ac:dyDescent="0.2">
      <c r="A4242"/>
      <c r="B4242"/>
      <c r="C4242"/>
      <c r="D4242"/>
      <c r="E4242"/>
      <c r="F4242"/>
      <c r="G4242"/>
      <c r="U4242"/>
      <c r="V4242"/>
      <c r="W4242"/>
      <c r="X4242"/>
      <c r="Y4242"/>
      <c r="Z4242"/>
      <c r="AA4242"/>
      <c r="AB4242"/>
      <c r="AL4242"/>
      <c r="AM4242"/>
      <c r="AN4242"/>
      <c r="AO4242"/>
    </row>
    <row r="4243" spans="1:41" s="2" customFormat="1" x14ac:dyDescent="0.2">
      <c r="A4243"/>
      <c r="B4243"/>
      <c r="C4243"/>
      <c r="D4243"/>
      <c r="E4243"/>
      <c r="F4243"/>
      <c r="G4243"/>
      <c r="U4243"/>
      <c r="V4243"/>
      <c r="W4243"/>
      <c r="X4243"/>
      <c r="Y4243"/>
      <c r="Z4243"/>
      <c r="AA4243"/>
      <c r="AB4243"/>
      <c r="AL4243"/>
      <c r="AM4243"/>
      <c r="AN4243"/>
      <c r="AO4243"/>
    </row>
    <row r="4244" spans="1:41" s="2" customFormat="1" x14ac:dyDescent="0.2">
      <c r="A4244"/>
      <c r="B4244"/>
      <c r="C4244"/>
      <c r="D4244"/>
      <c r="E4244"/>
      <c r="F4244"/>
      <c r="G4244"/>
      <c r="U4244"/>
      <c r="V4244"/>
      <c r="W4244"/>
      <c r="X4244"/>
      <c r="Y4244"/>
      <c r="Z4244"/>
      <c r="AA4244"/>
      <c r="AB4244"/>
      <c r="AL4244"/>
      <c r="AM4244"/>
      <c r="AN4244"/>
      <c r="AO4244"/>
    </row>
    <row r="4245" spans="1:41" s="2" customFormat="1" x14ac:dyDescent="0.2">
      <c r="A4245"/>
      <c r="B4245"/>
      <c r="C4245"/>
      <c r="D4245"/>
      <c r="E4245"/>
      <c r="F4245"/>
      <c r="G4245"/>
      <c r="U4245"/>
      <c r="V4245"/>
      <c r="W4245"/>
      <c r="X4245"/>
      <c r="Y4245"/>
      <c r="Z4245"/>
      <c r="AA4245"/>
      <c r="AB4245"/>
      <c r="AL4245"/>
      <c r="AM4245"/>
      <c r="AN4245"/>
      <c r="AO4245"/>
    </row>
    <row r="4246" spans="1:41" s="2" customFormat="1" x14ac:dyDescent="0.2">
      <c r="A4246"/>
      <c r="B4246"/>
      <c r="C4246"/>
      <c r="D4246"/>
      <c r="E4246"/>
      <c r="F4246"/>
      <c r="G4246"/>
      <c r="U4246"/>
      <c r="V4246"/>
      <c r="W4246"/>
      <c r="X4246"/>
      <c r="Y4246"/>
      <c r="Z4246"/>
      <c r="AA4246"/>
      <c r="AB4246"/>
      <c r="AL4246"/>
      <c r="AM4246"/>
      <c r="AN4246"/>
      <c r="AO4246"/>
    </row>
    <row r="4247" spans="1:41" s="2" customFormat="1" x14ac:dyDescent="0.2">
      <c r="A4247"/>
      <c r="B4247"/>
      <c r="C4247"/>
      <c r="D4247"/>
      <c r="E4247"/>
      <c r="F4247"/>
      <c r="G4247"/>
      <c r="U4247"/>
      <c r="V4247"/>
      <c r="W4247"/>
      <c r="X4247"/>
      <c r="Y4247"/>
      <c r="Z4247"/>
      <c r="AA4247"/>
      <c r="AB4247"/>
      <c r="AL4247"/>
      <c r="AM4247"/>
      <c r="AN4247"/>
      <c r="AO4247"/>
    </row>
    <row r="4248" spans="1:41" s="2" customFormat="1" x14ac:dyDescent="0.2">
      <c r="A4248"/>
      <c r="B4248"/>
      <c r="C4248"/>
      <c r="D4248"/>
      <c r="E4248"/>
      <c r="F4248"/>
      <c r="G4248"/>
      <c r="U4248"/>
      <c r="V4248"/>
      <c r="W4248"/>
      <c r="X4248"/>
      <c r="Y4248"/>
      <c r="Z4248"/>
      <c r="AA4248"/>
      <c r="AB4248"/>
      <c r="AL4248"/>
      <c r="AM4248"/>
      <c r="AN4248"/>
      <c r="AO4248"/>
    </row>
    <row r="4249" spans="1:41" s="2" customFormat="1" x14ac:dyDescent="0.2">
      <c r="A4249"/>
      <c r="B4249"/>
      <c r="C4249"/>
      <c r="D4249"/>
      <c r="E4249"/>
      <c r="F4249"/>
      <c r="G4249"/>
      <c r="U4249"/>
      <c r="V4249"/>
      <c r="W4249"/>
      <c r="X4249"/>
      <c r="Y4249"/>
      <c r="Z4249"/>
      <c r="AA4249"/>
      <c r="AB4249"/>
      <c r="AL4249"/>
      <c r="AM4249"/>
      <c r="AN4249"/>
      <c r="AO4249"/>
    </row>
    <row r="4250" spans="1:41" s="2" customFormat="1" x14ac:dyDescent="0.2">
      <c r="A4250"/>
      <c r="B4250"/>
      <c r="C4250"/>
      <c r="D4250"/>
      <c r="E4250"/>
      <c r="F4250"/>
      <c r="G4250"/>
      <c r="U4250"/>
      <c r="V4250"/>
      <c r="W4250"/>
      <c r="X4250"/>
      <c r="Y4250"/>
      <c r="Z4250"/>
      <c r="AA4250"/>
      <c r="AB4250"/>
      <c r="AL4250"/>
      <c r="AM4250"/>
      <c r="AN4250"/>
      <c r="AO4250"/>
    </row>
    <row r="4251" spans="1:41" s="2" customFormat="1" x14ac:dyDescent="0.2">
      <c r="A4251"/>
      <c r="B4251"/>
      <c r="C4251"/>
      <c r="D4251"/>
      <c r="E4251"/>
      <c r="F4251"/>
      <c r="G4251"/>
      <c r="U4251"/>
      <c r="V4251"/>
      <c r="W4251"/>
      <c r="X4251"/>
      <c r="Y4251"/>
      <c r="Z4251"/>
      <c r="AA4251"/>
      <c r="AB4251"/>
      <c r="AL4251"/>
      <c r="AM4251"/>
      <c r="AN4251"/>
      <c r="AO4251"/>
    </row>
    <row r="4252" spans="1:41" s="2" customFormat="1" x14ac:dyDescent="0.2">
      <c r="A4252"/>
      <c r="B4252"/>
      <c r="C4252"/>
      <c r="D4252"/>
      <c r="E4252"/>
      <c r="F4252"/>
      <c r="G4252"/>
      <c r="U4252"/>
      <c r="V4252"/>
      <c r="W4252"/>
      <c r="X4252"/>
      <c r="Y4252"/>
      <c r="Z4252"/>
      <c r="AA4252"/>
      <c r="AB4252"/>
      <c r="AL4252"/>
      <c r="AM4252"/>
      <c r="AN4252"/>
      <c r="AO4252"/>
    </row>
    <row r="4253" spans="1:41" s="2" customFormat="1" x14ac:dyDescent="0.2">
      <c r="A4253"/>
      <c r="B4253"/>
      <c r="C4253"/>
      <c r="D4253"/>
      <c r="E4253"/>
      <c r="F4253"/>
      <c r="G4253"/>
      <c r="U4253"/>
      <c r="V4253"/>
      <c r="W4253"/>
      <c r="X4253"/>
      <c r="Y4253"/>
      <c r="Z4253"/>
      <c r="AA4253"/>
      <c r="AB4253"/>
      <c r="AL4253"/>
      <c r="AM4253"/>
      <c r="AN4253"/>
      <c r="AO4253"/>
    </row>
    <row r="4254" spans="1:41" s="2" customFormat="1" x14ac:dyDescent="0.2">
      <c r="A4254"/>
      <c r="B4254"/>
      <c r="C4254"/>
      <c r="D4254"/>
      <c r="E4254"/>
      <c r="F4254"/>
      <c r="G4254"/>
      <c r="U4254"/>
      <c r="V4254"/>
      <c r="W4254"/>
      <c r="X4254"/>
      <c r="Y4254"/>
      <c r="Z4254"/>
      <c r="AA4254"/>
      <c r="AB4254"/>
      <c r="AL4254"/>
      <c r="AM4254"/>
      <c r="AN4254"/>
      <c r="AO4254"/>
    </row>
    <row r="4255" spans="1:41" s="2" customFormat="1" x14ac:dyDescent="0.2">
      <c r="A4255"/>
      <c r="B4255"/>
      <c r="C4255"/>
      <c r="D4255"/>
      <c r="E4255"/>
      <c r="F4255"/>
      <c r="G4255"/>
      <c r="U4255"/>
      <c r="V4255"/>
      <c r="W4255"/>
      <c r="X4255"/>
      <c r="Y4255"/>
      <c r="Z4255"/>
      <c r="AA4255"/>
      <c r="AB4255"/>
      <c r="AL4255"/>
      <c r="AM4255"/>
      <c r="AN4255"/>
      <c r="AO4255"/>
    </row>
    <row r="4256" spans="1:41" s="2" customFormat="1" x14ac:dyDescent="0.2">
      <c r="A4256"/>
      <c r="B4256"/>
      <c r="C4256"/>
      <c r="D4256"/>
      <c r="E4256"/>
      <c r="F4256"/>
      <c r="G4256"/>
      <c r="U4256"/>
      <c r="V4256"/>
      <c r="W4256"/>
      <c r="X4256"/>
      <c r="Y4256"/>
      <c r="Z4256"/>
      <c r="AA4256"/>
      <c r="AB4256"/>
      <c r="AL4256"/>
      <c r="AM4256"/>
      <c r="AN4256"/>
      <c r="AO4256"/>
    </row>
    <row r="4257" spans="1:41" s="2" customFormat="1" x14ac:dyDescent="0.2">
      <c r="A4257"/>
      <c r="B4257"/>
      <c r="C4257"/>
      <c r="D4257"/>
      <c r="E4257"/>
      <c r="F4257"/>
      <c r="G4257"/>
      <c r="U4257"/>
      <c r="V4257"/>
      <c r="W4257"/>
      <c r="X4257"/>
      <c r="Y4257"/>
      <c r="Z4257"/>
      <c r="AA4257"/>
      <c r="AB4257"/>
      <c r="AL4257"/>
      <c r="AM4257"/>
      <c r="AN4257"/>
      <c r="AO4257"/>
    </row>
    <row r="4258" spans="1:41" s="2" customFormat="1" x14ac:dyDescent="0.2">
      <c r="A4258"/>
      <c r="B4258"/>
      <c r="C4258"/>
      <c r="D4258"/>
      <c r="E4258"/>
      <c r="F4258"/>
      <c r="G4258"/>
      <c r="U4258"/>
      <c r="V4258"/>
      <c r="W4258"/>
      <c r="X4258"/>
      <c r="Y4258"/>
      <c r="Z4258"/>
      <c r="AA4258"/>
      <c r="AB4258"/>
      <c r="AL4258"/>
      <c r="AM4258"/>
      <c r="AN4258"/>
      <c r="AO4258"/>
    </row>
    <row r="4259" spans="1:41" s="2" customFormat="1" x14ac:dyDescent="0.2">
      <c r="A4259"/>
      <c r="B4259"/>
      <c r="C4259"/>
      <c r="D4259"/>
      <c r="E4259"/>
      <c r="F4259"/>
      <c r="G4259"/>
      <c r="U4259"/>
      <c r="V4259"/>
      <c r="W4259"/>
      <c r="X4259"/>
      <c r="Y4259"/>
      <c r="Z4259"/>
      <c r="AA4259"/>
      <c r="AB4259"/>
      <c r="AL4259"/>
      <c r="AM4259"/>
      <c r="AN4259"/>
      <c r="AO4259"/>
    </row>
    <row r="4260" spans="1:41" s="2" customFormat="1" x14ac:dyDescent="0.2">
      <c r="A4260"/>
      <c r="B4260"/>
      <c r="C4260"/>
      <c r="D4260"/>
      <c r="E4260"/>
      <c r="F4260"/>
      <c r="G4260"/>
      <c r="U4260"/>
      <c r="V4260"/>
      <c r="W4260"/>
      <c r="X4260"/>
      <c r="Y4260"/>
      <c r="Z4260"/>
      <c r="AA4260"/>
      <c r="AB4260"/>
      <c r="AL4260"/>
      <c r="AM4260"/>
      <c r="AN4260"/>
      <c r="AO4260"/>
    </row>
    <row r="4261" spans="1:41" s="2" customFormat="1" x14ac:dyDescent="0.2">
      <c r="A4261"/>
      <c r="B4261"/>
      <c r="C4261"/>
      <c r="D4261"/>
      <c r="E4261"/>
      <c r="F4261"/>
      <c r="G4261"/>
      <c r="U4261"/>
      <c r="V4261"/>
      <c r="W4261"/>
      <c r="X4261"/>
      <c r="Y4261"/>
      <c r="Z4261"/>
      <c r="AA4261"/>
      <c r="AB4261"/>
      <c r="AL4261"/>
      <c r="AM4261"/>
      <c r="AN4261"/>
      <c r="AO4261"/>
    </row>
    <row r="4262" spans="1:41" s="2" customFormat="1" x14ac:dyDescent="0.2">
      <c r="A4262"/>
      <c r="B4262"/>
      <c r="C4262"/>
      <c r="D4262"/>
      <c r="E4262"/>
      <c r="F4262"/>
      <c r="G4262"/>
      <c r="U4262"/>
      <c r="V4262"/>
      <c r="W4262"/>
      <c r="X4262"/>
      <c r="Y4262"/>
      <c r="Z4262"/>
      <c r="AA4262"/>
      <c r="AB4262"/>
      <c r="AL4262"/>
      <c r="AM4262"/>
      <c r="AN4262"/>
      <c r="AO4262"/>
    </row>
    <row r="4263" spans="1:41" s="2" customFormat="1" x14ac:dyDescent="0.2">
      <c r="A4263"/>
      <c r="B4263"/>
      <c r="C4263"/>
      <c r="D4263"/>
      <c r="E4263"/>
      <c r="F4263"/>
      <c r="G4263"/>
      <c r="U4263"/>
      <c r="V4263"/>
      <c r="W4263"/>
      <c r="X4263"/>
      <c r="Y4263"/>
      <c r="Z4263"/>
      <c r="AA4263"/>
      <c r="AB4263"/>
      <c r="AL4263"/>
      <c r="AM4263"/>
      <c r="AN4263"/>
      <c r="AO4263"/>
    </row>
    <row r="4264" spans="1:41" s="2" customFormat="1" x14ac:dyDescent="0.2">
      <c r="A4264"/>
      <c r="B4264"/>
      <c r="C4264"/>
      <c r="D4264"/>
      <c r="E4264"/>
      <c r="F4264"/>
      <c r="G4264"/>
      <c r="U4264"/>
      <c r="V4264"/>
      <c r="W4264"/>
      <c r="X4264"/>
      <c r="Y4264"/>
      <c r="Z4264"/>
      <c r="AA4264"/>
      <c r="AB4264"/>
      <c r="AL4264"/>
      <c r="AM4264"/>
      <c r="AN4264"/>
      <c r="AO4264"/>
    </row>
    <row r="4265" spans="1:41" s="2" customFormat="1" x14ac:dyDescent="0.2">
      <c r="A4265"/>
      <c r="B4265"/>
      <c r="C4265"/>
      <c r="D4265"/>
      <c r="E4265"/>
      <c r="F4265"/>
      <c r="G4265"/>
      <c r="U4265"/>
      <c r="V4265"/>
      <c r="W4265"/>
      <c r="X4265"/>
      <c r="Y4265"/>
      <c r="Z4265"/>
      <c r="AA4265"/>
      <c r="AB4265"/>
      <c r="AL4265"/>
      <c r="AM4265"/>
      <c r="AN4265"/>
      <c r="AO4265"/>
    </row>
    <row r="4266" spans="1:41" s="2" customFormat="1" x14ac:dyDescent="0.2">
      <c r="A4266"/>
      <c r="B4266"/>
      <c r="C4266"/>
      <c r="D4266"/>
      <c r="E4266"/>
      <c r="F4266"/>
      <c r="G4266"/>
      <c r="U4266"/>
      <c r="V4266"/>
      <c r="W4266"/>
      <c r="X4266"/>
      <c r="Y4266"/>
      <c r="Z4266"/>
      <c r="AA4266"/>
      <c r="AB4266"/>
      <c r="AL4266"/>
      <c r="AM4266"/>
      <c r="AN4266"/>
      <c r="AO4266"/>
    </row>
    <row r="4267" spans="1:41" s="2" customFormat="1" x14ac:dyDescent="0.2">
      <c r="A4267"/>
      <c r="B4267"/>
      <c r="C4267"/>
      <c r="D4267"/>
      <c r="E4267"/>
      <c r="F4267"/>
      <c r="G4267"/>
      <c r="U4267"/>
      <c r="V4267"/>
      <c r="W4267"/>
      <c r="X4267"/>
      <c r="Y4267"/>
      <c r="Z4267"/>
      <c r="AA4267"/>
      <c r="AB4267"/>
      <c r="AL4267"/>
      <c r="AM4267"/>
      <c r="AN4267"/>
      <c r="AO4267"/>
    </row>
    <row r="4268" spans="1:41" s="2" customFormat="1" x14ac:dyDescent="0.2">
      <c r="A4268"/>
      <c r="B4268"/>
      <c r="C4268"/>
      <c r="D4268"/>
      <c r="E4268"/>
      <c r="F4268"/>
      <c r="G4268"/>
      <c r="U4268"/>
      <c r="V4268"/>
      <c r="W4268"/>
      <c r="X4268"/>
      <c r="Y4268"/>
      <c r="Z4268"/>
      <c r="AA4268"/>
      <c r="AB4268"/>
      <c r="AL4268"/>
      <c r="AM4268"/>
      <c r="AN4268"/>
      <c r="AO4268"/>
    </row>
    <row r="4269" spans="1:41" s="2" customFormat="1" x14ac:dyDescent="0.2">
      <c r="A4269"/>
      <c r="B4269"/>
      <c r="C4269"/>
      <c r="D4269"/>
      <c r="E4269"/>
      <c r="F4269"/>
      <c r="G4269"/>
      <c r="U4269"/>
      <c r="V4269"/>
      <c r="W4269"/>
      <c r="X4269"/>
      <c r="Y4269"/>
      <c r="Z4269"/>
      <c r="AA4269"/>
      <c r="AB4269"/>
      <c r="AL4269"/>
      <c r="AM4269"/>
      <c r="AN4269"/>
      <c r="AO4269"/>
    </row>
    <row r="4270" spans="1:41" s="2" customFormat="1" x14ac:dyDescent="0.2">
      <c r="A4270"/>
      <c r="B4270"/>
      <c r="C4270"/>
      <c r="D4270"/>
      <c r="E4270"/>
      <c r="F4270"/>
      <c r="G4270"/>
      <c r="U4270"/>
      <c r="V4270"/>
      <c r="W4270"/>
      <c r="X4270"/>
      <c r="Y4270"/>
      <c r="Z4270"/>
      <c r="AA4270"/>
      <c r="AB4270"/>
      <c r="AL4270"/>
      <c r="AM4270"/>
      <c r="AN4270"/>
      <c r="AO4270"/>
    </row>
    <row r="4271" spans="1:41" s="2" customFormat="1" x14ac:dyDescent="0.2">
      <c r="A4271"/>
      <c r="B4271"/>
      <c r="C4271"/>
      <c r="D4271"/>
      <c r="E4271"/>
      <c r="F4271"/>
      <c r="G4271"/>
      <c r="U4271"/>
      <c r="V4271"/>
      <c r="W4271"/>
      <c r="X4271"/>
      <c r="Y4271"/>
      <c r="Z4271"/>
      <c r="AA4271"/>
      <c r="AB4271"/>
      <c r="AL4271"/>
      <c r="AM4271"/>
      <c r="AN4271"/>
      <c r="AO4271"/>
    </row>
    <row r="4272" spans="1:41" s="2" customFormat="1" x14ac:dyDescent="0.2">
      <c r="A4272"/>
      <c r="B4272"/>
      <c r="C4272"/>
      <c r="D4272"/>
      <c r="E4272"/>
      <c r="F4272"/>
      <c r="G4272"/>
      <c r="U4272"/>
      <c r="V4272"/>
      <c r="W4272"/>
      <c r="X4272"/>
      <c r="Y4272"/>
      <c r="Z4272"/>
      <c r="AA4272"/>
      <c r="AB4272"/>
      <c r="AL4272"/>
      <c r="AM4272"/>
      <c r="AN4272"/>
      <c r="AO4272"/>
    </row>
    <row r="4273" spans="1:41" s="2" customFormat="1" x14ac:dyDescent="0.2">
      <c r="A4273"/>
      <c r="B4273"/>
      <c r="C4273"/>
      <c r="D4273"/>
      <c r="E4273"/>
      <c r="F4273"/>
      <c r="G4273"/>
      <c r="U4273"/>
      <c r="V4273"/>
      <c r="W4273"/>
      <c r="X4273"/>
      <c r="Y4273"/>
      <c r="Z4273"/>
      <c r="AA4273"/>
      <c r="AB4273"/>
      <c r="AL4273"/>
      <c r="AM4273"/>
      <c r="AN4273"/>
      <c r="AO4273"/>
    </row>
    <row r="4274" spans="1:41" s="2" customFormat="1" x14ac:dyDescent="0.2">
      <c r="A4274"/>
      <c r="B4274"/>
      <c r="C4274"/>
      <c r="D4274"/>
      <c r="E4274"/>
      <c r="F4274"/>
      <c r="G4274"/>
      <c r="U4274"/>
      <c r="V4274"/>
      <c r="W4274"/>
      <c r="X4274"/>
      <c r="Y4274"/>
      <c r="Z4274"/>
      <c r="AA4274"/>
      <c r="AB4274"/>
      <c r="AL4274"/>
      <c r="AM4274"/>
      <c r="AN4274"/>
      <c r="AO4274"/>
    </row>
    <row r="4275" spans="1:41" s="2" customFormat="1" x14ac:dyDescent="0.2">
      <c r="A4275"/>
      <c r="B4275"/>
      <c r="C4275"/>
      <c r="D4275"/>
      <c r="E4275"/>
      <c r="F4275"/>
      <c r="G4275"/>
      <c r="U4275"/>
      <c r="V4275"/>
      <c r="W4275"/>
      <c r="X4275"/>
      <c r="Y4275"/>
      <c r="Z4275"/>
      <c r="AA4275"/>
      <c r="AB4275"/>
      <c r="AL4275"/>
      <c r="AM4275"/>
      <c r="AN4275"/>
      <c r="AO4275"/>
    </row>
    <row r="4276" spans="1:41" s="2" customFormat="1" x14ac:dyDescent="0.2">
      <c r="A4276"/>
      <c r="B4276"/>
      <c r="C4276"/>
      <c r="D4276"/>
      <c r="E4276"/>
      <c r="F4276"/>
      <c r="G4276"/>
      <c r="U4276"/>
      <c r="V4276"/>
      <c r="W4276"/>
      <c r="X4276"/>
      <c r="Y4276"/>
      <c r="Z4276"/>
      <c r="AA4276"/>
      <c r="AB4276"/>
      <c r="AL4276"/>
      <c r="AM4276"/>
      <c r="AN4276"/>
      <c r="AO4276"/>
    </row>
    <row r="4277" spans="1:41" s="2" customFormat="1" x14ac:dyDescent="0.2">
      <c r="A4277"/>
      <c r="B4277"/>
      <c r="C4277"/>
      <c r="D4277"/>
      <c r="E4277"/>
      <c r="F4277"/>
      <c r="G4277"/>
      <c r="U4277"/>
      <c r="V4277"/>
      <c r="W4277"/>
      <c r="X4277"/>
      <c r="Y4277"/>
      <c r="Z4277"/>
      <c r="AA4277"/>
      <c r="AB4277"/>
      <c r="AL4277"/>
      <c r="AM4277"/>
      <c r="AN4277"/>
      <c r="AO4277"/>
    </row>
    <row r="4278" spans="1:41" s="2" customFormat="1" x14ac:dyDescent="0.2">
      <c r="A4278"/>
      <c r="B4278"/>
      <c r="C4278"/>
      <c r="D4278"/>
      <c r="E4278"/>
      <c r="F4278"/>
      <c r="G4278"/>
      <c r="U4278"/>
      <c r="V4278"/>
      <c r="W4278"/>
      <c r="X4278"/>
      <c r="Y4278"/>
      <c r="Z4278"/>
      <c r="AA4278"/>
      <c r="AB4278"/>
      <c r="AL4278"/>
      <c r="AM4278"/>
      <c r="AN4278"/>
      <c r="AO4278"/>
    </row>
    <row r="4279" spans="1:41" s="2" customFormat="1" x14ac:dyDescent="0.2">
      <c r="A4279"/>
      <c r="B4279"/>
      <c r="C4279"/>
      <c r="D4279"/>
      <c r="E4279"/>
      <c r="F4279"/>
      <c r="G4279"/>
      <c r="U4279"/>
      <c r="V4279"/>
      <c r="W4279"/>
      <c r="X4279"/>
      <c r="Y4279"/>
      <c r="Z4279"/>
      <c r="AA4279"/>
      <c r="AB4279"/>
      <c r="AL4279"/>
      <c r="AM4279"/>
      <c r="AN4279"/>
      <c r="AO4279"/>
    </row>
    <row r="4280" spans="1:41" s="2" customFormat="1" x14ac:dyDescent="0.2">
      <c r="A4280"/>
      <c r="B4280"/>
      <c r="C4280"/>
      <c r="D4280"/>
      <c r="E4280"/>
      <c r="F4280"/>
      <c r="G4280"/>
      <c r="U4280"/>
      <c r="V4280"/>
      <c r="W4280"/>
      <c r="X4280"/>
      <c r="Y4280"/>
      <c r="Z4280"/>
      <c r="AA4280"/>
      <c r="AB4280"/>
      <c r="AL4280"/>
      <c r="AM4280"/>
      <c r="AN4280"/>
      <c r="AO4280"/>
    </row>
    <row r="4281" spans="1:41" s="2" customFormat="1" x14ac:dyDescent="0.2">
      <c r="A4281"/>
      <c r="B4281"/>
      <c r="C4281"/>
      <c r="D4281"/>
      <c r="E4281"/>
      <c r="F4281"/>
      <c r="G4281"/>
      <c r="U4281"/>
      <c r="V4281"/>
      <c r="W4281"/>
      <c r="X4281"/>
      <c r="Y4281"/>
      <c r="Z4281"/>
      <c r="AA4281"/>
      <c r="AB4281"/>
      <c r="AL4281"/>
      <c r="AM4281"/>
      <c r="AN4281"/>
      <c r="AO4281"/>
    </row>
    <row r="4282" spans="1:41" s="2" customFormat="1" x14ac:dyDescent="0.2">
      <c r="A4282"/>
      <c r="B4282"/>
      <c r="C4282"/>
      <c r="D4282"/>
      <c r="E4282"/>
      <c r="F4282"/>
      <c r="G4282"/>
      <c r="U4282"/>
      <c r="V4282"/>
      <c r="W4282"/>
      <c r="X4282"/>
      <c r="Y4282"/>
      <c r="Z4282"/>
      <c r="AA4282"/>
      <c r="AB4282"/>
      <c r="AL4282"/>
      <c r="AM4282"/>
      <c r="AN4282"/>
      <c r="AO4282"/>
    </row>
    <row r="4283" spans="1:41" s="2" customFormat="1" x14ac:dyDescent="0.2">
      <c r="A4283"/>
      <c r="B4283"/>
      <c r="C4283"/>
      <c r="D4283"/>
      <c r="E4283"/>
      <c r="F4283"/>
      <c r="G4283"/>
      <c r="U4283"/>
      <c r="V4283"/>
      <c r="W4283"/>
      <c r="X4283"/>
      <c r="Y4283"/>
      <c r="Z4283"/>
      <c r="AA4283"/>
      <c r="AB4283"/>
      <c r="AL4283"/>
      <c r="AM4283"/>
      <c r="AN4283"/>
      <c r="AO4283"/>
    </row>
    <row r="4284" spans="1:41" s="2" customFormat="1" x14ac:dyDescent="0.2">
      <c r="A4284"/>
      <c r="B4284"/>
      <c r="C4284"/>
      <c r="D4284"/>
      <c r="E4284"/>
      <c r="F4284"/>
      <c r="G4284"/>
      <c r="U4284"/>
      <c r="V4284"/>
      <c r="W4284"/>
      <c r="X4284"/>
      <c r="Y4284"/>
      <c r="Z4284"/>
      <c r="AA4284"/>
      <c r="AB4284"/>
      <c r="AL4284"/>
      <c r="AM4284"/>
      <c r="AN4284"/>
      <c r="AO4284"/>
    </row>
    <row r="4285" spans="1:41" s="2" customFormat="1" x14ac:dyDescent="0.2">
      <c r="A4285"/>
      <c r="B4285"/>
      <c r="C4285"/>
      <c r="D4285"/>
      <c r="E4285"/>
      <c r="F4285"/>
      <c r="G4285"/>
      <c r="U4285"/>
      <c r="V4285"/>
      <c r="W4285"/>
      <c r="X4285"/>
      <c r="Y4285"/>
      <c r="Z4285"/>
      <c r="AA4285"/>
      <c r="AB4285"/>
      <c r="AL4285"/>
      <c r="AM4285"/>
      <c r="AN4285"/>
      <c r="AO4285"/>
    </row>
    <row r="4286" spans="1:41" s="2" customFormat="1" x14ac:dyDescent="0.2">
      <c r="A4286"/>
      <c r="B4286"/>
      <c r="C4286"/>
      <c r="D4286"/>
      <c r="E4286"/>
      <c r="F4286"/>
      <c r="G4286"/>
      <c r="U4286"/>
      <c r="V4286"/>
      <c r="W4286"/>
      <c r="X4286"/>
      <c r="Y4286"/>
      <c r="Z4286"/>
      <c r="AA4286"/>
      <c r="AB4286"/>
      <c r="AL4286"/>
      <c r="AM4286"/>
      <c r="AN4286"/>
      <c r="AO4286"/>
    </row>
    <row r="4287" spans="1:41" s="2" customFormat="1" x14ac:dyDescent="0.2">
      <c r="A4287"/>
      <c r="B4287"/>
      <c r="C4287"/>
      <c r="D4287"/>
      <c r="E4287"/>
      <c r="F4287"/>
      <c r="G4287"/>
      <c r="U4287"/>
      <c r="V4287"/>
      <c r="W4287"/>
      <c r="X4287"/>
      <c r="Y4287"/>
      <c r="Z4287"/>
      <c r="AA4287"/>
      <c r="AB4287"/>
      <c r="AL4287"/>
      <c r="AM4287"/>
      <c r="AN4287"/>
      <c r="AO4287"/>
    </row>
    <row r="4288" spans="1:41" s="2" customFormat="1" x14ac:dyDescent="0.2">
      <c r="A4288"/>
      <c r="B4288"/>
      <c r="C4288"/>
      <c r="D4288"/>
      <c r="E4288"/>
      <c r="F4288"/>
      <c r="G4288"/>
      <c r="U4288"/>
      <c r="V4288"/>
      <c r="W4288"/>
      <c r="X4288"/>
      <c r="Y4288"/>
      <c r="Z4288"/>
      <c r="AA4288"/>
      <c r="AB4288"/>
      <c r="AL4288"/>
      <c r="AM4288"/>
      <c r="AN4288"/>
      <c r="AO4288"/>
    </row>
    <row r="4289" spans="1:41" s="2" customFormat="1" x14ac:dyDescent="0.2">
      <c r="A4289"/>
      <c r="B4289"/>
      <c r="C4289"/>
      <c r="D4289"/>
      <c r="E4289"/>
      <c r="F4289"/>
      <c r="G4289"/>
      <c r="U4289"/>
      <c r="V4289"/>
      <c r="W4289"/>
      <c r="X4289"/>
      <c r="Y4289"/>
      <c r="Z4289"/>
      <c r="AA4289"/>
      <c r="AB4289"/>
      <c r="AL4289"/>
      <c r="AM4289"/>
      <c r="AN4289"/>
      <c r="AO4289"/>
    </row>
    <row r="4290" spans="1:41" s="2" customFormat="1" x14ac:dyDescent="0.2">
      <c r="A4290"/>
      <c r="B4290"/>
      <c r="C4290"/>
      <c r="D4290"/>
      <c r="E4290"/>
      <c r="F4290"/>
      <c r="G4290"/>
      <c r="U4290"/>
      <c r="V4290"/>
      <c r="W4290"/>
      <c r="X4290"/>
      <c r="Y4290"/>
      <c r="Z4290"/>
      <c r="AA4290"/>
      <c r="AB4290"/>
      <c r="AL4290"/>
      <c r="AM4290"/>
      <c r="AN4290"/>
      <c r="AO4290"/>
    </row>
    <row r="4291" spans="1:41" s="2" customFormat="1" x14ac:dyDescent="0.2">
      <c r="A4291"/>
      <c r="B4291"/>
      <c r="C4291"/>
      <c r="D4291"/>
      <c r="E4291"/>
      <c r="F4291"/>
      <c r="G4291"/>
      <c r="U4291"/>
      <c r="V4291"/>
      <c r="W4291"/>
      <c r="X4291"/>
      <c r="Y4291"/>
      <c r="Z4291"/>
      <c r="AA4291"/>
      <c r="AB4291"/>
      <c r="AL4291"/>
      <c r="AM4291"/>
      <c r="AN4291"/>
      <c r="AO4291"/>
    </row>
    <row r="4292" spans="1:41" s="2" customFormat="1" x14ac:dyDescent="0.2">
      <c r="A4292"/>
      <c r="B4292"/>
      <c r="C4292"/>
      <c r="D4292"/>
      <c r="E4292"/>
      <c r="F4292"/>
      <c r="G4292"/>
      <c r="U4292"/>
      <c r="V4292"/>
      <c r="W4292"/>
      <c r="X4292"/>
      <c r="Y4292"/>
      <c r="Z4292"/>
      <c r="AA4292"/>
      <c r="AB4292"/>
      <c r="AL4292"/>
      <c r="AM4292"/>
      <c r="AN4292"/>
      <c r="AO4292"/>
    </row>
    <row r="4293" spans="1:41" s="2" customFormat="1" x14ac:dyDescent="0.2">
      <c r="A4293"/>
      <c r="B4293"/>
      <c r="C4293"/>
      <c r="D4293"/>
      <c r="E4293"/>
      <c r="F4293"/>
      <c r="G4293"/>
      <c r="U4293"/>
      <c r="V4293"/>
      <c r="W4293"/>
      <c r="X4293"/>
      <c r="Y4293"/>
      <c r="Z4293"/>
      <c r="AA4293"/>
      <c r="AB4293"/>
      <c r="AL4293"/>
      <c r="AM4293"/>
      <c r="AN4293"/>
      <c r="AO4293"/>
    </row>
    <row r="4294" spans="1:41" s="2" customFormat="1" x14ac:dyDescent="0.2">
      <c r="A4294"/>
      <c r="B4294"/>
      <c r="C4294"/>
      <c r="D4294"/>
      <c r="E4294"/>
      <c r="F4294"/>
      <c r="G4294"/>
      <c r="U4294"/>
      <c r="V4294"/>
      <c r="W4294"/>
      <c r="X4294"/>
      <c r="Y4294"/>
      <c r="Z4294"/>
      <c r="AA4294"/>
      <c r="AB4294"/>
      <c r="AL4294"/>
      <c r="AM4294"/>
      <c r="AN4294"/>
      <c r="AO4294"/>
    </row>
    <row r="4295" spans="1:41" s="2" customFormat="1" x14ac:dyDescent="0.2">
      <c r="A4295"/>
      <c r="B4295"/>
      <c r="C4295"/>
      <c r="D4295"/>
      <c r="E4295"/>
      <c r="F4295"/>
      <c r="G4295"/>
      <c r="U4295"/>
      <c r="V4295"/>
      <c r="W4295"/>
      <c r="X4295"/>
      <c r="Y4295"/>
      <c r="Z4295"/>
      <c r="AA4295"/>
      <c r="AB4295"/>
      <c r="AL4295"/>
      <c r="AM4295"/>
      <c r="AN4295"/>
      <c r="AO4295"/>
    </row>
    <row r="4296" spans="1:41" s="2" customFormat="1" x14ac:dyDescent="0.2">
      <c r="A4296"/>
      <c r="B4296"/>
      <c r="C4296"/>
      <c r="D4296"/>
      <c r="E4296"/>
      <c r="F4296"/>
      <c r="G4296"/>
      <c r="U4296"/>
      <c r="V4296"/>
      <c r="W4296"/>
      <c r="X4296"/>
      <c r="Y4296"/>
      <c r="Z4296"/>
      <c r="AA4296"/>
      <c r="AB4296"/>
      <c r="AL4296"/>
      <c r="AM4296"/>
      <c r="AN4296"/>
      <c r="AO4296"/>
    </row>
    <row r="4297" spans="1:41" s="2" customFormat="1" x14ac:dyDescent="0.2">
      <c r="A4297"/>
      <c r="B4297"/>
      <c r="C4297"/>
      <c r="D4297"/>
      <c r="E4297"/>
      <c r="F4297"/>
      <c r="G4297"/>
      <c r="U4297"/>
      <c r="V4297"/>
      <c r="W4297"/>
      <c r="X4297"/>
      <c r="Y4297"/>
      <c r="Z4297"/>
      <c r="AA4297"/>
      <c r="AB4297"/>
      <c r="AL4297"/>
      <c r="AM4297"/>
      <c r="AN4297"/>
      <c r="AO4297"/>
    </row>
    <row r="4298" spans="1:41" s="2" customFormat="1" x14ac:dyDescent="0.2">
      <c r="A4298"/>
      <c r="B4298"/>
      <c r="C4298"/>
      <c r="D4298"/>
      <c r="E4298"/>
      <c r="F4298"/>
      <c r="G4298"/>
      <c r="U4298"/>
      <c r="V4298"/>
      <c r="W4298"/>
      <c r="X4298"/>
      <c r="Y4298"/>
      <c r="Z4298"/>
      <c r="AA4298"/>
      <c r="AB4298"/>
      <c r="AL4298"/>
      <c r="AM4298"/>
      <c r="AN4298"/>
      <c r="AO4298"/>
    </row>
    <row r="4299" spans="1:41" s="2" customFormat="1" x14ac:dyDescent="0.2">
      <c r="A4299"/>
      <c r="B4299"/>
      <c r="C4299"/>
      <c r="D4299"/>
      <c r="E4299"/>
      <c r="F4299"/>
      <c r="G4299"/>
      <c r="U4299"/>
      <c r="V4299"/>
      <c r="W4299"/>
      <c r="X4299"/>
      <c r="Y4299"/>
      <c r="Z4299"/>
      <c r="AA4299"/>
      <c r="AB4299"/>
      <c r="AL4299"/>
      <c r="AM4299"/>
      <c r="AN4299"/>
      <c r="AO4299"/>
    </row>
    <row r="4300" spans="1:41" s="2" customFormat="1" x14ac:dyDescent="0.2">
      <c r="A4300"/>
      <c r="B4300"/>
      <c r="C4300"/>
      <c r="D4300"/>
      <c r="E4300"/>
      <c r="F4300"/>
      <c r="G4300"/>
      <c r="U4300"/>
      <c r="V4300"/>
      <c r="W4300"/>
      <c r="X4300"/>
      <c r="Y4300"/>
      <c r="Z4300"/>
      <c r="AA4300"/>
      <c r="AB4300"/>
      <c r="AL4300"/>
      <c r="AM4300"/>
      <c r="AN4300"/>
      <c r="AO4300"/>
    </row>
    <row r="4301" spans="1:41" s="2" customFormat="1" x14ac:dyDescent="0.2">
      <c r="A4301"/>
      <c r="B4301"/>
      <c r="C4301"/>
      <c r="D4301"/>
      <c r="E4301"/>
      <c r="F4301"/>
      <c r="G4301"/>
      <c r="U4301"/>
      <c r="V4301"/>
      <c r="W4301"/>
      <c r="X4301"/>
      <c r="Y4301"/>
      <c r="Z4301"/>
      <c r="AA4301"/>
      <c r="AB4301"/>
      <c r="AL4301"/>
      <c r="AM4301"/>
      <c r="AN4301"/>
      <c r="AO4301"/>
    </row>
    <row r="4302" spans="1:41" s="2" customFormat="1" x14ac:dyDescent="0.2">
      <c r="A4302"/>
      <c r="B4302"/>
      <c r="C4302"/>
      <c r="D4302"/>
      <c r="E4302"/>
      <c r="F4302"/>
      <c r="G4302"/>
      <c r="U4302"/>
      <c r="V4302"/>
      <c r="W4302"/>
      <c r="X4302"/>
      <c r="Y4302"/>
      <c r="Z4302"/>
      <c r="AA4302"/>
      <c r="AB4302"/>
      <c r="AL4302"/>
      <c r="AM4302"/>
      <c r="AN4302"/>
      <c r="AO4302"/>
    </row>
    <row r="4303" spans="1:41" s="2" customFormat="1" x14ac:dyDescent="0.2">
      <c r="A4303"/>
      <c r="B4303"/>
      <c r="C4303"/>
      <c r="D4303"/>
      <c r="E4303"/>
      <c r="F4303"/>
      <c r="G4303"/>
      <c r="U4303"/>
      <c r="V4303"/>
      <c r="W4303"/>
      <c r="X4303"/>
      <c r="Y4303"/>
      <c r="Z4303"/>
      <c r="AA4303"/>
      <c r="AB4303"/>
      <c r="AL4303"/>
      <c r="AM4303"/>
      <c r="AN4303"/>
      <c r="AO4303"/>
    </row>
    <row r="4304" spans="1:41" s="2" customFormat="1" x14ac:dyDescent="0.2">
      <c r="A4304"/>
      <c r="B4304"/>
      <c r="C4304"/>
      <c r="D4304"/>
      <c r="E4304"/>
      <c r="F4304"/>
      <c r="G4304"/>
      <c r="U4304"/>
      <c r="V4304"/>
      <c r="W4304"/>
      <c r="X4304"/>
      <c r="Y4304"/>
      <c r="Z4304"/>
      <c r="AA4304"/>
      <c r="AB4304"/>
      <c r="AL4304"/>
      <c r="AM4304"/>
      <c r="AN4304"/>
      <c r="AO4304"/>
    </row>
    <row r="4305" spans="1:41" s="2" customFormat="1" x14ac:dyDescent="0.2">
      <c r="A4305"/>
      <c r="B4305"/>
      <c r="C4305"/>
      <c r="D4305"/>
      <c r="E4305"/>
      <c r="F4305"/>
      <c r="G4305"/>
      <c r="U4305"/>
      <c r="V4305"/>
      <c r="W4305"/>
      <c r="X4305"/>
      <c r="Y4305"/>
      <c r="Z4305"/>
      <c r="AA4305"/>
      <c r="AB4305"/>
      <c r="AL4305"/>
      <c r="AM4305"/>
      <c r="AN4305"/>
      <c r="AO4305"/>
    </row>
    <row r="4306" spans="1:41" s="2" customFormat="1" x14ac:dyDescent="0.2">
      <c r="A4306"/>
      <c r="B4306"/>
      <c r="C4306"/>
      <c r="D4306"/>
      <c r="E4306"/>
      <c r="F4306"/>
      <c r="G4306"/>
      <c r="U4306"/>
      <c r="V4306"/>
      <c r="W4306"/>
      <c r="X4306"/>
      <c r="Y4306"/>
      <c r="Z4306"/>
      <c r="AA4306"/>
      <c r="AB4306"/>
      <c r="AL4306"/>
      <c r="AM4306"/>
      <c r="AN4306"/>
      <c r="AO4306"/>
    </row>
    <row r="4307" spans="1:41" s="2" customFormat="1" x14ac:dyDescent="0.2">
      <c r="A4307"/>
      <c r="B4307"/>
      <c r="C4307"/>
      <c r="D4307"/>
      <c r="E4307"/>
      <c r="F4307"/>
      <c r="G4307"/>
      <c r="U4307"/>
      <c r="V4307"/>
      <c r="W4307"/>
      <c r="X4307"/>
      <c r="Y4307"/>
      <c r="Z4307"/>
      <c r="AA4307"/>
      <c r="AB4307"/>
      <c r="AL4307"/>
      <c r="AM4307"/>
      <c r="AN4307"/>
      <c r="AO4307"/>
    </row>
    <row r="4308" spans="1:41" s="2" customFormat="1" x14ac:dyDescent="0.2">
      <c r="A4308"/>
      <c r="B4308"/>
      <c r="C4308"/>
      <c r="D4308"/>
      <c r="E4308"/>
      <c r="F4308"/>
      <c r="G4308"/>
      <c r="U4308"/>
      <c r="V4308"/>
      <c r="W4308"/>
      <c r="X4308"/>
      <c r="Y4308"/>
      <c r="Z4308"/>
      <c r="AA4308"/>
      <c r="AB4308"/>
      <c r="AL4308"/>
      <c r="AM4308"/>
      <c r="AN4308"/>
      <c r="AO4308"/>
    </row>
    <row r="4309" spans="1:41" s="2" customFormat="1" x14ac:dyDescent="0.2">
      <c r="A4309"/>
      <c r="B4309"/>
      <c r="C4309"/>
      <c r="D4309"/>
      <c r="E4309"/>
      <c r="F4309"/>
      <c r="G4309"/>
      <c r="U4309"/>
      <c r="V4309"/>
      <c r="W4309"/>
      <c r="X4309"/>
      <c r="Y4309"/>
      <c r="Z4309"/>
      <c r="AA4309"/>
      <c r="AB4309"/>
      <c r="AL4309"/>
      <c r="AM4309"/>
      <c r="AN4309"/>
      <c r="AO4309"/>
    </row>
    <row r="4310" spans="1:41" s="2" customFormat="1" x14ac:dyDescent="0.2">
      <c r="A4310"/>
      <c r="B4310"/>
      <c r="C4310"/>
      <c r="D4310"/>
      <c r="E4310"/>
      <c r="F4310"/>
      <c r="G4310"/>
      <c r="U4310"/>
      <c r="V4310"/>
      <c r="W4310"/>
      <c r="X4310"/>
      <c r="Y4310"/>
      <c r="Z4310"/>
      <c r="AA4310"/>
      <c r="AB4310"/>
      <c r="AL4310"/>
      <c r="AM4310"/>
      <c r="AN4310"/>
      <c r="AO4310"/>
    </row>
    <row r="4311" spans="1:41" s="2" customFormat="1" x14ac:dyDescent="0.2">
      <c r="A4311"/>
      <c r="B4311"/>
      <c r="C4311"/>
      <c r="D4311"/>
      <c r="E4311"/>
      <c r="F4311"/>
      <c r="G4311"/>
      <c r="U4311"/>
      <c r="V4311"/>
      <c r="W4311"/>
      <c r="X4311"/>
      <c r="Y4311"/>
      <c r="Z4311"/>
      <c r="AA4311"/>
      <c r="AB4311"/>
      <c r="AL4311"/>
      <c r="AM4311"/>
      <c r="AN4311"/>
      <c r="AO4311"/>
    </row>
    <row r="4312" spans="1:41" s="2" customFormat="1" x14ac:dyDescent="0.2">
      <c r="A4312"/>
      <c r="B4312"/>
      <c r="C4312"/>
      <c r="D4312"/>
      <c r="E4312"/>
      <c r="F4312"/>
      <c r="G4312"/>
      <c r="U4312"/>
      <c r="V4312"/>
      <c r="W4312"/>
      <c r="X4312"/>
      <c r="Y4312"/>
      <c r="Z4312"/>
      <c r="AA4312"/>
      <c r="AB4312"/>
      <c r="AL4312"/>
      <c r="AM4312"/>
      <c r="AN4312"/>
      <c r="AO4312"/>
    </row>
    <row r="4313" spans="1:41" s="2" customFormat="1" x14ac:dyDescent="0.2">
      <c r="A4313"/>
      <c r="B4313"/>
      <c r="C4313"/>
      <c r="D4313"/>
      <c r="E4313"/>
      <c r="F4313"/>
      <c r="G4313"/>
      <c r="U4313"/>
      <c r="V4313"/>
      <c r="W4313"/>
      <c r="X4313"/>
      <c r="Y4313"/>
      <c r="Z4313"/>
      <c r="AA4313"/>
      <c r="AB4313"/>
      <c r="AL4313"/>
      <c r="AM4313"/>
      <c r="AN4313"/>
      <c r="AO4313"/>
    </row>
    <row r="4314" spans="1:41" s="2" customFormat="1" x14ac:dyDescent="0.2">
      <c r="A4314"/>
      <c r="B4314"/>
      <c r="C4314"/>
      <c r="D4314"/>
      <c r="E4314"/>
      <c r="F4314"/>
      <c r="G4314"/>
      <c r="U4314"/>
      <c r="V4314"/>
      <c r="W4314"/>
      <c r="X4314"/>
      <c r="Y4314"/>
      <c r="Z4314"/>
      <c r="AA4314"/>
      <c r="AB4314"/>
      <c r="AL4314"/>
      <c r="AM4314"/>
      <c r="AN4314"/>
      <c r="AO4314"/>
    </row>
    <row r="4315" spans="1:41" s="2" customFormat="1" x14ac:dyDescent="0.2">
      <c r="A4315"/>
      <c r="B4315"/>
      <c r="C4315"/>
      <c r="D4315"/>
      <c r="E4315"/>
      <c r="F4315"/>
      <c r="G4315"/>
      <c r="U4315"/>
      <c r="V4315"/>
      <c r="W4315"/>
      <c r="X4315"/>
      <c r="Y4315"/>
      <c r="Z4315"/>
      <c r="AA4315"/>
      <c r="AB4315"/>
      <c r="AL4315"/>
      <c r="AM4315"/>
      <c r="AN4315"/>
      <c r="AO4315"/>
    </row>
    <row r="4316" spans="1:41" s="2" customFormat="1" x14ac:dyDescent="0.2">
      <c r="A4316"/>
      <c r="B4316"/>
      <c r="C4316"/>
      <c r="D4316"/>
      <c r="E4316"/>
      <c r="F4316"/>
      <c r="G4316"/>
      <c r="U4316"/>
      <c r="V4316"/>
      <c r="W4316"/>
      <c r="X4316"/>
      <c r="Y4316"/>
      <c r="Z4316"/>
      <c r="AA4316"/>
      <c r="AB4316"/>
      <c r="AL4316"/>
      <c r="AM4316"/>
      <c r="AN4316"/>
      <c r="AO4316"/>
    </row>
    <row r="4317" spans="1:41" s="2" customFormat="1" x14ac:dyDescent="0.2">
      <c r="A4317"/>
      <c r="B4317"/>
      <c r="C4317"/>
      <c r="D4317"/>
      <c r="E4317"/>
      <c r="F4317"/>
      <c r="G4317"/>
      <c r="U4317"/>
      <c r="V4317"/>
      <c r="W4317"/>
      <c r="X4317"/>
      <c r="Y4317"/>
      <c r="Z4317"/>
      <c r="AA4317"/>
      <c r="AB4317"/>
      <c r="AL4317"/>
      <c r="AM4317"/>
      <c r="AN4317"/>
      <c r="AO4317"/>
    </row>
    <row r="4318" spans="1:41" s="2" customFormat="1" x14ac:dyDescent="0.2">
      <c r="A4318"/>
      <c r="B4318"/>
      <c r="C4318"/>
      <c r="D4318"/>
      <c r="E4318"/>
      <c r="F4318"/>
      <c r="G4318"/>
      <c r="U4318"/>
      <c r="V4318"/>
      <c r="W4318"/>
      <c r="X4318"/>
      <c r="Y4318"/>
      <c r="Z4318"/>
      <c r="AA4318"/>
      <c r="AB4318"/>
      <c r="AL4318"/>
      <c r="AM4318"/>
      <c r="AN4318"/>
      <c r="AO4318"/>
    </row>
    <row r="4319" spans="1:41" s="2" customFormat="1" x14ac:dyDescent="0.2">
      <c r="A4319"/>
      <c r="B4319"/>
      <c r="C4319"/>
      <c r="D4319"/>
      <c r="E4319"/>
      <c r="F4319"/>
      <c r="G4319"/>
      <c r="U4319"/>
      <c r="V4319"/>
      <c r="W4319"/>
      <c r="X4319"/>
      <c r="Y4319"/>
      <c r="Z4319"/>
      <c r="AA4319"/>
      <c r="AB4319"/>
      <c r="AL4319"/>
      <c r="AM4319"/>
      <c r="AN4319"/>
      <c r="AO4319"/>
    </row>
    <row r="4320" spans="1:41" s="2" customFormat="1" x14ac:dyDescent="0.2">
      <c r="A4320"/>
      <c r="B4320"/>
      <c r="C4320"/>
      <c r="D4320"/>
      <c r="E4320"/>
      <c r="F4320"/>
      <c r="G4320"/>
      <c r="U4320"/>
      <c r="V4320"/>
      <c r="W4320"/>
      <c r="X4320"/>
      <c r="Y4320"/>
      <c r="Z4320"/>
      <c r="AA4320"/>
      <c r="AB4320"/>
      <c r="AL4320"/>
      <c r="AM4320"/>
      <c r="AN4320"/>
      <c r="AO4320"/>
    </row>
    <row r="4321" spans="1:41" s="2" customFormat="1" x14ac:dyDescent="0.2">
      <c r="A4321"/>
      <c r="B4321"/>
      <c r="C4321"/>
      <c r="D4321"/>
      <c r="E4321"/>
      <c r="F4321"/>
      <c r="G4321"/>
      <c r="U4321"/>
      <c r="V4321"/>
      <c r="W4321"/>
      <c r="X4321"/>
      <c r="Y4321"/>
      <c r="Z4321"/>
      <c r="AA4321"/>
      <c r="AB4321"/>
      <c r="AL4321"/>
      <c r="AM4321"/>
      <c r="AN4321"/>
      <c r="AO4321"/>
    </row>
    <row r="4322" spans="1:41" s="2" customFormat="1" x14ac:dyDescent="0.2">
      <c r="A4322"/>
      <c r="B4322"/>
      <c r="C4322"/>
      <c r="D4322"/>
      <c r="E4322"/>
      <c r="F4322"/>
      <c r="G4322"/>
      <c r="U4322"/>
      <c r="V4322"/>
      <c r="W4322"/>
      <c r="X4322"/>
      <c r="Y4322"/>
      <c r="Z4322"/>
      <c r="AA4322"/>
      <c r="AB4322"/>
      <c r="AL4322"/>
      <c r="AM4322"/>
      <c r="AN4322"/>
      <c r="AO4322"/>
    </row>
    <row r="4323" spans="1:41" s="2" customFormat="1" x14ac:dyDescent="0.2">
      <c r="A4323"/>
      <c r="B4323"/>
      <c r="C4323"/>
      <c r="D4323"/>
      <c r="E4323"/>
      <c r="F4323"/>
      <c r="G4323"/>
      <c r="U4323"/>
      <c r="V4323"/>
      <c r="W4323"/>
      <c r="X4323"/>
      <c r="Y4323"/>
      <c r="Z4323"/>
      <c r="AA4323"/>
      <c r="AB4323"/>
      <c r="AL4323"/>
      <c r="AM4323"/>
      <c r="AN4323"/>
      <c r="AO4323"/>
    </row>
    <row r="4324" spans="1:41" s="2" customFormat="1" x14ac:dyDescent="0.2">
      <c r="A4324"/>
      <c r="B4324"/>
      <c r="C4324"/>
      <c r="D4324"/>
      <c r="E4324"/>
      <c r="F4324"/>
      <c r="G4324"/>
      <c r="U4324"/>
      <c r="V4324"/>
      <c r="W4324"/>
      <c r="X4324"/>
      <c r="Y4324"/>
      <c r="Z4324"/>
      <c r="AA4324"/>
      <c r="AB4324"/>
      <c r="AL4324"/>
      <c r="AM4324"/>
      <c r="AN4324"/>
      <c r="AO4324"/>
    </row>
    <row r="4325" spans="1:41" s="2" customFormat="1" x14ac:dyDescent="0.2">
      <c r="A4325"/>
      <c r="B4325"/>
      <c r="C4325"/>
      <c r="D4325"/>
      <c r="E4325"/>
      <c r="F4325"/>
      <c r="G4325"/>
      <c r="U4325"/>
      <c r="V4325"/>
      <c r="W4325"/>
      <c r="X4325"/>
      <c r="Y4325"/>
      <c r="Z4325"/>
      <c r="AA4325"/>
      <c r="AB4325"/>
      <c r="AL4325"/>
      <c r="AM4325"/>
      <c r="AN4325"/>
      <c r="AO4325"/>
    </row>
    <row r="4326" spans="1:41" s="2" customFormat="1" x14ac:dyDescent="0.2">
      <c r="A4326"/>
      <c r="B4326"/>
      <c r="C4326"/>
      <c r="D4326"/>
      <c r="E4326"/>
      <c r="F4326"/>
      <c r="G4326"/>
      <c r="U4326"/>
      <c r="V4326"/>
      <c r="W4326"/>
      <c r="X4326"/>
      <c r="Y4326"/>
      <c r="Z4326"/>
      <c r="AA4326"/>
      <c r="AB4326"/>
      <c r="AL4326"/>
      <c r="AM4326"/>
      <c r="AN4326"/>
      <c r="AO4326"/>
    </row>
    <row r="4327" spans="1:41" s="2" customFormat="1" x14ac:dyDescent="0.2">
      <c r="A4327"/>
      <c r="B4327"/>
      <c r="C4327"/>
      <c r="D4327"/>
      <c r="E4327"/>
      <c r="F4327"/>
      <c r="G4327"/>
      <c r="U4327"/>
      <c r="V4327"/>
      <c r="W4327"/>
      <c r="X4327"/>
      <c r="Y4327"/>
      <c r="Z4327"/>
      <c r="AA4327"/>
      <c r="AB4327"/>
      <c r="AL4327"/>
      <c r="AM4327"/>
      <c r="AN4327"/>
      <c r="AO4327"/>
    </row>
    <row r="4328" spans="1:41" s="2" customFormat="1" x14ac:dyDescent="0.2">
      <c r="A4328"/>
      <c r="B4328"/>
      <c r="C4328"/>
      <c r="D4328"/>
      <c r="E4328"/>
      <c r="F4328"/>
      <c r="G4328"/>
      <c r="U4328"/>
      <c r="V4328"/>
      <c r="W4328"/>
      <c r="X4328"/>
      <c r="Y4328"/>
      <c r="Z4328"/>
      <c r="AA4328"/>
      <c r="AB4328"/>
      <c r="AL4328"/>
      <c r="AM4328"/>
      <c r="AN4328"/>
      <c r="AO4328"/>
    </row>
    <row r="4329" spans="1:41" s="2" customFormat="1" x14ac:dyDescent="0.2">
      <c r="A4329"/>
      <c r="B4329"/>
      <c r="C4329"/>
      <c r="D4329"/>
      <c r="E4329"/>
      <c r="F4329"/>
      <c r="G4329"/>
      <c r="U4329"/>
      <c r="V4329"/>
      <c r="W4329"/>
      <c r="X4329"/>
      <c r="Y4329"/>
      <c r="Z4329"/>
      <c r="AA4329"/>
      <c r="AB4329"/>
      <c r="AL4329"/>
      <c r="AM4329"/>
      <c r="AN4329"/>
      <c r="AO4329"/>
    </row>
    <row r="4330" spans="1:41" s="2" customFormat="1" x14ac:dyDescent="0.2">
      <c r="A4330"/>
      <c r="B4330"/>
      <c r="C4330"/>
      <c r="D4330"/>
      <c r="E4330"/>
      <c r="F4330"/>
      <c r="G4330"/>
      <c r="U4330"/>
      <c r="V4330"/>
      <c r="W4330"/>
      <c r="X4330"/>
      <c r="Y4330"/>
      <c r="Z4330"/>
      <c r="AA4330"/>
      <c r="AB4330"/>
      <c r="AL4330"/>
      <c r="AM4330"/>
      <c r="AN4330"/>
      <c r="AO4330"/>
    </row>
    <row r="4331" spans="1:41" s="2" customFormat="1" x14ac:dyDescent="0.2">
      <c r="A4331"/>
      <c r="B4331"/>
      <c r="C4331"/>
      <c r="D4331"/>
      <c r="E4331"/>
      <c r="F4331"/>
      <c r="G4331"/>
      <c r="U4331"/>
      <c r="V4331"/>
      <c r="W4331"/>
      <c r="X4331"/>
      <c r="Y4331"/>
      <c r="Z4331"/>
      <c r="AA4331"/>
      <c r="AB4331"/>
      <c r="AL4331"/>
      <c r="AM4331"/>
      <c r="AN4331"/>
      <c r="AO4331"/>
    </row>
    <row r="4332" spans="1:41" s="2" customFormat="1" x14ac:dyDescent="0.2">
      <c r="A4332"/>
      <c r="B4332"/>
      <c r="C4332"/>
      <c r="D4332"/>
      <c r="E4332"/>
      <c r="F4332"/>
      <c r="G4332"/>
      <c r="U4332"/>
      <c r="V4332"/>
      <c r="W4332"/>
      <c r="X4332"/>
      <c r="Y4332"/>
      <c r="Z4332"/>
      <c r="AA4332"/>
      <c r="AB4332"/>
      <c r="AL4332"/>
      <c r="AM4332"/>
      <c r="AN4332"/>
      <c r="AO4332"/>
    </row>
    <row r="4333" spans="1:41" s="2" customFormat="1" x14ac:dyDescent="0.2">
      <c r="A4333"/>
      <c r="B4333"/>
      <c r="C4333"/>
      <c r="D4333"/>
      <c r="E4333"/>
      <c r="F4333"/>
      <c r="G4333"/>
      <c r="U4333"/>
      <c r="V4333"/>
      <c r="W4333"/>
      <c r="X4333"/>
      <c r="Y4333"/>
      <c r="Z4333"/>
      <c r="AA4333"/>
      <c r="AB4333"/>
      <c r="AL4333"/>
      <c r="AM4333"/>
      <c r="AN4333"/>
      <c r="AO4333"/>
    </row>
    <row r="4334" spans="1:41" s="2" customFormat="1" x14ac:dyDescent="0.2">
      <c r="A4334"/>
      <c r="B4334"/>
      <c r="C4334"/>
      <c r="D4334"/>
      <c r="E4334"/>
      <c r="F4334"/>
      <c r="G4334"/>
      <c r="U4334"/>
      <c r="V4334"/>
      <c r="W4334"/>
      <c r="X4334"/>
      <c r="Y4334"/>
      <c r="Z4334"/>
      <c r="AA4334"/>
      <c r="AB4334"/>
      <c r="AL4334"/>
      <c r="AM4334"/>
      <c r="AN4334"/>
      <c r="AO4334"/>
    </row>
    <row r="4335" spans="1:41" s="2" customFormat="1" x14ac:dyDescent="0.2">
      <c r="A4335"/>
      <c r="B4335"/>
      <c r="C4335"/>
      <c r="D4335"/>
      <c r="E4335"/>
      <c r="F4335"/>
      <c r="G4335"/>
      <c r="U4335"/>
      <c r="V4335"/>
      <c r="W4335"/>
      <c r="X4335"/>
      <c r="Y4335"/>
      <c r="Z4335"/>
      <c r="AA4335"/>
      <c r="AB4335"/>
      <c r="AL4335"/>
      <c r="AM4335"/>
      <c r="AN4335"/>
      <c r="AO4335"/>
    </row>
    <row r="4336" spans="1:41" s="2" customFormat="1" x14ac:dyDescent="0.2">
      <c r="A4336"/>
      <c r="B4336"/>
      <c r="C4336"/>
      <c r="D4336"/>
      <c r="E4336"/>
      <c r="F4336"/>
      <c r="G4336"/>
      <c r="U4336"/>
      <c r="V4336"/>
      <c r="W4336"/>
      <c r="X4336"/>
      <c r="Y4336"/>
      <c r="Z4336"/>
      <c r="AA4336"/>
      <c r="AB4336"/>
      <c r="AL4336"/>
      <c r="AM4336"/>
      <c r="AN4336"/>
      <c r="AO4336"/>
    </row>
    <row r="4337" spans="1:41" s="2" customFormat="1" x14ac:dyDescent="0.2">
      <c r="A4337"/>
      <c r="B4337"/>
      <c r="C4337"/>
      <c r="D4337"/>
      <c r="E4337"/>
      <c r="F4337"/>
      <c r="G4337"/>
      <c r="U4337"/>
      <c r="V4337"/>
      <c r="W4337"/>
      <c r="X4337"/>
      <c r="Y4337"/>
      <c r="Z4337"/>
      <c r="AA4337"/>
      <c r="AB4337"/>
      <c r="AL4337"/>
      <c r="AM4337"/>
      <c r="AN4337"/>
      <c r="AO4337"/>
    </row>
    <row r="4338" spans="1:41" s="2" customFormat="1" x14ac:dyDescent="0.2">
      <c r="A4338"/>
      <c r="B4338"/>
      <c r="C4338"/>
      <c r="D4338"/>
      <c r="E4338"/>
      <c r="F4338"/>
      <c r="G4338"/>
      <c r="U4338"/>
      <c r="V4338"/>
      <c r="W4338"/>
      <c r="X4338"/>
      <c r="Y4338"/>
      <c r="Z4338"/>
      <c r="AA4338"/>
      <c r="AB4338"/>
      <c r="AL4338"/>
      <c r="AM4338"/>
      <c r="AN4338"/>
      <c r="AO4338"/>
    </row>
    <row r="4339" spans="1:41" s="2" customFormat="1" x14ac:dyDescent="0.2">
      <c r="A4339"/>
      <c r="B4339"/>
      <c r="C4339"/>
      <c r="D4339"/>
      <c r="E4339"/>
      <c r="F4339"/>
      <c r="G4339"/>
      <c r="U4339"/>
      <c r="V4339"/>
      <c r="W4339"/>
      <c r="X4339"/>
      <c r="Y4339"/>
      <c r="Z4339"/>
      <c r="AA4339"/>
      <c r="AB4339"/>
      <c r="AL4339"/>
      <c r="AM4339"/>
      <c r="AN4339"/>
      <c r="AO4339"/>
    </row>
    <row r="4340" spans="1:41" s="2" customFormat="1" x14ac:dyDescent="0.2">
      <c r="A4340"/>
      <c r="B4340"/>
      <c r="C4340"/>
      <c r="D4340"/>
      <c r="E4340"/>
      <c r="F4340"/>
      <c r="G4340"/>
      <c r="U4340"/>
      <c r="V4340"/>
      <c r="W4340"/>
      <c r="X4340"/>
      <c r="Y4340"/>
      <c r="Z4340"/>
      <c r="AA4340"/>
      <c r="AB4340"/>
      <c r="AL4340"/>
      <c r="AM4340"/>
      <c r="AN4340"/>
      <c r="AO4340"/>
    </row>
    <row r="4341" spans="1:41" s="2" customFormat="1" x14ac:dyDescent="0.2">
      <c r="A4341"/>
      <c r="B4341"/>
      <c r="C4341"/>
      <c r="D4341"/>
      <c r="E4341"/>
      <c r="F4341"/>
      <c r="G4341"/>
      <c r="U4341"/>
      <c r="V4341"/>
      <c r="W4341"/>
      <c r="X4341"/>
      <c r="Y4341"/>
      <c r="Z4341"/>
      <c r="AA4341"/>
      <c r="AB4341"/>
      <c r="AL4341"/>
      <c r="AM4341"/>
      <c r="AN4341"/>
      <c r="AO4341"/>
    </row>
    <row r="4342" spans="1:41" s="2" customFormat="1" x14ac:dyDescent="0.2">
      <c r="A4342"/>
      <c r="B4342"/>
      <c r="C4342"/>
      <c r="D4342"/>
      <c r="E4342"/>
      <c r="F4342"/>
      <c r="G4342"/>
      <c r="U4342"/>
      <c r="V4342"/>
      <c r="W4342"/>
      <c r="X4342"/>
      <c r="Y4342"/>
      <c r="Z4342"/>
      <c r="AA4342"/>
      <c r="AB4342"/>
      <c r="AL4342"/>
      <c r="AM4342"/>
      <c r="AN4342"/>
      <c r="AO4342"/>
    </row>
    <row r="4343" spans="1:41" s="2" customFormat="1" x14ac:dyDescent="0.2">
      <c r="A4343"/>
      <c r="B4343"/>
      <c r="C4343"/>
      <c r="D4343"/>
      <c r="E4343"/>
      <c r="F4343"/>
      <c r="G4343"/>
      <c r="U4343"/>
      <c r="V4343"/>
      <c r="W4343"/>
      <c r="X4343"/>
      <c r="Y4343"/>
      <c r="Z4343"/>
      <c r="AA4343"/>
      <c r="AB4343"/>
      <c r="AL4343"/>
      <c r="AM4343"/>
      <c r="AN4343"/>
      <c r="AO4343"/>
    </row>
    <row r="4344" spans="1:41" s="2" customFormat="1" x14ac:dyDescent="0.2">
      <c r="A4344"/>
      <c r="B4344"/>
      <c r="C4344"/>
      <c r="D4344"/>
      <c r="E4344"/>
      <c r="F4344"/>
      <c r="G4344"/>
      <c r="U4344"/>
      <c r="V4344"/>
      <c r="W4344"/>
      <c r="X4344"/>
      <c r="Y4344"/>
      <c r="Z4344"/>
      <c r="AA4344"/>
      <c r="AB4344"/>
      <c r="AL4344"/>
      <c r="AM4344"/>
      <c r="AN4344"/>
      <c r="AO4344"/>
    </row>
    <row r="4345" spans="1:41" s="2" customFormat="1" x14ac:dyDescent="0.2">
      <c r="A4345"/>
      <c r="B4345"/>
      <c r="C4345"/>
      <c r="D4345"/>
      <c r="E4345"/>
      <c r="F4345"/>
      <c r="G4345"/>
      <c r="U4345"/>
      <c r="V4345"/>
      <c r="W4345"/>
      <c r="X4345"/>
      <c r="Y4345"/>
      <c r="Z4345"/>
      <c r="AA4345"/>
      <c r="AB4345"/>
      <c r="AL4345"/>
      <c r="AM4345"/>
      <c r="AN4345"/>
      <c r="AO4345"/>
    </row>
    <row r="4346" spans="1:41" s="2" customFormat="1" x14ac:dyDescent="0.2">
      <c r="A4346"/>
      <c r="B4346"/>
      <c r="C4346"/>
      <c r="D4346"/>
      <c r="E4346"/>
      <c r="F4346"/>
      <c r="G4346"/>
      <c r="U4346"/>
      <c r="V4346"/>
      <c r="W4346"/>
      <c r="X4346"/>
      <c r="Y4346"/>
      <c r="Z4346"/>
      <c r="AA4346"/>
      <c r="AB4346"/>
      <c r="AL4346"/>
      <c r="AM4346"/>
      <c r="AN4346"/>
      <c r="AO4346"/>
    </row>
    <row r="4347" spans="1:41" s="2" customFormat="1" x14ac:dyDescent="0.2">
      <c r="A4347"/>
      <c r="B4347"/>
      <c r="C4347"/>
      <c r="D4347"/>
      <c r="E4347"/>
      <c r="F4347"/>
      <c r="G4347"/>
      <c r="U4347"/>
      <c r="V4347"/>
      <c r="W4347"/>
      <c r="X4347"/>
      <c r="Y4347"/>
      <c r="Z4347"/>
      <c r="AA4347"/>
      <c r="AB4347"/>
      <c r="AL4347"/>
      <c r="AM4347"/>
      <c r="AN4347"/>
      <c r="AO4347"/>
    </row>
    <row r="4348" spans="1:41" s="2" customFormat="1" x14ac:dyDescent="0.2">
      <c r="A4348"/>
      <c r="B4348"/>
      <c r="C4348"/>
      <c r="D4348"/>
      <c r="E4348"/>
      <c r="F4348"/>
      <c r="G4348"/>
      <c r="U4348"/>
      <c r="V4348"/>
      <c r="W4348"/>
      <c r="X4348"/>
      <c r="Y4348"/>
      <c r="Z4348"/>
      <c r="AA4348"/>
      <c r="AB4348"/>
      <c r="AL4348"/>
      <c r="AM4348"/>
      <c r="AN4348"/>
      <c r="AO4348"/>
    </row>
    <row r="4349" spans="1:41" s="2" customFormat="1" x14ac:dyDescent="0.2">
      <c r="A4349"/>
      <c r="B4349"/>
      <c r="C4349"/>
      <c r="D4349"/>
      <c r="E4349"/>
      <c r="F4349"/>
      <c r="G4349"/>
      <c r="U4349"/>
      <c r="V4349"/>
      <c r="W4349"/>
      <c r="X4349"/>
      <c r="Y4349"/>
      <c r="Z4349"/>
      <c r="AA4349"/>
      <c r="AB4349"/>
      <c r="AL4349"/>
      <c r="AM4349"/>
      <c r="AN4349"/>
      <c r="AO4349"/>
    </row>
    <row r="4350" spans="1:41" s="2" customFormat="1" x14ac:dyDescent="0.2">
      <c r="A4350"/>
      <c r="B4350"/>
      <c r="C4350"/>
      <c r="D4350"/>
      <c r="E4350"/>
      <c r="F4350"/>
      <c r="G4350"/>
      <c r="U4350"/>
      <c r="V4350"/>
      <c r="W4350"/>
      <c r="X4350"/>
      <c r="Y4350"/>
      <c r="Z4350"/>
      <c r="AA4350"/>
      <c r="AB4350"/>
      <c r="AL4350"/>
      <c r="AM4350"/>
      <c r="AN4350"/>
      <c r="AO4350"/>
    </row>
    <row r="4351" spans="1:41" s="2" customFormat="1" x14ac:dyDescent="0.2">
      <c r="A4351"/>
      <c r="B4351"/>
      <c r="C4351"/>
      <c r="D4351"/>
      <c r="E4351"/>
      <c r="F4351"/>
      <c r="G4351"/>
      <c r="U4351"/>
      <c r="V4351"/>
      <c r="W4351"/>
      <c r="X4351"/>
      <c r="Y4351"/>
      <c r="Z4351"/>
      <c r="AA4351"/>
      <c r="AB4351"/>
      <c r="AL4351"/>
      <c r="AM4351"/>
      <c r="AN4351"/>
      <c r="AO4351"/>
    </row>
    <row r="4352" spans="1:41" s="2" customFormat="1" x14ac:dyDescent="0.2">
      <c r="A4352"/>
      <c r="B4352"/>
      <c r="C4352"/>
      <c r="D4352"/>
      <c r="E4352"/>
      <c r="F4352"/>
      <c r="G4352"/>
      <c r="U4352"/>
      <c r="V4352"/>
      <c r="W4352"/>
      <c r="X4352"/>
      <c r="Y4352"/>
      <c r="Z4352"/>
      <c r="AA4352"/>
      <c r="AB4352"/>
      <c r="AL4352"/>
      <c r="AM4352"/>
      <c r="AN4352"/>
      <c r="AO4352"/>
    </row>
    <row r="4353" spans="1:41" s="2" customFormat="1" x14ac:dyDescent="0.2">
      <c r="A4353"/>
      <c r="B4353"/>
      <c r="C4353"/>
      <c r="D4353"/>
      <c r="E4353"/>
      <c r="F4353"/>
      <c r="G4353"/>
      <c r="U4353"/>
      <c r="V4353"/>
      <c r="W4353"/>
      <c r="X4353"/>
      <c r="Y4353"/>
      <c r="Z4353"/>
      <c r="AA4353"/>
      <c r="AB4353"/>
      <c r="AL4353"/>
      <c r="AM4353"/>
      <c r="AN4353"/>
      <c r="AO4353"/>
    </row>
    <row r="4354" spans="1:41" s="2" customFormat="1" x14ac:dyDescent="0.2">
      <c r="A4354"/>
      <c r="B4354"/>
      <c r="C4354"/>
      <c r="D4354"/>
      <c r="E4354"/>
      <c r="F4354"/>
      <c r="G4354"/>
      <c r="U4354"/>
      <c r="V4354"/>
      <c r="W4354"/>
      <c r="X4354"/>
      <c r="Y4354"/>
      <c r="Z4354"/>
      <c r="AA4354"/>
      <c r="AB4354"/>
      <c r="AL4354"/>
      <c r="AM4354"/>
      <c r="AN4354"/>
      <c r="AO4354"/>
    </row>
    <row r="4355" spans="1:41" s="2" customFormat="1" x14ac:dyDescent="0.2">
      <c r="A4355"/>
      <c r="B4355"/>
      <c r="C4355"/>
      <c r="D4355"/>
      <c r="E4355"/>
      <c r="F4355"/>
      <c r="G4355"/>
      <c r="U4355"/>
      <c r="V4355"/>
      <c r="W4355"/>
      <c r="X4355"/>
      <c r="Y4355"/>
      <c r="Z4355"/>
      <c r="AA4355"/>
      <c r="AB4355"/>
      <c r="AL4355"/>
      <c r="AM4355"/>
      <c r="AN4355"/>
      <c r="AO4355"/>
    </row>
    <row r="4356" spans="1:41" s="2" customFormat="1" x14ac:dyDescent="0.2">
      <c r="A4356"/>
      <c r="B4356"/>
      <c r="C4356"/>
      <c r="D4356"/>
      <c r="E4356"/>
      <c r="F4356"/>
      <c r="G4356"/>
      <c r="U4356"/>
      <c r="V4356"/>
      <c r="W4356"/>
      <c r="X4356"/>
      <c r="Y4356"/>
      <c r="Z4356"/>
      <c r="AA4356"/>
      <c r="AB4356"/>
      <c r="AL4356"/>
      <c r="AM4356"/>
      <c r="AN4356"/>
      <c r="AO4356"/>
    </row>
    <row r="4357" spans="1:41" s="2" customFormat="1" x14ac:dyDescent="0.2">
      <c r="A4357"/>
      <c r="B4357"/>
      <c r="C4357"/>
      <c r="D4357"/>
      <c r="E4357"/>
      <c r="F4357"/>
      <c r="G4357"/>
      <c r="U4357"/>
      <c r="V4357"/>
      <c r="W4357"/>
      <c r="X4357"/>
      <c r="Y4357"/>
      <c r="Z4357"/>
      <c r="AA4357"/>
      <c r="AB4357"/>
      <c r="AL4357"/>
      <c r="AM4357"/>
      <c r="AN4357"/>
      <c r="AO4357"/>
    </row>
    <row r="4358" spans="1:41" s="2" customFormat="1" x14ac:dyDescent="0.2">
      <c r="A4358"/>
      <c r="B4358"/>
      <c r="C4358"/>
      <c r="D4358"/>
      <c r="E4358"/>
      <c r="F4358"/>
      <c r="G4358"/>
      <c r="U4358"/>
      <c r="V4358"/>
      <c r="W4358"/>
      <c r="X4358"/>
      <c r="Y4358"/>
      <c r="Z4358"/>
      <c r="AA4358"/>
      <c r="AB4358"/>
      <c r="AL4358"/>
      <c r="AM4358"/>
      <c r="AN4358"/>
      <c r="AO4358"/>
    </row>
    <row r="4359" spans="1:41" s="2" customFormat="1" x14ac:dyDescent="0.2">
      <c r="A4359"/>
      <c r="B4359"/>
      <c r="C4359"/>
      <c r="D4359"/>
      <c r="E4359"/>
      <c r="F4359"/>
      <c r="G4359"/>
      <c r="U4359"/>
      <c r="V4359"/>
      <c r="W4359"/>
      <c r="X4359"/>
      <c r="Y4359"/>
      <c r="Z4359"/>
      <c r="AA4359"/>
      <c r="AB4359"/>
      <c r="AL4359"/>
      <c r="AM4359"/>
      <c r="AN4359"/>
      <c r="AO4359"/>
    </row>
    <row r="4360" spans="1:41" s="2" customFormat="1" x14ac:dyDescent="0.2">
      <c r="A4360"/>
      <c r="B4360"/>
      <c r="C4360"/>
      <c r="D4360"/>
      <c r="E4360"/>
      <c r="F4360"/>
      <c r="G4360"/>
      <c r="U4360"/>
      <c r="V4360"/>
      <c r="W4360"/>
      <c r="X4360"/>
      <c r="Y4360"/>
      <c r="Z4360"/>
      <c r="AA4360"/>
      <c r="AB4360"/>
      <c r="AL4360"/>
      <c r="AM4360"/>
      <c r="AN4360"/>
      <c r="AO4360"/>
    </row>
    <row r="4361" spans="1:41" s="2" customFormat="1" x14ac:dyDescent="0.2">
      <c r="A4361"/>
      <c r="B4361"/>
      <c r="C4361"/>
      <c r="D4361"/>
      <c r="E4361"/>
      <c r="F4361"/>
      <c r="G4361"/>
      <c r="U4361"/>
      <c r="V4361"/>
      <c r="W4361"/>
      <c r="X4361"/>
      <c r="Y4361"/>
      <c r="Z4361"/>
      <c r="AA4361"/>
      <c r="AB4361"/>
      <c r="AL4361"/>
      <c r="AM4361"/>
      <c r="AN4361"/>
      <c r="AO4361"/>
    </row>
    <row r="4362" spans="1:41" s="2" customFormat="1" x14ac:dyDescent="0.2">
      <c r="A4362"/>
      <c r="B4362"/>
      <c r="C4362"/>
      <c r="D4362"/>
      <c r="E4362"/>
      <c r="F4362"/>
      <c r="G4362"/>
      <c r="U4362"/>
      <c r="V4362"/>
      <c r="W4362"/>
      <c r="X4362"/>
      <c r="Y4362"/>
      <c r="Z4362"/>
      <c r="AA4362"/>
      <c r="AB4362"/>
      <c r="AL4362"/>
      <c r="AM4362"/>
      <c r="AN4362"/>
      <c r="AO4362"/>
    </row>
    <row r="4363" spans="1:41" s="2" customFormat="1" x14ac:dyDescent="0.2">
      <c r="A4363"/>
      <c r="B4363"/>
      <c r="C4363"/>
      <c r="D4363"/>
      <c r="E4363"/>
      <c r="F4363"/>
      <c r="G4363"/>
      <c r="U4363"/>
      <c r="V4363"/>
      <c r="W4363"/>
      <c r="X4363"/>
      <c r="Y4363"/>
      <c r="Z4363"/>
      <c r="AA4363"/>
      <c r="AB4363"/>
      <c r="AL4363"/>
      <c r="AM4363"/>
      <c r="AN4363"/>
      <c r="AO4363"/>
    </row>
    <row r="4364" spans="1:41" s="2" customFormat="1" x14ac:dyDescent="0.2">
      <c r="A4364"/>
      <c r="B4364"/>
      <c r="C4364"/>
      <c r="D4364"/>
      <c r="E4364"/>
      <c r="F4364"/>
      <c r="G4364"/>
      <c r="U4364"/>
      <c r="V4364"/>
      <c r="W4364"/>
      <c r="X4364"/>
      <c r="Y4364"/>
      <c r="Z4364"/>
      <c r="AA4364"/>
      <c r="AB4364"/>
      <c r="AL4364"/>
      <c r="AM4364"/>
      <c r="AN4364"/>
      <c r="AO4364"/>
    </row>
    <row r="4365" spans="1:41" s="2" customFormat="1" x14ac:dyDescent="0.2">
      <c r="A4365"/>
      <c r="B4365"/>
      <c r="C4365"/>
      <c r="D4365"/>
      <c r="E4365"/>
      <c r="F4365"/>
      <c r="G4365"/>
      <c r="U4365"/>
      <c r="V4365"/>
      <c r="W4365"/>
      <c r="X4365"/>
      <c r="Y4365"/>
      <c r="Z4365"/>
      <c r="AA4365"/>
      <c r="AB4365"/>
      <c r="AL4365"/>
      <c r="AM4365"/>
      <c r="AN4365"/>
      <c r="AO4365"/>
    </row>
    <row r="4366" spans="1:41" s="2" customFormat="1" x14ac:dyDescent="0.2">
      <c r="A4366"/>
      <c r="B4366"/>
      <c r="C4366"/>
      <c r="D4366"/>
      <c r="E4366"/>
      <c r="F4366"/>
      <c r="G4366"/>
      <c r="U4366"/>
      <c r="V4366"/>
      <c r="W4366"/>
      <c r="X4366"/>
      <c r="Y4366"/>
      <c r="Z4366"/>
      <c r="AA4366"/>
      <c r="AB4366"/>
      <c r="AL4366"/>
      <c r="AM4366"/>
      <c r="AN4366"/>
      <c r="AO4366"/>
    </row>
    <row r="4367" spans="1:41" s="2" customFormat="1" x14ac:dyDescent="0.2">
      <c r="A4367"/>
      <c r="B4367"/>
      <c r="C4367"/>
      <c r="D4367"/>
      <c r="E4367"/>
      <c r="F4367"/>
      <c r="G4367"/>
      <c r="U4367"/>
      <c r="V4367"/>
      <c r="W4367"/>
      <c r="X4367"/>
      <c r="Y4367"/>
      <c r="Z4367"/>
      <c r="AA4367"/>
      <c r="AB4367"/>
      <c r="AL4367"/>
      <c r="AM4367"/>
      <c r="AN4367"/>
      <c r="AO4367"/>
    </row>
    <row r="4368" spans="1:41" s="2" customFormat="1" x14ac:dyDescent="0.2">
      <c r="A4368"/>
      <c r="B4368"/>
      <c r="C4368"/>
      <c r="D4368"/>
      <c r="E4368"/>
      <c r="F4368"/>
      <c r="G4368"/>
      <c r="U4368"/>
      <c r="V4368"/>
      <c r="W4368"/>
      <c r="X4368"/>
      <c r="Y4368"/>
      <c r="Z4368"/>
      <c r="AA4368"/>
      <c r="AB4368"/>
      <c r="AL4368"/>
      <c r="AM4368"/>
      <c r="AN4368"/>
      <c r="AO4368"/>
    </row>
    <row r="4369" spans="1:41" s="2" customFormat="1" x14ac:dyDescent="0.2">
      <c r="A4369"/>
      <c r="B4369"/>
      <c r="C4369"/>
      <c r="D4369"/>
      <c r="E4369"/>
      <c r="F4369"/>
      <c r="G4369"/>
      <c r="U4369"/>
      <c r="V4369"/>
      <c r="W4369"/>
      <c r="X4369"/>
      <c r="Y4369"/>
      <c r="Z4369"/>
      <c r="AA4369"/>
      <c r="AB4369"/>
      <c r="AL4369"/>
      <c r="AM4369"/>
      <c r="AN4369"/>
      <c r="AO4369"/>
    </row>
    <row r="4370" spans="1:41" s="2" customFormat="1" x14ac:dyDescent="0.2">
      <c r="A4370"/>
      <c r="B4370"/>
      <c r="C4370"/>
      <c r="D4370"/>
      <c r="E4370"/>
      <c r="F4370"/>
      <c r="G4370"/>
      <c r="U4370"/>
      <c r="V4370"/>
      <c r="W4370"/>
      <c r="X4370"/>
      <c r="Y4370"/>
      <c r="Z4370"/>
      <c r="AA4370"/>
      <c r="AB4370"/>
      <c r="AL4370"/>
      <c r="AM4370"/>
      <c r="AN4370"/>
      <c r="AO4370"/>
    </row>
    <row r="4371" spans="1:41" s="2" customFormat="1" x14ac:dyDescent="0.2">
      <c r="A4371"/>
      <c r="B4371"/>
      <c r="C4371"/>
      <c r="D4371"/>
      <c r="E4371"/>
      <c r="F4371"/>
      <c r="G4371"/>
      <c r="U4371"/>
      <c r="V4371"/>
      <c r="W4371"/>
      <c r="X4371"/>
      <c r="Y4371"/>
      <c r="Z4371"/>
      <c r="AA4371"/>
      <c r="AB4371"/>
      <c r="AL4371"/>
      <c r="AM4371"/>
      <c r="AN4371"/>
      <c r="AO4371"/>
    </row>
    <row r="4372" spans="1:41" s="2" customFormat="1" x14ac:dyDescent="0.2">
      <c r="A4372"/>
      <c r="B4372"/>
      <c r="C4372"/>
      <c r="D4372"/>
      <c r="E4372"/>
      <c r="F4372"/>
      <c r="G4372"/>
      <c r="U4372"/>
      <c r="V4372"/>
      <c r="W4372"/>
      <c r="X4372"/>
      <c r="Y4372"/>
      <c r="Z4372"/>
      <c r="AA4372"/>
      <c r="AB4372"/>
      <c r="AL4372"/>
      <c r="AM4372"/>
      <c r="AN4372"/>
      <c r="AO4372"/>
    </row>
    <row r="4373" spans="1:41" s="2" customFormat="1" x14ac:dyDescent="0.2">
      <c r="A4373"/>
      <c r="B4373"/>
      <c r="C4373"/>
      <c r="D4373"/>
      <c r="E4373"/>
      <c r="F4373"/>
      <c r="G4373"/>
      <c r="U4373"/>
      <c r="V4373"/>
      <c r="W4373"/>
      <c r="X4373"/>
      <c r="Y4373"/>
      <c r="Z4373"/>
      <c r="AA4373"/>
      <c r="AB4373"/>
      <c r="AL4373"/>
      <c r="AM4373"/>
      <c r="AN4373"/>
      <c r="AO4373"/>
    </row>
    <row r="4374" spans="1:41" s="2" customFormat="1" x14ac:dyDescent="0.2">
      <c r="A4374"/>
      <c r="B4374"/>
      <c r="C4374"/>
      <c r="D4374"/>
      <c r="E4374"/>
      <c r="F4374"/>
      <c r="G4374"/>
      <c r="U4374"/>
      <c r="V4374"/>
      <c r="W4374"/>
      <c r="X4374"/>
      <c r="Y4374"/>
      <c r="Z4374"/>
      <c r="AA4374"/>
      <c r="AB4374"/>
      <c r="AL4374"/>
      <c r="AM4374"/>
      <c r="AN4374"/>
      <c r="AO4374"/>
    </row>
    <row r="4375" spans="1:41" s="2" customFormat="1" x14ac:dyDescent="0.2">
      <c r="A4375"/>
      <c r="B4375"/>
      <c r="C4375"/>
      <c r="D4375"/>
      <c r="E4375"/>
      <c r="F4375"/>
      <c r="G4375"/>
      <c r="U4375"/>
      <c r="V4375"/>
      <c r="W4375"/>
      <c r="X4375"/>
      <c r="Y4375"/>
      <c r="Z4375"/>
      <c r="AA4375"/>
      <c r="AB4375"/>
      <c r="AL4375"/>
      <c r="AM4375"/>
      <c r="AN4375"/>
      <c r="AO4375"/>
    </row>
    <row r="4376" spans="1:41" s="2" customFormat="1" x14ac:dyDescent="0.2">
      <c r="A4376"/>
      <c r="B4376"/>
      <c r="C4376"/>
      <c r="D4376"/>
      <c r="E4376"/>
      <c r="F4376"/>
      <c r="G4376"/>
      <c r="U4376"/>
      <c r="V4376"/>
      <c r="W4376"/>
      <c r="X4376"/>
      <c r="Y4376"/>
      <c r="Z4376"/>
      <c r="AA4376"/>
      <c r="AB4376"/>
      <c r="AL4376"/>
      <c r="AM4376"/>
      <c r="AN4376"/>
      <c r="AO4376"/>
    </row>
    <row r="4377" spans="1:41" s="2" customFormat="1" x14ac:dyDescent="0.2">
      <c r="A4377"/>
      <c r="B4377"/>
      <c r="C4377"/>
      <c r="D4377"/>
      <c r="E4377"/>
      <c r="F4377"/>
      <c r="G4377"/>
      <c r="U4377"/>
      <c r="V4377"/>
      <c r="W4377"/>
      <c r="X4377"/>
      <c r="Y4377"/>
      <c r="Z4377"/>
      <c r="AA4377"/>
      <c r="AB4377"/>
      <c r="AL4377"/>
      <c r="AM4377"/>
      <c r="AN4377"/>
      <c r="AO4377"/>
    </row>
    <row r="4378" spans="1:41" s="2" customFormat="1" x14ac:dyDescent="0.2">
      <c r="A4378"/>
      <c r="B4378"/>
      <c r="C4378"/>
      <c r="D4378"/>
      <c r="E4378"/>
      <c r="F4378"/>
      <c r="G4378"/>
      <c r="U4378"/>
      <c r="V4378"/>
      <c r="W4378"/>
      <c r="X4378"/>
      <c r="Y4378"/>
      <c r="Z4378"/>
      <c r="AA4378"/>
      <c r="AB4378"/>
      <c r="AL4378"/>
      <c r="AM4378"/>
      <c r="AN4378"/>
      <c r="AO4378"/>
    </row>
    <row r="4379" spans="1:41" s="2" customFormat="1" x14ac:dyDescent="0.2">
      <c r="A4379"/>
      <c r="B4379"/>
      <c r="C4379"/>
      <c r="D4379"/>
      <c r="E4379"/>
      <c r="F4379"/>
      <c r="G4379"/>
      <c r="U4379"/>
      <c r="V4379"/>
      <c r="W4379"/>
      <c r="X4379"/>
      <c r="Y4379"/>
      <c r="Z4379"/>
      <c r="AA4379"/>
      <c r="AB4379"/>
      <c r="AL4379"/>
      <c r="AM4379"/>
      <c r="AN4379"/>
      <c r="AO4379"/>
    </row>
    <row r="4380" spans="1:41" s="2" customFormat="1" x14ac:dyDescent="0.2">
      <c r="A4380"/>
      <c r="B4380"/>
      <c r="C4380"/>
      <c r="D4380"/>
      <c r="E4380"/>
      <c r="F4380"/>
      <c r="G4380"/>
      <c r="U4380"/>
      <c r="V4380"/>
      <c r="W4380"/>
      <c r="X4380"/>
      <c r="Y4380"/>
      <c r="Z4380"/>
      <c r="AA4380"/>
      <c r="AB4380"/>
      <c r="AL4380"/>
      <c r="AM4380"/>
      <c r="AN4380"/>
      <c r="AO4380"/>
    </row>
    <row r="4381" spans="1:41" s="2" customFormat="1" x14ac:dyDescent="0.2">
      <c r="A4381"/>
      <c r="B4381"/>
      <c r="C4381"/>
      <c r="D4381"/>
      <c r="E4381"/>
      <c r="F4381"/>
      <c r="G4381"/>
      <c r="U4381"/>
      <c r="V4381"/>
      <c r="W4381"/>
      <c r="X4381"/>
      <c r="Y4381"/>
      <c r="Z4381"/>
      <c r="AA4381"/>
      <c r="AB4381"/>
      <c r="AL4381"/>
      <c r="AM4381"/>
      <c r="AN4381"/>
      <c r="AO4381"/>
    </row>
    <row r="4382" spans="1:41" s="2" customFormat="1" x14ac:dyDescent="0.2">
      <c r="A4382"/>
      <c r="B4382"/>
      <c r="C4382"/>
      <c r="D4382"/>
      <c r="E4382"/>
      <c r="F4382"/>
      <c r="G4382"/>
      <c r="U4382"/>
      <c r="V4382"/>
      <c r="W4382"/>
      <c r="X4382"/>
      <c r="Y4382"/>
      <c r="Z4382"/>
      <c r="AA4382"/>
      <c r="AB4382"/>
      <c r="AL4382"/>
      <c r="AM4382"/>
      <c r="AN4382"/>
      <c r="AO4382"/>
    </row>
    <row r="4383" spans="1:41" s="2" customFormat="1" x14ac:dyDescent="0.2">
      <c r="A4383"/>
      <c r="B4383"/>
      <c r="C4383"/>
      <c r="D4383"/>
      <c r="E4383"/>
      <c r="F4383"/>
      <c r="G4383"/>
      <c r="U4383"/>
      <c r="V4383"/>
      <c r="W4383"/>
      <c r="X4383"/>
      <c r="Y4383"/>
      <c r="Z4383"/>
      <c r="AA4383"/>
      <c r="AB4383"/>
      <c r="AL4383"/>
      <c r="AM4383"/>
      <c r="AN4383"/>
      <c r="AO4383"/>
    </row>
    <row r="4384" spans="1:41" s="2" customFormat="1" x14ac:dyDescent="0.2">
      <c r="A4384"/>
      <c r="B4384"/>
      <c r="C4384"/>
      <c r="D4384"/>
      <c r="E4384"/>
      <c r="F4384"/>
      <c r="G4384"/>
      <c r="U4384"/>
      <c r="V4384"/>
      <c r="W4384"/>
      <c r="X4384"/>
      <c r="Y4384"/>
      <c r="Z4384"/>
      <c r="AA4384"/>
      <c r="AB4384"/>
      <c r="AL4384"/>
      <c r="AM4384"/>
      <c r="AN4384"/>
      <c r="AO4384"/>
    </row>
    <row r="4385" spans="1:41" s="2" customFormat="1" x14ac:dyDescent="0.2">
      <c r="A4385"/>
      <c r="B4385"/>
      <c r="C4385"/>
      <c r="D4385"/>
      <c r="E4385"/>
      <c r="F4385"/>
      <c r="G4385"/>
      <c r="U4385"/>
      <c r="V4385"/>
      <c r="W4385"/>
      <c r="X4385"/>
      <c r="Y4385"/>
      <c r="Z4385"/>
      <c r="AA4385"/>
      <c r="AB4385"/>
      <c r="AL4385"/>
      <c r="AM4385"/>
      <c r="AN4385"/>
      <c r="AO4385"/>
    </row>
    <row r="4386" spans="1:41" s="2" customFormat="1" x14ac:dyDescent="0.2">
      <c r="A4386"/>
      <c r="B4386"/>
      <c r="C4386"/>
      <c r="D4386"/>
      <c r="E4386"/>
      <c r="F4386"/>
      <c r="G4386"/>
      <c r="U4386"/>
      <c r="V4386"/>
      <c r="W4386"/>
      <c r="X4386"/>
      <c r="Y4386"/>
      <c r="Z4386"/>
      <c r="AA4386"/>
      <c r="AB4386"/>
      <c r="AL4386"/>
      <c r="AM4386"/>
      <c r="AN4386"/>
      <c r="AO4386"/>
    </row>
    <row r="4387" spans="1:41" s="2" customFormat="1" x14ac:dyDescent="0.2">
      <c r="A4387"/>
      <c r="B4387"/>
      <c r="C4387"/>
      <c r="D4387"/>
      <c r="E4387"/>
      <c r="F4387"/>
      <c r="G4387"/>
      <c r="U4387"/>
      <c r="V4387"/>
      <c r="W4387"/>
      <c r="X4387"/>
      <c r="Y4387"/>
      <c r="Z4387"/>
      <c r="AA4387"/>
      <c r="AB4387"/>
      <c r="AL4387"/>
      <c r="AM4387"/>
      <c r="AN4387"/>
      <c r="AO4387"/>
    </row>
    <row r="4388" spans="1:41" s="2" customFormat="1" x14ac:dyDescent="0.2">
      <c r="A4388"/>
      <c r="B4388"/>
      <c r="C4388"/>
      <c r="D4388"/>
      <c r="E4388"/>
      <c r="F4388"/>
      <c r="G4388"/>
      <c r="U4388"/>
      <c r="V4388"/>
      <c r="W4388"/>
      <c r="X4388"/>
      <c r="Y4388"/>
      <c r="Z4388"/>
      <c r="AA4388"/>
      <c r="AB4388"/>
      <c r="AL4388"/>
      <c r="AM4388"/>
      <c r="AN4388"/>
      <c r="AO4388"/>
    </row>
    <row r="4389" spans="1:41" s="2" customFormat="1" x14ac:dyDescent="0.2">
      <c r="A4389"/>
      <c r="B4389"/>
      <c r="C4389"/>
      <c r="D4389"/>
      <c r="E4389"/>
      <c r="F4389"/>
      <c r="G4389"/>
      <c r="U4389"/>
      <c r="V4389"/>
      <c r="W4389"/>
      <c r="X4389"/>
      <c r="Y4389"/>
      <c r="Z4389"/>
      <c r="AA4389"/>
      <c r="AB4389"/>
      <c r="AL4389"/>
      <c r="AM4389"/>
      <c r="AN4389"/>
      <c r="AO4389"/>
    </row>
    <row r="4390" spans="1:41" s="2" customFormat="1" x14ac:dyDescent="0.2">
      <c r="A4390"/>
      <c r="B4390"/>
      <c r="C4390"/>
      <c r="D4390"/>
      <c r="E4390"/>
      <c r="F4390"/>
      <c r="G4390"/>
      <c r="U4390"/>
      <c r="V4390"/>
      <c r="W4390"/>
      <c r="X4390"/>
      <c r="Y4390"/>
      <c r="Z4390"/>
      <c r="AA4390"/>
      <c r="AB4390"/>
      <c r="AL4390"/>
      <c r="AM4390"/>
      <c r="AN4390"/>
      <c r="AO4390"/>
    </row>
    <row r="4391" spans="1:41" s="2" customFormat="1" x14ac:dyDescent="0.2">
      <c r="A4391"/>
      <c r="B4391"/>
      <c r="C4391"/>
      <c r="D4391"/>
      <c r="E4391"/>
      <c r="F4391"/>
      <c r="G4391"/>
      <c r="U4391"/>
      <c r="V4391"/>
      <c r="W4391"/>
      <c r="X4391"/>
      <c r="Y4391"/>
      <c r="Z4391"/>
      <c r="AA4391"/>
      <c r="AB4391"/>
      <c r="AL4391"/>
      <c r="AM4391"/>
      <c r="AN4391"/>
      <c r="AO4391"/>
    </row>
    <row r="4392" spans="1:41" s="2" customFormat="1" x14ac:dyDescent="0.2">
      <c r="A4392"/>
      <c r="B4392"/>
      <c r="C4392"/>
      <c r="D4392"/>
      <c r="E4392"/>
      <c r="F4392"/>
      <c r="G4392"/>
      <c r="U4392"/>
      <c r="V4392"/>
      <c r="W4392"/>
      <c r="X4392"/>
      <c r="Y4392"/>
      <c r="Z4392"/>
      <c r="AA4392"/>
      <c r="AB4392"/>
      <c r="AL4392"/>
      <c r="AM4392"/>
      <c r="AN4392"/>
      <c r="AO4392"/>
    </row>
    <row r="4393" spans="1:41" s="2" customFormat="1" x14ac:dyDescent="0.2">
      <c r="A4393"/>
      <c r="B4393"/>
      <c r="C4393"/>
      <c r="D4393"/>
      <c r="E4393"/>
      <c r="F4393"/>
      <c r="G4393"/>
      <c r="U4393"/>
      <c r="V4393"/>
      <c r="W4393"/>
      <c r="X4393"/>
      <c r="Y4393"/>
      <c r="Z4393"/>
      <c r="AA4393"/>
      <c r="AB4393"/>
      <c r="AL4393"/>
      <c r="AM4393"/>
      <c r="AN4393"/>
      <c r="AO4393"/>
    </row>
    <row r="4394" spans="1:41" s="2" customFormat="1" x14ac:dyDescent="0.2">
      <c r="A4394"/>
      <c r="B4394"/>
      <c r="C4394"/>
      <c r="D4394"/>
      <c r="E4394"/>
      <c r="F4394"/>
      <c r="G4394"/>
      <c r="U4394"/>
      <c r="V4394"/>
      <c r="W4394"/>
      <c r="X4394"/>
      <c r="Y4394"/>
      <c r="Z4394"/>
      <c r="AA4394"/>
      <c r="AB4394"/>
      <c r="AL4394"/>
      <c r="AM4394"/>
      <c r="AN4394"/>
      <c r="AO4394"/>
    </row>
    <row r="4395" spans="1:41" s="2" customFormat="1" x14ac:dyDescent="0.2">
      <c r="A4395"/>
      <c r="B4395"/>
      <c r="C4395"/>
      <c r="D4395"/>
      <c r="E4395"/>
      <c r="F4395"/>
      <c r="G4395"/>
      <c r="U4395"/>
      <c r="V4395"/>
      <c r="W4395"/>
      <c r="X4395"/>
      <c r="Y4395"/>
      <c r="Z4395"/>
      <c r="AA4395"/>
      <c r="AB4395"/>
      <c r="AL4395"/>
      <c r="AM4395"/>
      <c r="AN4395"/>
      <c r="AO4395"/>
    </row>
    <row r="4396" spans="1:41" s="2" customFormat="1" x14ac:dyDescent="0.2">
      <c r="A4396"/>
      <c r="B4396"/>
      <c r="C4396"/>
      <c r="D4396"/>
      <c r="E4396"/>
      <c r="F4396"/>
      <c r="G4396"/>
      <c r="U4396"/>
      <c r="V4396"/>
      <c r="W4396"/>
      <c r="X4396"/>
      <c r="Y4396"/>
      <c r="Z4396"/>
      <c r="AA4396"/>
      <c r="AB4396"/>
      <c r="AL4396"/>
      <c r="AM4396"/>
      <c r="AN4396"/>
      <c r="AO4396"/>
    </row>
    <row r="4397" spans="1:41" s="2" customFormat="1" x14ac:dyDescent="0.2">
      <c r="A4397"/>
      <c r="B4397"/>
      <c r="C4397"/>
      <c r="D4397"/>
      <c r="E4397"/>
      <c r="F4397"/>
      <c r="G4397"/>
      <c r="U4397"/>
      <c r="V4397"/>
      <c r="W4397"/>
      <c r="X4397"/>
      <c r="Y4397"/>
      <c r="Z4397"/>
      <c r="AA4397"/>
      <c r="AB4397"/>
      <c r="AL4397"/>
      <c r="AM4397"/>
      <c r="AN4397"/>
      <c r="AO4397"/>
    </row>
    <row r="4398" spans="1:41" s="2" customFormat="1" x14ac:dyDescent="0.2">
      <c r="A4398"/>
      <c r="B4398"/>
      <c r="C4398"/>
      <c r="D4398"/>
      <c r="E4398"/>
      <c r="F4398"/>
      <c r="G4398"/>
      <c r="U4398"/>
      <c r="V4398"/>
      <c r="W4398"/>
      <c r="X4398"/>
      <c r="Y4398"/>
      <c r="Z4398"/>
      <c r="AA4398"/>
      <c r="AB4398"/>
      <c r="AL4398"/>
      <c r="AM4398"/>
      <c r="AN4398"/>
      <c r="AO4398"/>
    </row>
    <row r="4399" spans="1:41" s="2" customFormat="1" x14ac:dyDescent="0.2">
      <c r="A4399"/>
      <c r="B4399"/>
      <c r="C4399"/>
      <c r="D4399"/>
      <c r="E4399"/>
      <c r="F4399"/>
      <c r="G4399"/>
      <c r="U4399"/>
      <c r="V4399"/>
      <c r="W4399"/>
      <c r="X4399"/>
      <c r="Y4399"/>
      <c r="Z4399"/>
      <c r="AA4399"/>
      <c r="AB4399"/>
      <c r="AL4399"/>
      <c r="AM4399"/>
      <c r="AN4399"/>
      <c r="AO4399"/>
    </row>
    <row r="4400" spans="1:41" s="2" customFormat="1" x14ac:dyDescent="0.2">
      <c r="A4400"/>
      <c r="B4400"/>
      <c r="C4400"/>
      <c r="D4400"/>
      <c r="E4400"/>
      <c r="F4400"/>
      <c r="G4400"/>
      <c r="U4400"/>
      <c r="V4400"/>
      <c r="W4400"/>
      <c r="X4400"/>
      <c r="Y4400"/>
      <c r="Z4400"/>
      <c r="AA4400"/>
      <c r="AB4400"/>
      <c r="AL4400"/>
      <c r="AM4400"/>
      <c r="AN4400"/>
      <c r="AO4400"/>
    </row>
    <row r="4401" spans="1:41" s="2" customFormat="1" x14ac:dyDescent="0.2">
      <c r="A4401"/>
      <c r="B4401"/>
      <c r="C4401"/>
      <c r="D4401"/>
      <c r="E4401"/>
      <c r="F4401"/>
      <c r="G4401"/>
      <c r="U4401"/>
      <c r="V4401"/>
      <c r="W4401"/>
      <c r="X4401"/>
      <c r="Y4401"/>
      <c r="Z4401"/>
      <c r="AA4401"/>
      <c r="AB4401"/>
      <c r="AL4401"/>
      <c r="AM4401"/>
      <c r="AN4401"/>
      <c r="AO4401"/>
    </row>
    <row r="4402" spans="1:41" s="2" customFormat="1" x14ac:dyDescent="0.2">
      <c r="A4402"/>
      <c r="B4402"/>
      <c r="C4402"/>
      <c r="D4402"/>
      <c r="E4402"/>
      <c r="F4402"/>
      <c r="G4402"/>
      <c r="U4402"/>
      <c r="V4402"/>
      <c r="W4402"/>
      <c r="X4402"/>
      <c r="Y4402"/>
      <c r="Z4402"/>
      <c r="AA4402"/>
      <c r="AB4402"/>
      <c r="AL4402"/>
      <c r="AM4402"/>
      <c r="AN4402"/>
      <c r="AO4402"/>
    </row>
    <row r="4403" spans="1:41" s="2" customFormat="1" x14ac:dyDescent="0.2">
      <c r="A4403"/>
      <c r="B4403"/>
      <c r="C4403"/>
      <c r="D4403"/>
      <c r="E4403"/>
      <c r="F4403"/>
      <c r="G4403"/>
      <c r="U4403"/>
      <c r="V4403"/>
      <c r="W4403"/>
      <c r="X4403"/>
      <c r="Y4403"/>
      <c r="Z4403"/>
      <c r="AA4403"/>
      <c r="AB4403"/>
      <c r="AL4403"/>
      <c r="AM4403"/>
      <c r="AN4403"/>
      <c r="AO4403"/>
    </row>
    <row r="4404" spans="1:41" s="2" customFormat="1" x14ac:dyDescent="0.2">
      <c r="A4404"/>
      <c r="B4404"/>
      <c r="C4404"/>
      <c r="D4404"/>
      <c r="E4404"/>
      <c r="F4404"/>
      <c r="G4404"/>
      <c r="U4404"/>
      <c r="V4404"/>
      <c r="W4404"/>
      <c r="X4404"/>
      <c r="Y4404"/>
      <c r="Z4404"/>
      <c r="AA4404"/>
      <c r="AB4404"/>
      <c r="AL4404"/>
      <c r="AM4404"/>
      <c r="AN4404"/>
      <c r="AO4404"/>
    </row>
    <row r="4405" spans="1:41" s="2" customFormat="1" x14ac:dyDescent="0.2">
      <c r="A4405"/>
      <c r="B4405"/>
      <c r="C4405"/>
      <c r="D4405"/>
      <c r="E4405"/>
      <c r="F4405"/>
      <c r="G4405"/>
      <c r="U4405"/>
      <c r="V4405"/>
      <c r="W4405"/>
      <c r="X4405"/>
      <c r="Y4405"/>
      <c r="Z4405"/>
      <c r="AA4405"/>
      <c r="AB4405"/>
      <c r="AL4405"/>
      <c r="AM4405"/>
      <c r="AN4405"/>
      <c r="AO4405"/>
    </row>
    <row r="4406" spans="1:41" s="2" customFormat="1" x14ac:dyDescent="0.2">
      <c r="A4406"/>
      <c r="B4406"/>
      <c r="C4406"/>
      <c r="D4406"/>
      <c r="E4406"/>
      <c r="F4406"/>
      <c r="G4406"/>
      <c r="U4406"/>
      <c r="V4406"/>
      <c r="W4406"/>
      <c r="X4406"/>
      <c r="Y4406"/>
      <c r="Z4406"/>
      <c r="AA4406"/>
      <c r="AB4406"/>
      <c r="AL4406"/>
      <c r="AM4406"/>
      <c r="AN4406"/>
      <c r="AO4406"/>
    </row>
    <row r="4407" spans="1:41" s="2" customFormat="1" x14ac:dyDescent="0.2">
      <c r="A4407"/>
      <c r="B4407"/>
      <c r="C4407"/>
      <c r="D4407"/>
      <c r="E4407"/>
      <c r="F4407"/>
      <c r="G4407"/>
      <c r="U4407"/>
      <c r="V4407"/>
      <c r="W4407"/>
      <c r="X4407"/>
      <c r="Y4407"/>
      <c r="Z4407"/>
      <c r="AA4407"/>
      <c r="AB4407"/>
      <c r="AL4407"/>
      <c r="AM4407"/>
      <c r="AN4407"/>
      <c r="AO4407"/>
    </row>
    <row r="4408" spans="1:41" s="2" customFormat="1" x14ac:dyDescent="0.2">
      <c r="A4408"/>
      <c r="B4408"/>
      <c r="C4408"/>
      <c r="D4408"/>
      <c r="E4408"/>
      <c r="F4408"/>
      <c r="G4408"/>
      <c r="U4408"/>
      <c r="V4408"/>
      <c r="W4408"/>
      <c r="X4408"/>
      <c r="Y4408"/>
      <c r="Z4408"/>
      <c r="AA4408"/>
      <c r="AB4408"/>
      <c r="AL4408"/>
      <c r="AM4408"/>
      <c r="AN4408"/>
      <c r="AO4408"/>
    </row>
    <row r="4409" spans="1:41" s="2" customFormat="1" x14ac:dyDescent="0.2">
      <c r="A4409"/>
      <c r="B4409"/>
      <c r="C4409"/>
      <c r="D4409"/>
      <c r="E4409"/>
      <c r="F4409"/>
      <c r="G4409"/>
      <c r="U4409"/>
      <c r="V4409"/>
      <c r="W4409"/>
      <c r="X4409"/>
      <c r="Y4409"/>
      <c r="Z4409"/>
      <c r="AA4409"/>
      <c r="AB4409"/>
      <c r="AL4409"/>
      <c r="AM4409"/>
      <c r="AN4409"/>
      <c r="AO4409"/>
    </row>
    <row r="4410" spans="1:41" s="2" customFormat="1" x14ac:dyDescent="0.2">
      <c r="A4410"/>
      <c r="B4410"/>
      <c r="C4410"/>
      <c r="D4410"/>
      <c r="E4410"/>
      <c r="F4410"/>
      <c r="G4410"/>
      <c r="U4410"/>
      <c r="V4410"/>
      <c r="W4410"/>
      <c r="X4410"/>
      <c r="Y4410"/>
      <c r="Z4410"/>
      <c r="AA4410"/>
      <c r="AB4410"/>
      <c r="AL4410"/>
      <c r="AM4410"/>
      <c r="AN4410"/>
      <c r="AO4410"/>
    </row>
    <row r="4411" spans="1:41" s="2" customFormat="1" x14ac:dyDescent="0.2">
      <c r="A4411"/>
      <c r="B4411"/>
      <c r="C4411"/>
      <c r="D4411"/>
      <c r="E4411"/>
      <c r="F4411"/>
      <c r="G4411"/>
      <c r="U4411"/>
      <c r="V4411"/>
      <c r="W4411"/>
      <c r="X4411"/>
      <c r="Y4411"/>
      <c r="Z4411"/>
      <c r="AA4411"/>
      <c r="AB4411"/>
      <c r="AL4411"/>
      <c r="AM4411"/>
      <c r="AN4411"/>
      <c r="AO4411"/>
    </row>
    <row r="4412" spans="1:41" s="2" customFormat="1" x14ac:dyDescent="0.2">
      <c r="A4412"/>
      <c r="B4412"/>
      <c r="C4412"/>
      <c r="D4412"/>
      <c r="E4412"/>
      <c r="F4412"/>
      <c r="G4412"/>
      <c r="U4412"/>
      <c r="V4412"/>
      <c r="W4412"/>
      <c r="X4412"/>
      <c r="Y4412"/>
      <c r="Z4412"/>
      <c r="AA4412"/>
      <c r="AB4412"/>
      <c r="AL4412"/>
      <c r="AM4412"/>
      <c r="AN4412"/>
      <c r="AO4412"/>
    </row>
    <row r="4413" spans="1:41" s="2" customFormat="1" x14ac:dyDescent="0.2">
      <c r="A4413"/>
      <c r="B4413"/>
      <c r="C4413"/>
      <c r="D4413"/>
      <c r="E4413"/>
      <c r="F4413"/>
      <c r="G4413"/>
      <c r="U4413"/>
      <c r="V4413"/>
      <c r="W4413"/>
      <c r="X4413"/>
      <c r="Y4413"/>
      <c r="Z4413"/>
      <c r="AA4413"/>
      <c r="AB4413"/>
      <c r="AL4413"/>
      <c r="AM4413"/>
      <c r="AN4413"/>
      <c r="AO4413"/>
    </row>
    <row r="4414" spans="1:41" s="2" customFormat="1" x14ac:dyDescent="0.2">
      <c r="A4414"/>
      <c r="B4414"/>
      <c r="C4414"/>
      <c r="D4414"/>
      <c r="E4414"/>
      <c r="F4414"/>
      <c r="G4414"/>
      <c r="U4414"/>
      <c r="V4414"/>
      <c r="W4414"/>
      <c r="X4414"/>
      <c r="Y4414"/>
      <c r="Z4414"/>
      <c r="AA4414"/>
      <c r="AB4414"/>
      <c r="AL4414"/>
      <c r="AM4414"/>
      <c r="AN4414"/>
      <c r="AO4414"/>
    </row>
    <row r="4415" spans="1:41" s="2" customFormat="1" x14ac:dyDescent="0.2">
      <c r="A4415"/>
      <c r="B4415"/>
      <c r="C4415"/>
      <c r="D4415"/>
      <c r="E4415"/>
      <c r="F4415"/>
      <c r="G4415"/>
      <c r="U4415"/>
      <c r="V4415"/>
      <c r="W4415"/>
      <c r="X4415"/>
      <c r="Y4415"/>
      <c r="Z4415"/>
      <c r="AA4415"/>
      <c r="AB4415"/>
      <c r="AL4415"/>
      <c r="AM4415"/>
      <c r="AN4415"/>
      <c r="AO4415"/>
    </row>
    <row r="4416" spans="1:41" s="2" customFormat="1" x14ac:dyDescent="0.2">
      <c r="A4416"/>
      <c r="B4416"/>
      <c r="C4416"/>
      <c r="D4416"/>
      <c r="E4416"/>
      <c r="F4416"/>
      <c r="G4416"/>
      <c r="U4416"/>
      <c r="V4416"/>
      <c r="W4416"/>
      <c r="X4416"/>
      <c r="Y4416"/>
      <c r="Z4416"/>
      <c r="AA4416"/>
      <c r="AB4416"/>
      <c r="AL4416"/>
      <c r="AM4416"/>
      <c r="AN4416"/>
      <c r="AO4416"/>
    </row>
    <row r="4417" spans="1:41" s="2" customFormat="1" x14ac:dyDescent="0.2">
      <c r="A4417"/>
      <c r="B4417"/>
      <c r="C4417"/>
      <c r="D4417"/>
      <c r="E4417"/>
      <c r="F4417"/>
      <c r="G4417"/>
      <c r="U4417"/>
      <c r="V4417"/>
      <c r="W4417"/>
      <c r="X4417"/>
      <c r="Y4417"/>
      <c r="Z4417"/>
      <c r="AA4417"/>
      <c r="AB4417"/>
      <c r="AL4417"/>
      <c r="AM4417"/>
      <c r="AN4417"/>
      <c r="AO4417"/>
    </row>
    <row r="4418" spans="1:41" s="2" customFormat="1" x14ac:dyDescent="0.2">
      <c r="A4418"/>
      <c r="B4418"/>
      <c r="C4418"/>
      <c r="D4418"/>
      <c r="E4418"/>
      <c r="F4418"/>
      <c r="G4418"/>
      <c r="U4418"/>
      <c r="V4418"/>
      <c r="W4418"/>
      <c r="X4418"/>
      <c r="Y4418"/>
      <c r="Z4418"/>
      <c r="AA4418"/>
      <c r="AB4418"/>
      <c r="AL4418"/>
      <c r="AM4418"/>
      <c r="AN4418"/>
      <c r="AO4418"/>
    </row>
    <row r="4419" spans="1:41" s="2" customFormat="1" x14ac:dyDescent="0.2">
      <c r="A4419"/>
      <c r="B4419"/>
      <c r="C4419"/>
      <c r="D4419"/>
      <c r="E4419"/>
      <c r="F4419"/>
      <c r="G4419"/>
      <c r="U4419"/>
      <c r="V4419"/>
      <c r="W4419"/>
      <c r="X4419"/>
      <c r="Y4419"/>
      <c r="Z4419"/>
      <c r="AA4419"/>
      <c r="AB4419"/>
      <c r="AL4419"/>
      <c r="AM4419"/>
      <c r="AN4419"/>
      <c r="AO4419"/>
    </row>
    <row r="4420" spans="1:41" s="2" customFormat="1" x14ac:dyDescent="0.2">
      <c r="A4420"/>
      <c r="B4420"/>
      <c r="C4420"/>
      <c r="D4420"/>
      <c r="E4420"/>
      <c r="F4420"/>
      <c r="G4420"/>
      <c r="U4420"/>
      <c r="V4420"/>
      <c r="W4420"/>
      <c r="X4420"/>
      <c r="Y4420"/>
      <c r="Z4420"/>
      <c r="AA4420"/>
      <c r="AB4420"/>
      <c r="AL4420"/>
      <c r="AM4420"/>
      <c r="AN4420"/>
      <c r="AO4420"/>
    </row>
    <row r="4421" spans="1:41" s="2" customFormat="1" x14ac:dyDescent="0.2">
      <c r="A4421"/>
      <c r="B4421"/>
      <c r="C4421"/>
      <c r="D4421"/>
      <c r="E4421"/>
      <c r="F4421"/>
      <c r="G4421"/>
      <c r="U4421"/>
      <c r="V4421"/>
      <c r="W4421"/>
      <c r="X4421"/>
      <c r="Y4421"/>
      <c r="Z4421"/>
      <c r="AA4421"/>
      <c r="AB4421"/>
      <c r="AL4421"/>
      <c r="AM4421"/>
      <c r="AN4421"/>
      <c r="AO4421"/>
    </row>
    <row r="4422" spans="1:41" s="2" customFormat="1" x14ac:dyDescent="0.2">
      <c r="A4422"/>
      <c r="B4422"/>
      <c r="C4422"/>
      <c r="D4422"/>
      <c r="E4422"/>
      <c r="F4422"/>
      <c r="G4422"/>
      <c r="U4422"/>
      <c r="V4422"/>
      <c r="W4422"/>
      <c r="X4422"/>
      <c r="Y4422"/>
      <c r="Z4422"/>
      <c r="AA4422"/>
      <c r="AB4422"/>
      <c r="AL4422"/>
      <c r="AM4422"/>
      <c r="AN4422"/>
      <c r="AO4422"/>
    </row>
    <row r="4423" spans="1:41" s="2" customFormat="1" x14ac:dyDescent="0.2">
      <c r="A4423"/>
      <c r="B4423"/>
      <c r="C4423"/>
      <c r="D4423"/>
      <c r="E4423"/>
      <c r="F4423"/>
      <c r="G4423"/>
      <c r="U4423"/>
      <c r="V4423"/>
      <c r="W4423"/>
      <c r="X4423"/>
      <c r="Y4423"/>
      <c r="Z4423"/>
      <c r="AA4423"/>
      <c r="AB4423"/>
      <c r="AL4423"/>
      <c r="AM4423"/>
      <c r="AN4423"/>
      <c r="AO4423"/>
    </row>
    <row r="4424" spans="1:41" s="2" customFormat="1" x14ac:dyDescent="0.2">
      <c r="A4424"/>
      <c r="B4424"/>
      <c r="C4424"/>
      <c r="D4424"/>
      <c r="E4424"/>
      <c r="F4424"/>
      <c r="G4424"/>
      <c r="U4424"/>
      <c r="V4424"/>
      <c r="W4424"/>
      <c r="X4424"/>
      <c r="Y4424"/>
      <c r="Z4424"/>
      <c r="AA4424"/>
      <c r="AB4424"/>
      <c r="AL4424"/>
      <c r="AM4424"/>
      <c r="AN4424"/>
      <c r="AO4424"/>
    </row>
    <row r="4425" spans="1:41" s="2" customFormat="1" x14ac:dyDescent="0.2">
      <c r="A4425"/>
      <c r="B4425"/>
      <c r="C4425"/>
      <c r="D4425"/>
      <c r="E4425"/>
      <c r="F4425"/>
      <c r="G4425"/>
      <c r="U4425"/>
      <c r="V4425"/>
      <c r="W4425"/>
      <c r="X4425"/>
      <c r="Y4425"/>
      <c r="Z4425"/>
      <c r="AA4425"/>
      <c r="AB4425"/>
      <c r="AL4425"/>
      <c r="AM4425"/>
      <c r="AN4425"/>
      <c r="AO4425"/>
    </row>
    <row r="4426" spans="1:41" s="2" customFormat="1" x14ac:dyDescent="0.2">
      <c r="A4426"/>
      <c r="B4426"/>
      <c r="C4426"/>
      <c r="D4426"/>
      <c r="E4426"/>
      <c r="F4426"/>
      <c r="G4426"/>
      <c r="U4426"/>
      <c r="V4426"/>
      <c r="W4426"/>
      <c r="X4426"/>
      <c r="Y4426"/>
      <c r="Z4426"/>
      <c r="AA4426"/>
      <c r="AB4426"/>
      <c r="AL4426"/>
      <c r="AM4426"/>
      <c r="AN4426"/>
      <c r="AO4426"/>
    </row>
    <row r="4427" spans="1:41" s="2" customFormat="1" x14ac:dyDescent="0.2">
      <c r="A4427"/>
      <c r="B4427"/>
      <c r="C4427"/>
      <c r="D4427"/>
      <c r="E4427"/>
      <c r="F4427"/>
      <c r="G4427"/>
      <c r="U4427"/>
      <c r="V4427"/>
      <c r="W4427"/>
      <c r="X4427"/>
      <c r="Y4427"/>
      <c r="Z4427"/>
      <c r="AA4427"/>
      <c r="AB4427"/>
      <c r="AL4427"/>
      <c r="AM4427"/>
      <c r="AN4427"/>
      <c r="AO4427"/>
    </row>
    <row r="4428" spans="1:41" s="2" customFormat="1" x14ac:dyDescent="0.2">
      <c r="A4428"/>
      <c r="B4428"/>
      <c r="C4428"/>
      <c r="D4428"/>
      <c r="E4428"/>
      <c r="F4428"/>
      <c r="G4428"/>
      <c r="U4428"/>
      <c r="V4428"/>
      <c r="W4428"/>
      <c r="X4428"/>
      <c r="Y4428"/>
      <c r="Z4428"/>
      <c r="AA4428"/>
      <c r="AB4428"/>
      <c r="AL4428"/>
      <c r="AM4428"/>
      <c r="AN4428"/>
      <c r="AO4428"/>
    </row>
    <row r="4429" spans="1:41" s="2" customFormat="1" x14ac:dyDescent="0.2">
      <c r="A4429"/>
      <c r="B4429"/>
      <c r="C4429"/>
      <c r="D4429"/>
      <c r="E4429"/>
      <c r="F4429"/>
      <c r="G4429"/>
      <c r="U4429"/>
      <c r="V4429"/>
      <c r="W4429"/>
      <c r="X4429"/>
      <c r="Y4429"/>
      <c r="Z4429"/>
      <c r="AA4429"/>
      <c r="AB4429"/>
      <c r="AL4429"/>
      <c r="AM4429"/>
      <c r="AN4429"/>
      <c r="AO4429"/>
    </row>
    <row r="4430" spans="1:41" s="2" customFormat="1" x14ac:dyDescent="0.2">
      <c r="A4430"/>
      <c r="B4430"/>
      <c r="C4430"/>
      <c r="D4430"/>
      <c r="E4430"/>
      <c r="F4430"/>
      <c r="G4430"/>
      <c r="U4430"/>
      <c r="V4430"/>
      <c r="W4430"/>
      <c r="X4430"/>
      <c r="Y4430"/>
      <c r="Z4430"/>
      <c r="AA4430"/>
      <c r="AB4430"/>
      <c r="AL4430"/>
      <c r="AM4430"/>
      <c r="AN4430"/>
      <c r="AO4430"/>
    </row>
    <row r="4431" spans="1:41" s="2" customFormat="1" x14ac:dyDescent="0.2">
      <c r="A4431"/>
      <c r="B4431"/>
      <c r="C4431"/>
      <c r="D4431"/>
      <c r="E4431"/>
      <c r="F4431"/>
      <c r="G4431"/>
      <c r="U4431"/>
      <c r="V4431"/>
      <c r="W4431"/>
      <c r="X4431"/>
      <c r="Y4431"/>
      <c r="Z4431"/>
      <c r="AA4431"/>
      <c r="AB4431"/>
      <c r="AL4431"/>
      <c r="AM4431"/>
      <c r="AN4431"/>
      <c r="AO4431"/>
    </row>
    <row r="4432" spans="1:41" s="2" customFormat="1" x14ac:dyDescent="0.2">
      <c r="A4432"/>
      <c r="B4432"/>
      <c r="C4432"/>
      <c r="D4432"/>
      <c r="E4432"/>
      <c r="F4432"/>
      <c r="G4432"/>
      <c r="U4432"/>
      <c r="V4432"/>
      <c r="W4432"/>
      <c r="X4432"/>
      <c r="Y4432"/>
      <c r="Z4432"/>
      <c r="AA4432"/>
      <c r="AB4432"/>
      <c r="AL4432"/>
      <c r="AM4432"/>
      <c r="AN4432"/>
      <c r="AO4432"/>
    </row>
    <row r="4433" spans="1:41" s="2" customFormat="1" x14ac:dyDescent="0.2">
      <c r="A4433"/>
      <c r="B4433"/>
      <c r="C4433"/>
      <c r="D4433"/>
      <c r="E4433"/>
      <c r="F4433"/>
      <c r="G4433"/>
      <c r="U4433"/>
      <c r="V4433"/>
      <c r="W4433"/>
      <c r="X4433"/>
      <c r="Y4433"/>
      <c r="Z4433"/>
      <c r="AA4433"/>
      <c r="AB4433"/>
      <c r="AL4433"/>
      <c r="AM4433"/>
      <c r="AN4433"/>
      <c r="AO4433"/>
    </row>
    <row r="4434" spans="1:41" s="2" customFormat="1" x14ac:dyDescent="0.2">
      <c r="A4434"/>
      <c r="B4434"/>
      <c r="C4434"/>
      <c r="D4434"/>
      <c r="E4434"/>
      <c r="F4434"/>
      <c r="G4434"/>
      <c r="U4434"/>
      <c r="V4434"/>
      <c r="W4434"/>
      <c r="X4434"/>
      <c r="Y4434"/>
      <c r="Z4434"/>
      <c r="AA4434"/>
      <c r="AB4434"/>
      <c r="AL4434"/>
      <c r="AM4434"/>
      <c r="AN4434"/>
      <c r="AO4434"/>
    </row>
    <row r="4435" spans="1:41" s="2" customFormat="1" x14ac:dyDescent="0.2">
      <c r="A4435"/>
      <c r="B4435"/>
      <c r="C4435"/>
      <c r="D4435"/>
      <c r="E4435"/>
      <c r="F4435"/>
      <c r="G4435"/>
      <c r="U4435"/>
      <c r="V4435"/>
      <c r="W4435"/>
      <c r="X4435"/>
      <c r="Y4435"/>
      <c r="Z4435"/>
      <c r="AA4435"/>
      <c r="AB4435"/>
      <c r="AL4435"/>
      <c r="AM4435"/>
      <c r="AN4435"/>
      <c r="AO4435"/>
    </row>
    <row r="4436" spans="1:41" s="2" customFormat="1" x14ac:dyDescent="0.2">
      <c r="A4436"/>
      <c r="B4436"/>
      <c r="C4436"/>
      <c r="D4436"/>
      <c r="E4436"/>
      <c r="F4436"/>
      <c r="G4436"/>
      <c r="U4436"/>
      <c r="V4436"/>
      <c r="W4436"/>
      <c r="X4436"/>
      <c r="Y4436"/>
      <c r="Z4436"/>
      <c r="AA4436"/>
      <c r="AB4436"/>
      <c r="AL4436"/>
      <c r="AM4436"/>
      <c r="AN4436"/>
      <c r="AO4436"/>
    </row>
    <row r="4437" spans="1:41" s="2" customFormat="1" x14ac:dyDescent="0.2">
      <c r="A4437"/>
      <c r="B4437"/>
      <c r="C4437"/>
      <c r="D4437"/>
      <c r="E4437"/>
      <c r="F4437"/>
      <c r="G4437"/>
      <c r="U4437"/>
      <c r="V4437"/>
      <c r="W4437"/>
      <c r="X4437"/>
      <c r="Y4437"/>
      <c r="Z4437"/>
      <c r="AA4437"/>
      <c r="AB4437"/>
      <c r="AL4437"/>
      <c r="AM4437"/>
      <c r="AN4437"/>
      <c r="AO4437"/>
    </row>
    <row r="4438" spans="1:41" s="2" customFormat="1" x14ac:dyDescent="0.2">
      <c r="A4438"/>
      <c r="B4438"/>
      <c r="C4438"/>
      <c r="D4438"/>
      <c r="E4438"/>
      <c r="F4438"/>
      <c r="G4438"/>
      <c r="U4438"/>
      <c r="V4438"/>
      <c r="W4438"/>
      <c r="X4438"/>
      <c r="Y4438"/>
      <c r="Z4438"/>
      <c r="AA4438"/>
      <c r="AB4438"/>
      <c r="AL4438"/>
      <c r="AM4438"/>
      <c r="AN4438"/>
      <c r="AO4438"/>
    </row>
    <row r="4439" spans="1:41" s="2" customFormat="1" x14ac:dyDescent="0.2">
      <c r="A4439"/>
      <c r="B4439"/>
      <c r="C4439"/>
      <c r="D4439"/>
      <c r="E4439"/>
      <c r="F4439"/>
      <c r="G4439"/>
      <c r="U4439"/>
      <c r="V4439"/>
      <c r="W4439"/>
      <c r="X4439"/>
      <c r="Y4439"/>
      <c r="Z4439"/>
      <c r="AA4439"/>
      <c r="AB4439"/>
      <c r="AL4439"/>
      <c r="AM4439"/>
      <c r="AN4439"/>
      <c r="AO4439"/>
    </row>
    <row r="4440" spans="1:41" s="2" customFormat="1" x14ac:dyDescent="0.2">
      <c r="A4440"/>
      <c r="B4440"/>
      <c r="C4440"/>
      <c r="D4440"/>
      <c r="E4440"/>
      <c r="F4440"/>
      <c r="G4440"/>
      <c r="U4440"/>
      <c r="V4440"/>
      <c r="W4440"/>
      <c r="X4440"/>
      <c r="Y4440"/>
      <c r="Z4440"/>
      <c r="AA4440"/>
      <c r="AB4440"/>
      <c r="AL4440"/>
      <c r="AM4440"/>
      <c r="AN4440"/>
      <c r="AO4440"/>
    </row>
    <row r="4441" spans="1:41" s="2" customFormat="1" x14ac:dyDescent="0.2">
      <c r="A4441"/>
      <c r="B4441"/>
      <c r="C4441"/>
      <c r="D4441"/>
      <c r="E4441"/>
      <c r="F4441"/>
      <c r="G4441"/>
      <c r="U4441"/>
      <c r="V4441"/>
      <c r="W4441"/>
      <c r="X4441"/>
      <c r="Y4441"/>
      <c r="Z4441"/>
      <c r="AA4441"/>
      <c r="AB4441"/>
      <c r="AL4441"/>
      <c r="AM4441"/>
      <c r="AN4441"/>
      <c r="AO4441"/>
    </row>
    <row r="4442" spans="1:41" s="2" customFormat="1" x14ac:dyDescent="0.2">
      <c r="A4442"/>
      <c r="B4442"/>
      <c r="C4442"/>
      <c r="D4442"/>
      <c r="E4442"/>
      <c r="F4442"/>
      <c r="G4442"/>
      <c r="U4442"/>
      <c r="V4442"/>
      <c r="W4442"/>
      <c r="X4442"/>
      <c r="Y4442"/>
      <c r="Z4442"/>
      <c r="AA4442"/>
      <c r="AB4442"/>
      <c r="AL4442"/>
      <c r="AM4442"/>
      <c r="AN4442"/>
      <c r="AO4442"/>
    </row>
    <row r="4443" spans="1:41" s="2" customFormat="1" x14ac:dyDescent="0.2">
      <c r="A4443"/>
      <c r="B4443"/>
      <c r="C4443"/>
      <c r="D4443"/>
      <c r="E4443"/>
      <c r="F4443"/>
      <c r="G4443"/>
      <c r="U4443"/>
      <c r="V4443"/>
      <c r="W4443"/>
      <c r="X4443"/>
      <c r="Y4443"/>
      <c r="Z4443"/>
      <c r="AA4443"/>
      <c r="AB4443"/>
      <c r="AL4443"/>
      <c r="AM4443"/>
      <c r="AN4443"/>
      <c r="AO4443"/>
    </row>
    <row r="4444" spans="1:41" s="2" customFormat="1" x14ac:dyDescent="0.2">
      <c r="A4444"/>
      <c r="B4444"/>
      <c r="C4444"/>
      <c r="D4444"/>
      <c r="E4444"/>
      <c r="F4444"/>
      <c r="G4444"/>
      <c r="U4444"/>
      <c r="V4444"/>
      <c r="W4444"/>
      <c r="X4444"/>
      <c r="Y4444"/>
      <c r="Z4444"/>
      <c r="AA4444"/>
      <c r="AB4444"/>
      <c r="AL4444"/>
      <c r="AM4444"/>
      <c r="AN4444"/>
      <c r="AO4444"/>
    </row>
    <row r="4445" spans="1:41" s="2" customFormat="1" x14ac:dyDescent="0.2">
      <c r="A4445"/>
      <c r="B4445"/>
      <c r="C4445"/>
      <c r="D4445"/>
      <c r="E4445"/>
      <c r="F4445"/>
      <c r="G4445"/>
      <c r="U4445"/>
      <c r="V4445"/>
      <c r="W4445"/>
      <c r="X4445"/>
      <c r="Y4445"/>
      <c r="Z4445"/>
      <c r="AA4445"/>
      <c r="AB4445"/>
      <c r="AL4445"/>
      <c r="AM4445"/>
      <c r="AN4445"/>
      <c r="AO4445"/>
    </row>
    <row r="4446" spans="1:41" s="2" customFormat="1" x14ac:dyDescent="0.2">
      <c r="A4446"/>
      <c r="B4446"/>
      <c r="C4446"/>
      <c r="D4446"/>
      <c r="E4446"/>
      <c r="F4446"/>
      <c r="G4446"/>
      <c r="U4446"/>
      <c r="V4446"/>
      <c r="W4446"/>
      <c r="X4446"/>
      <c r="Y4446"/>
      <c r="Z4446"/>
      <c r="AA4446"/>
      <c r="AB4446"/>
      <c r="AL4446"/>
      <c r="AM4446"/>
      <c r="AN4446"/>
      <c r="AO4446"/>
    </row>
    <row r="4447" spans="1:41" s="2" customFormat="1" x14ac:dyDescent="0.2">
      <c r="A4447"/>
      <c r="B4447"/>
      <c r="C4447"/>
      <c r="D4447"/>
      <c r="E4447"/>
      <c r="F4447"/>
      <c r="G4447"/>
      <c r="U4447"/>
      <c r="V4447"/>
      <c r="W4447"/>
      <c r="X4447"/>
      <c r="Y4447"/>
      <c r="Z4447"/>
      <c r="AA4447"/>
      <c r="AB4447"/>
      <c r="AL4447"/>
      <c r="AM4447"/>
      <c r="AN4447"/>
      <c r="AO4447"/>
    </row>
    <row r="4448" spans="1:41" s="2" customFormat="1" x14ac:dyDescent="0.2">
      <c r="A4448"/>
      <c r="B4448"/>
      <c r="C4448"/>
      <c r="D4448"/>
      <c r="E4448"/>
      <c r="F4448"/>
      <c r="G4448"/>
      <c r="U4448"/>
      <c r="V4448"/>
      <c r="W4448"/>
      <c r="X4448"/>
      <c r="Y4448"/>
      <c r="Z4448"/>
      <c r="AA4448"/>
      <c r="AB4448"/>
      <c r="AL4448"/>
      <c r="AM4448"/>
      <c r="AN4448"/>
      <c r="AO4448"/>
    </row>
    <row r="4449" spans="1:41" s="2" customFormat="1" x14ac:dyDescent="0.2">
      <c r="A4449"/>
      <c r="B4449"/>
      <c r="C4449"/>
      <c r="D4449"/>
      <c r="E4449"/>
      <c r="F4449"/>
      <c r="G4449"/>
      <c r="U4449"/>
      <c r="V4449"/>
      <c r="W4449"/>
      <c r="X4449"/>
      <c r="Y4449"/>
      <c r="Z4449"/>
      <c r="AA4449"/>
      <c r="AB4449"/>
      <c r="AL4449"/>
      <c r="AM4449"/>
      <c r="AN4449"/>
      <c r="AO4449"/>
    </row>
    <row r="4450" spans="1:41" s="2" customFormat="1" x14ac:dyDescent="0.2">
      <c r="A4450"/>
      <c r="B4450"/>
      <c r="C4450"/>
      <c r="D4450"/>
      <c r="E4450"/>
      <c r="F4450"/>
      <c r="G4450"/>
      <c r="U4450"/>
      <c r="V4450"/>
      <c r="W4450"/>
      <c r="X4450"/>
      <c r="Y4450"/>
      <c r="Z4450"/>
      <c r="AA4450"/>
      <c r="AB4450"/>
      <c r="AL4450"/>
      <c r="AM4450"/>
      <c r="AN4450"/>
      <c r="AO4450"/>
    </row>
    <row r="4451" spans="1:41" s="2" customFormat="1" x14ac:dyDescent="0.2">
      <c r="A4451"/>
      <c r="B4451"/>
      <c r="C4451"/>
      <c r="D4451"/>
      <c r="E4451"/>
      <c r="F4451"/>
      <c r="G4451"/>
      <c r="U4451"/>
      <c r="V4451"/>
      <c r="W4451"/>
      <c r="X4451"/>
      <c r="Y4451"/>
      <c r="Z4451"/>
      <c r="AA4451"/>
      <c r="AB4451"/>
      <c r="AL4451"/>
      <c r="AM4451"/>
      <c r="AN4451"/>
      <c r="AO4451"/>
    </row>
    <row r="4452" spans="1:41" s="2" customFormat="1" x14ac:dyDescent="0.2">
      <c r="A4452"/>
      <c r="B4452"/>
      <c r="C4452"/>
      <c r="D4452"/>
      <c r="E4452"/>
      <c r="F4452"/>
      <c r="G4452"/>
      <c r="U4452"/>
      <c r="V4452"/>
      <c r="W4452"/>
      <c r="X4452"/>
      <c r="Y4452"/>
      <c r="Z4452"/>
      <c r="AA4452"/>
      <c r="AB4452"/>
      <c r="AL4452"/>
      <c r="AM4452"/>
      <c r="AN4452"/>
      <c r="AO4452"/>
    </row>
    <row r="4453" spans="1:41" s="2" customFormat="1" x14ac:dyDescent="0.2">
      <c r="A4453"/>
      <c r="B4453"/>
      <c r="C4453"/>
      <c r="D4453"/>
      <c r="E4453"/>
      <c r="F4453"/>
      <c r="G4453"/>
      <c r="U4453"/>
      <c r="V4453"/>
      <c r="W4453"/>
      <c r="X4453"/>
      <c r="Y4453"/>
      <c r="Z4453"/>
      <c r="AA4453"/>
      <c r="AB4453"/>
      <c r="AL4453"/>
      <c r="AM4453"/>
      <c r="AN4453"/>
      <c r="AO4453"/>
    </row>
    <row r="4454" spans="1:41" s="2" customFormat="1" x14ac:dyDescent="0.2">
      <c r="A4454"/>
      <c r="B4454"/>
      <c r="C4454"/>
      <c r="D4454"/>
      <c r="E4454"/>
      <c r="F4454"/>
      <c r="G4454"/>
      <c r="U4454"/>
      <c r="V4454"/>
      <c r="W4454"/>
      <c r="X4454"/>
      <c r="Y4454"/>
      <c r="Z4454"/>
      <c r="AA4454"/>
      <c r="AB4454"/>
      <c r="AL4454"/>
      <c r="AM4454"/>
      <c r="AN4454"/>
      <c r="AO4454"/>
    </row>
    <row r="4455" spans="1:41" s="2" customFormat="1" x14ac:dyDescent="0.2">
      <c r="A4455"/>
      <c r="B4455"/>
      <c r="C4455"/>
      <c r="D4455"/>
      <c r="E4455"/>
      <c r="F4455"/>
      <c r="G4455"/>
      <c r="U4455"/>
      <c r="V4455"/>
      <c r="W4455"/>
      <c r="X4455"/>
      <c r="Y4455"/>
      <c r="Z4455"/>
      <c r="AA4455"/>
      <c r="AB4455"/>
      <c r="AL4455"/>
      <c r="AM4455"/>
      <c r="AN4455"/>
      <c r="AO4455"/>
    </row>
    <row r="4456" spans="1:41" s="2" customFormat="1" x14ac:dyDescent="0.2">
      <c r="A4456"/>
      <c r="B4456"/>
      <c r="C4456"/>
      <c r="D4456"/>
      <c r="E4456"/>
      <c r="F4456"/>
      <c r="G4456"/>
      <c r="U4456"/>
      <c r="V4456"/>
      <c r="W4456"/>
      <c r="X4456"/>
      <c r="Y4456"/>
      <c r="Z4456"/>
      <c r="AA4456"/>
      <c r="AB4456"/>
      <c r="AL4456"/>
      <c r="AM4456"/>
      <c r="AN4456"/>
      <c r="AO4456"/>
    </row>
    <row r="4457" spans="1:41" s="2" customFormat="1" x14ac:dyDescent="0.2">
      <c r="A4457"/>
      <c r="B4457"/>
      <c r="C4457"/>
      <c r="D4457"/>
      <c r="E4457"/>
      <c r="F4457"/>
      <c r="G4457"/>
      <c r="U4457"/>
      <c r="V4457"/>
      <c r="W4457"/>
      <c r="X4457"/>
      <c r="Y4457"/>
      <c r="Z4457"/>
      <c r="AA4457"/>
      <c r="AB4457"/>
      <c r="AL4457"/>
      <c r="AM4457"/>
      <c r="AN4457"/>
      <c r="AO4457"/>
    </row>
    <row r="4458" spans="1:41" s="2" customFormat="1" x14ac:dyDescent="0.2">
      <c r="A4458"/>
      <c r="B4458"/>
      <c r="C4458"/>
      <c r="D4458"/>
      <c r="E4458"/>
      <c r="F4458"/>
      <c r="G4458"/>
      <c r="U4458"/>
      <c r="V4458"/>
      <c r="W4458"/>
      <c r="X4458"/>
      <c r="Y4458"/>
      <c r="Z4458"/>
      <c r="AA4458"/>
      <c r="AB4458"/>
      <c r="AL4458"/>
      <c r="AM4458"/>
      <c r="AN4458"/>
      <c r="AO4458"/>
    </row>
    <row r="4459" spans="1:41" s="2" customFormat="1" x14ac:dyDescent="0.2">
      <c r="A4459"/>
      <c r="B4459"/>
      <c r="C4459"/>
      <c r="D4459"/>
      <c r="E4459"/>
      <c r="F4459"/>
      <c r="G4459"/>
      <c r="U4459"/>
      <c r="V4459"/>
      <c r="W4459"/>
      <c r="X4459"/>
      <c r="Y4459"/>
      <c r="Z4459"/>
      <c r="AA4459"/>
      <c r="AB4459"/>
      <c r="AL4459"/>
      <c r="AM4459"/>
      <c r="AN4459"/>
      <c r="AO4459"/>
    </row>
    <row r="4460" spans="1:41" s="2" customFormat="1" x14ac:dyDescent="0.2">
      <c r="A4460"/>
      <c r="B4460"/>
      <c r="C4460"/>
      <c r="D4460"/>
      <c r="E4460"/>
      <c r="F4460"/>
      <c r="G4460"/>
      <c r="U4460"/>
      <c r="V4460"/>
      <c r="W4460"/>
      <c r="X4460"/>
      <c r="Y4460"/>
      <c r="Z4460"/>
      <c r="AA4460"/>
      <c r="AB4460"/>
      <c r="AL4460"/>
      <c r="AM4460"/>
      <c r="AN4460"/>
      <c r="AO4460"/>
    </row>
    <row r="4461" spans="1:41" s="2" customFormat="1" x14ac:dyDescent="0.2">
      <c r="A4461"/>
      <c r="B4461"/>
      <c r="C4461"/>
      <c r="D4461"/>
      <c r="E4461"/>
      <c r="F4461"/>
      <c r="G4461"/>
      <c r="U4461"/>
      <c r="V4461"/>
      <c r="W4461"/>
      <c r="X4461"/>
      <c r="Y4461"/>
      <c r="Z4461"/>
      <c r="AA4461"/>
      <c r="AB4461"/>
      <c r="AL4461"/>
      <c r="AM4461"/>
      <c r="AN4461"/>
      <c r="AO4461"/>
    </row>
    <row r="4462" spans="1:41" s="2" customFormat="1" x14ac:dyDescent="0.2">
      <c r="A4462"/>
      <c r="B4462"/>
      <c r="C4462"/>
      <c r="D4462"/>
      <c r="E4462"/>
      <c r="F4462"/>
      <c r="G4462"/>
      <c r="U4462"/>
      <c r="V4462"/>
      <c r="W4462"/>
      <c r="X4462"/>
      <c r="Y4462"/>
      <c r="Z4462"/>
      <c r="AA4462"/>
      <c r="AB4462"/>
      <c r="AL4462"/>
      <c r="AM4462"/>
      <c r="AN4462"/>
      <c r="AO4462"/>
    </row>
    <row r="4463" spans="1:41" s="2" customFormat="1" x14ac:dyDescent="0.2">
      <c r="A4463"/>
      <c r="B4463"/>
      <c r="C4463"/>
      <c r="D4463"/>
      <c r="E4463"/>
      <c r="F4463"/>
      <c r="G4463"/>
      <c r="U4463"/>
      <c r="V4463"/>
      <c r="W4463"/>
      <c r="X4463"/>
      <c r="Y4463"/>
      <c r="Z4463"/>
      <c r="AA4463"/>
      <c r="AB4463"/>
      <c r="AL4463"/>
      <c r="AM4463"/>
      <c r="AN4463"/>
      <c r="AO4463"/>
    </row>
    <row r="4464" spans="1:41" s="2" customFormat="1" x14ac:dyDescent="0.2">
      <c r="A4464"/>
      <c r="B4464"/>
      <c r="C4464"/>
      <c r="D4464"/>
      <c r="E4464"/>
      <c r="F4464"/>
      <c r="G4464"/>
      <c r="U4464"/>
      <c r="V4464"/>
      <c r="W4464"/>
      <c r="X4464"/>
      <c r="Y4464"/>
      <c r="Z4464"/>
      <c r="AA4464"/>
      <c r="AB4464"/>
      <c r="AL4464"/>
      <c r="AM4464"/>
      <c r="AN4464"/>
      <c r="AO4464"/>
    </row>
    <row r="4465" spans="1:41" s="2" customFormat="1" x14ac:dyDescent="0.2">
      <c r="A4465"/>
      <c r="B4465"/>
      <c r="C4465"/>
      <c r="D4465"/>
      <c r="E4465"/>
      <c r="F4465"/>
      <c r="G4465"/>
      <c r="U4465"/>
      <c r="V4465"/>
      <c r="W4465"/>
      <c r="X4465"/>
      <c r="Y4465"/>
      <c r="Z4465"/>
      <c r="AA4465"/>
      <c r="AB4465"/>
      <c r="AL4465"/>
      <c r="AM4465"/>
      <c r="AN4465"/>
      <c r="AO4465"/>
    </row>
    <row r="4466" spans="1:41" s="2" customFormat="1" x14ac:dyDescent="0.2">
      <c r="A4466"/>
      <c r="B4466"/>
      <c r="C4466"/>
      <c r="D4466"/>
      <c r="E4466"/>
      <c r="F4466"/>
      <c r="G4466"/>
      <c r="U4466"/>
      <c r="V4466"/>
      <c r="W4466"/>
      <c r="X4466"/>
      <c r="Y4466"/>
      <c r="Z4466"/>
      <c r="AA4466"/>
      <c r="AB4466"/>
      <c r="AL4466"/>
      <c r="AM4466"/>
      <c r="AN4466"/>
      <c r="AO4466"/>
    </row>
    <row r="4467" spans="1:41" s="2" customFormat="1" x14ac:dyDescent="0.2">
      <c r="A4467"/>
      <c r="B4467"/>
      <c r="C4467"/>
      <c r="D4467"/>
      <c r="E4467"/>
      <c r="F4467"/>
      <c r="G4467"/>
      <c r="U4467"/>
      <c r="V4467"/>
      <c r="W4467"/>
      <c r="X4467"/>
      <c r="Y4467"/>
      <c r="Z4467"/>
      <c r="AA4467"/>
      <c r="AB4467"/>
      <c r="AL4467"/>
      <c r="AM4467"/>
      <c r="AN4467"/>
      <c r="AO4467"/>
    </row>
    <row r="4468" spans="1:41" s="2" customFormat="1" x14ac:dyDescent="0.2">
      <c r="A4468"/>
      <c r="B4468"/>
      <c r="C4468"/>
      <c r="D4468"/>
      <c r="E4468"/>
      <c r="F4468"/>
      <c r="G4468"/>
      <c r="U4468"/>
      <c r="V4468"/>
      <c r="W4468"/>
      <c r="X4468"/>
      <c r="Y4468"/>
      <c r="Z4468"/>
      <c r="AA4468"/>
      <c r="AB4468"/>
      <c r="AL4468"/>
      <c r="AM4468"/>
      <c r="AN4468"/>
      <c r="AO4468"/>
    </row>
    <row r="4469" spans="1:41" s="2" customFormat="1" x14ac:dyDescent="0.2">
      <c r="A4469"/>
      <c r="B4469"/>
      <c r="C4469"/>
      <c r="D4469"/>
      <c r="E4469"/>
      <c r="F4469"/>
      <c r="G4469"/>
      <c r="U4469"/>
      <c r="V4469"/>
      <c r="W4469"/>
      <c r="X4469"/>
      <c r="Y4469"/>
      <c r="Z4469"/>
      <c r="AA4469"/>
      <c r="AB4469"/>
      <c r="AL4469"/>
      <c r="AM4469"/>
      <c r="AN4469"/>
      <c r="AO4469"/>
    </row>
    <row r="4470" spans="1:41" s="2" customFormat="1" x14ac:dyDescent="0.2">
      <c r="A4470"/>
      <c r="B4470"/>
      <c r="C4470"/>
      <c r="D4470"/>
      <c r="E4470"/>
      <c r="F4470"/>
      <c r="G4470"/>
      <c r="U4470"/>
      <c r="V4470"/>
      <c r="W4470"/>
      <c r="X4470"/>
      <c r="Y4470"/>
      <c r="Z4470"/>
      <c r="AA4470"/>
      <c r="AB4470"/>
      <c r="AL4470"/>
      <c r="AM4470"/>
      <c r="AN4470"/>
      <c r="AO4470"/>
    </row>
    <row r="4471" spans="1:41" s="2" customFormat="1" x14ac:dyDescent="0.2">
      <c r="A4471"/>
      <c r="B4471"/>
      <c r="C4471"/>
      <c r="D4471"/>
      <c r="E4471"/>
      <c r="F4471"/>
      <c r="G4471"/>
      <c r="U4471"/>
      <c r="V4471"/>
      <c r="W4471"/>
      <c r="X4471"/>
      <c r="Y4471"/>
      <c r="Z4471"/>
      <c r="AA4471"/>
      <c r="AB4471"/>
      <c r="AL4471"/>
      <c r="AM4471"/>
      <c r="AN4471"/>
      <c r="AO4471"/>
    </row>
    <row r="4472" spans="1:41" s="2" customFormat="1" x14ac:dyDescent="0.2">
      <c r="A4472"/>
      <c r="B4472"/>
      <c r="C4472"/>
      <c r="D4472"/>
      <c r="E4472"/>
      <c r="F4472"/>
      <c r="G4472"/>
      <c r="U4472"/>
      <c r="V4472"/>
      <c r="W4472"/>
      <c r="X4472"/>
      <c r="Y4472"/>
      <c r="Z4472"/>
      <c r="AA4472"/>
      <c r="AB4472"/>
      <c r="AL4472"/>
      <c r="AM4472"/>
      <c r="AN4472"/>
      <c r="AO4472"/>
    </row>
    <row r="4473" spans="1:41" s="2" customFormat="1" x14ac:dyDescent="0.2">
      <c r="A4473"/>
      <c r="B4473"/>
      <c r="C4473"/>
      <c r="D4473"/>
      <c r="E4473"/>
      <c r="F4473"/>
      <c r="G4473"/>
      <c r="U4473"/>
      <c r="V4473"/>
      <c r="W4473"/>
      <c r="X4473"/>
      <c r="Y4473"/>
      <c r="Z4473"/>
      <c r="AA4473"/>
      <c r="AB4473"/>
      <c r="AL4473"/>
      <c r="AM4473"/>
      <c r="AN4473"/>
      <c r="AO4473"/>
    </row>
    <row r="4474" spans="1:41" s="2" customFormat="1" x14ac:dyDescent="0.2">
      <c r="A4474"/>
      <c r="B4474"/>
      <c r="C4474"/>
      <c r="D4474"/>
      <c r="E4474"/>
      <c r="F4474"/>
      <c r="G4474"/>
      <c r="U4474"/>
      <c r="V4474"/>
      <c r="W4474"/>
      <c r="X4474"/>
      <c r="Y4474"/>
      <c r="Z4474"/>
      <c r="AA4474"/>
      <c r="AB4474"/>
      <c r="AL4474"/>
      <c r="AM4474"/>
      <c r="AN4474"/>
      <c r="AO4474"/>
    </row>
    <row r="4475" spans="1:41" s="2" customFormat="1" x14ac:dyDescent="0.2">
      <c r="A4475"/>
      <c r="B4475"/>
      <c r="C4475"/>
      <c r="D4475"/>
      <c r="E4475"/>
      <c r="F4475"/>
      <c r="G4475"/>
      <c r="U4475"/>
      <c r="V4475"/>
      <c r="W4475"/>
      <c r="X4475"/>
      <c r="Y4475"/>
      <c r="Z4475"/>
      <c r="AA4475"/>
      <c r="AB4475"/>
      <c r="AL4475"/>
      <c r="AM4475"/>
      <c r="AN4475"/>
      <c r="AO4475"/>
    </row>
    <row r="4476" spans="1:41" s="2" customFormat="1" x14ac:dyDescent="0.2">
      <c r="A4476"/>
      <c r="B4476"/>
      <c r="C4476"/>
      <c r="D4476"/>
      <c r="E4476"/>
      <c r="F4476"/>
      <c r="G4476"/>
      <c r="U4476"/>
      <c r="V4476"/>
      <c r="W4476"/>
      <c r="X4476"/>
      <c r="Y4476"/>
      <c r="Z4476"/>
      <c r="AA4476"/>
      <c r="AB4476"/>
      <c r="AL4476"/>
      <c r="AM4476"/>
      <c r="AN4476"/>
      <c r="AO4476"/>
    </row>
    <row r="4477" spans="1:41" s="2" customFormat="1" x14ac:dyDescent="0.2">
      <c r="A4477"/>
      <c r="B4477"/>
      <c r="C4477"/>
      <c r="D4477"/>
      <c r="E4477"/>
      <c r="F4477"/>
      <c r="G4477"/>
      <c r="U4477"/>
      <c r="V4477"/>
      <c r="W4477"/>
      <c r="X4477"/>
      <c r="Y4477"/>
      <c r="Z4477"/>
      <c r="AA4477"/>
      <c r="AB4477"/>
      <c r="AL4477"/>
      <c r="AM4477"/>
      <c r="AN4477"/>
      <c r="AO4477"/>
    </row>
    <row r="4478" spans="1:41" s="2" customFormat="1" x14ac:dyDescent="0.2">
      <c r="A4478"/>
      <c r="B4478"/>
      <c r="C4478"/>
      <c r="D4478"/>
      <c r="E4478"/>
      <c r="F4478"/>
      <c r="G4478"/>
      <c r="U4478"/>
      <c r="V4478"/>
      <c r="W4478"/>
      <c r="X4478"/>
      <c r="Y4478"/>
      <c r="Z4478"/>
      <c r="AA4478"/>
      <c r="AB4478"/>
      <c r="AL4478"/>
      <c r="AM4478"/>
      <c r="AN4478"/>
      <c r="AO4478"/>
    </row>
    <row r="4479" spans="1:41" s="2" customFormat="1" x14ac:dyDescent="0.2">
      <c r="A4479"/>
      <c r="B4479"/>
      <c r="C4479"/>
      <c r="D4479"/>
      <c r="E4479"/>
      <c r="F4479"/>
      <c r="G4479"/>
      <c r="U4479"/>
      <c r="V4479"/>
      <c r="W4479"/>
      <c r="X4479"/>
      <c r="Y4479"/>
      <c r="Z4479"/>
      <c r="AA4479"/>
      <c r="AB4479"/>
      <c r="AL4479"/>
      <c r="AM4479"/>
      <c r="AN4479"/>
      <c r="AO4479"/>
    </row>
    <row r="4480" spans="1:41" s="2" customFormat="1" x14ac:dyDescent="0.2">
      <c r="A4480"/>
      <c r="B4480"/>
      <c r="C4480"/>
      <c r="D4480"/>
      <c r="E4480"/>
      <c r="F4480"/>
      <c r="G4480"/>
      <c r="U4480"/>
      <c r="V4480"/>
      <c r="W4480"/>
      <c r="X4480"/>
      <c r="Y4480"/>
      <c r="Z4480"/>
      <c r="AA4480"/>
      <c r="AB4480"/>
      <c r="AL4480"/>
      <c r="AM4480"/>
      <c r="AN4480"/>
      <c r="AO4480"/>
    </row>
    <row r="4481" spans="1:41" s="2" customFormat="1" x14ac:dyDescent="0.2">
      <c r="A4481"/>
      <c r="B4481"/>
      <c r="C4481"/>
      <c r="D4481"/>
      <c r="E4481"/>
      <c r="F4481"/>
      <c r="G4481"/>
      <c r="U4481"/>
      <c r="V4481"/>
      <c r="W4481"/>
      <c r="X4481"/>
      <c r="Y4481"/>
      <c r="Z4481"/>
      <c r="AA4481"/>
      <c r="AB4481"/>
      <c r="AL4481"/>
      <c r="AM4481"/>
      <c r="AN4481"/>
      <c r="AO4481"/>
    </row>
    <row r="4482" spans="1:41" s="2" customFormat="1" x14ac:dyDescent="0.2">
      <c r="A4482"/>
      <c r="B4482"/>
      <c r="C4482"/>
      <c r="D4482"/>
      <c r="E4482"/>
      <c r="F4482"/>
      <c r="G4482"/>
      <c r="U4482"/>
      <c r="V4482"/>
      <c r="W4482"/>
      <c r="X4482"/>
      <c r="Y4482"/>
      <c r="Z4482"/>
      <c r="AA4482"/>
      <c r="AB4482"/>
      <c r="AL4482"/>
      <c r="AM4482"/>
      <c r="AN4482"/>
      <c r="AO4482"/>
    </row>
    <row r="4483" spans="1:41" s="2" customFormat="1" x14ac:dyDescent="0.2">
      <c r="A4483"/>
      <c r="B4483"/>
      <c r="C4483"/>
      <c r="D4483"/>
      <c r="E4483"/>
      <c r="F4483"/>
      <c r="G4483"/>
      <c r="U4483"/>
      <c r="V4483"/>
      <c r="W4483"/>
      <c r="X4483"/>
      <c r="Y4483"/>
      <c r="Z4483"/>
      <c r="AA4483"/>
      <c r="AB4483"/>
      <c r="AL4483"/>
      <c r="AM4483"/>
      <c r="AN4483"/>
      <c r="AO4483"/>
    </row>
    <row r="4484" spans="1:41" s="2" customFormat="1" x14ac:dyDescent="0.2">
      <c r="A4484"/>
      <c r="B4484"/>
      <c r="C4484"/>
      <c r="D4484"/>
      <c r="E4484"/>
      <c r="F4484"/>
      <c r="G4484"/>
      <c r="U4484"/>
      <c r="V4484"/>
      <c r="W4484"/>
      <c r="X4484"/>
      <c r="Y4484"/>
      <c r="Z4484"/>
      <c r="AA4484"/>
      <c r="AB4484"/>
      <c r="AL4484"/>
      <c r="AM4484"/>
      <c r="AN4484"/>
      <c r="AO4484"/>
    </row>
    <row r="4485" spans="1:41" s="2" customFormat="1" x14ac:dyDescent="0.2">
      <c r="A4485"/>
      <c r="B4485"/>
      <c r="C4485"/>
      <c r="D4485"/>
      <c r="E4485"/>
      <c r="F4485"/>
      <c r="G4485"/>
      <c r="U4485"/>
      <c r="V4485"/>
      <c r="W4485"/>
      <c r="X4485"/>
      <c r="Y4485"/>
      <c r="Z4485"/>
      <c r="AA4485"/>
      <c r="AB4485"/>
      <c r="AL4485"/>
      <c r="AM4485"/>
      <c r="AN4485"/>
      <c r="AO4485"/>
    </row>
    <row r="4486" spans="1:41" s="2" customFormat="1" x14ac:dyDescent="0.2">
      <c r="A4486"/>
      <c r="B4486"/>
      <c r="C4486"/>
      <c r="D4486"/>
      <c r="E4486"/>
      <c r="F4486"/>
      <c r="G4486"/>
      <c r="U4486"/>
      <c r="V4486"/>
      <c r="W4486"/>
      <c r="X4486"/>
      <c r="Y4486"/>
      <c r="Z4486"/>
      <c r="AA4486"/>
      <c r="AB4486"/>
      <c r="AL4486"/>
      <c r="AM4486"/>
      <c r="AN4486"/>
      <c r="AO4486"/>
    </row>
    <row r="4487" spans="1:41" s="2" customFormat="1" x14ac:dyDescent="0.2">
      <c r="A4487"/>
      <c r="B4487"/>
      <c r="C4487"/>
      <c r="D4487"/>
      <c r="E4487"/>
      <c r="F4487"/>
      <c r="G4487"/>
      <c r="U4487"/>
      <c r="V4487"/>
      <c r="W4487"/>
      <c r="X4487"/>
      <c r="Y4487"/>
      <c r="Z4487"/>
      <c r="AA4487"/>
      <c r="AB4487"/>
      <c r="AL4487"/>
      <c r="AM4487"/>
      <c r="AN4487"/>
      <c r="AO4487"/>
    </row>
    <row r="4488" spans="1:41" s="2" customFormat="1" x14ac:dyDescent="0.2">
      <c r="A4488"/>
      <c r="B4488"/>
      <c r="C4488"/>
      <c r="D4488"/>
      <c r="E4488"/>
      <c r="F4488"/>
      <c r="G4488"/>
      <c r="U4488"/>
      <c r="V4488"/>
      <c r="W4488"/>
      <c r="X4488"/>
      <c r="Y4488"/>
      <c r="Z4488"/>
      <c r="AA4488"/>
      <c r="AB4488"/>
      <c r="AL4488"/>
      <c r="AM4488"/>
      <c r="AN4488"/>
      <c r="AO4488"/>
    </row>
    <row r="4489" spans="1:41" s="2" customFormat="1" x14ac:dyDescent="0.2">
      <c r="A4489"/>
      <c r="B4489"/>
      <c r="C4489"/>
      <c r="D4489"/>
      <c r="E4489"/>
      <c r="F4489"/>
      <c r="G4489"/>
      <c r="U4489"/>
      <c r="V4489"/>
      <c r="W4489"/>
      <c r="X4489"/>
      <c r="Y4489"/>
      <c r="Z4489"/>
      <c r="AA4489"/>
      <c r="AB4489"/>
      <c r="AL4489"/>
      <c r="AM4489"/>
      <c r="AN4489"/>
      <c r="AO4489"/>
    </row>
    <row r="4490" spans="1:41" s="2" customFormat="1" x14ac:dyDescent="0.2">
      <c r="A4490"/>
      <c r="B4490"/>
      <c r="C4490"/>
      <c r="D4490"/>
      <c r="E4490"/>
      <c r="F4490"/>
      <c r="G4490"/>
      <c r="U4490"/>
      <c r="V4490"/>
      <c r="W4490"/>
      <c r="X4490"/>
      <c r="Y4490"/>
      <c r="Z4490"/>
      <c r="AA4490"/>
      <c r="AB4490"/>
      <c r="AL4490"/>
      <c r="AM4490"/>
      <c r="AN4490"/>
      <c r="AO4490"/>
    </row>
    <row r="4491" spans="1:41" s="2" customFormat="1" x14ac:dyDescent="0.2">
      <c r="A4491"/>
      <c r="B4491"/>
      <c r="C4491"/>
      <c r="D4491"/>
      <c r="E4491"/>
      <c r="F4491"/>
      <c r="G4491"/>
      <c r="U4491"/>
      <c r="V4491"/>
      <c r="W4491"/>
      <c r="X4491"/>
      <c r="Y4491"/>
      <c r="Z4491"/>
      <c r="AA4491"/>
      <c r="AB4491"/>
      <c r="AL4491"/>
      <c r="AM4491"/>
      <c r="AN4491"/>
      <c r="AO4491"/>
    </row>
    <row r="4492" spans="1:41" s="2" customFormat="1" x14ac:dyDescent="0.2">
      <c r="A4492"/>
      <c r="B4492"/>
      <c r="C4492"/>
      <c r="D4492"/>
      <c r="E4492"/>
      <c r="F4492"/>
      <c r="G4492"/>
      <c r="U4492"/>
      <c r="V4492"/>
      <c r="W4492"/>
      <c r="X4492"/>
      <c r="Y4492"/>
      <c r="Z4492"/>
      <c r="AA4492"/>
      <c r="AB4492"/>
      <c r="AL4492"/>
      <c r="AM4492"/>
      <c r="AN4492"/>
      <c r="AO4492"/>
    </row>
    <row r="4493" spans="1:41" s="2" customFormat="1" x14ac:dyDescent="0.2">
      <c r="A4493"/>
      <c r="B4493"/>
      <c r="C4493"/>
      <c r="D4493"/>
      <c r="E4493"/>
      <c r="F4493"/>
      <c r="G4493"/>
      <c r="U4493"/>
      <c r="V4493"/>
      <c r="W4493"/>
      <c r="X4493"/>
      <c r="Y4493"/>
      <c r="Z4493"/>
      <c r="AA4493"/>
      <c r="AB4493"/>
      <c r="AL4493"/>
      <c r="AM4493"/>
      <c r="AN4493"/>
      <c r="AO4493"/>
    </row>
    <row r="4494" spans="1:41" s="2" customFormat="1" x14ac:dyDescent="0.2">
      <c r="A4494"/>
      <c r="B4494"/>
      <c r="C4494"/>
      <c r="D4494"/>
      <c r="E4494"/>
      <c r="F4494"/>
      <c r="G4494"/>
      <c r="U4494"/>
      <c r="V4494"/>
      <c r="W4494"/>
      <c r="X4494"/>
      <c r="Y4494"/>
      <c r="Z4494"/>
      <c r="AA4494"/>
      <c r="AB4494"/>
      <c r="AL4494"/>
      <c r="AM4494"/>
      <c r="AN4494"/>
      <c r="AO4494"/>
    </row>
    <row r="4495" spans="1:41" s="2" customFormat="1" x14ac:dyDescent="0.2">
      <c r="A4495"/>
      <c r="B4495"/>
      <c r="C4495"/>
      <c r="D4495"/>
      <c r="E4495"/>
      <c r="F4495"/>
      <c r="G4495"/>
      <c r="U4495"/>
      <c r="V4495"/>
      <c r="W4495"/>
      <c r="X4495"/>
      <c r="Y4495"/>
      <c r="Z4495"/>
      <c r="AA4495"/>
      <c r="AB4495"/>
      <c r="AL4495"/>
      <c r="AM4495"/>
      <c r="AN4495"/>
      <c r="AO4495"/>
    </row>
    <row r="4496" spans="1:41" s="2" customFormat="1" x14ac:dyDescent="0.2">
      <c r="A4496"/>
      <c r="B4496"/>
      <c r="C4496"/>
      <c r="D4496"/>
      <c r="E4496"/>
      <c r="F4496"/>
      <c r="G4496"/>
      <c r="U4496"/>
      <c r="V4496"/>
      <c r="W4496"/>
      <c r="X4496"/>
      <c r="Y4496"/>
      <c r="Z4496"/>
      <c r="AA4496"/>
      <c r="AB4496"/>
      <c r="AL4496"/>
      <c r="AM4496"/>
      <c r="AN4496"/>
      <c r="AO4496"/>
    </row>
    <row r="4497" spans="1:41" s="2" customFormat="1" x14ac:dyDescent="0.2">
      <c r="A4497"/>
      <c r="B4497"/>
      <c r="C4497"/>
      <c r="D4497"/>
      <c r="E4497"/>
      <c r="F4497"/>
      <c r="G4497"/>
      <c r="U4497"/>
      <c r="V4497"/>
      <c r="W4497"/>
      <c r="X4497"/>
      <c r="Y4497"/>
      <c r="Z4497"/>
      <c r="AA4497"/>
      <c r="AB4497"/>
      <c r="AL4497"/>
      <c r="AM4497"/>
      <c r="AN4497"/>
      <c r="AO4497"/>
    </row>
    <row r="4498" spans="1:41" s="2" customFormat="1" x14ac:dyDescent="0.2">
      <c r="A4498"/>
      <c r="B4498"/>
      <c r="C4498"/>
      <c r="D4498"/>
      <c r="E4498"/>
      <c r="F4498"/>
      <c r="G4498"/>
      <c r="U4498"/>
      <c r="V4498"/>
      <c r="W4498"/>
      <c r="X4498"/>
      <c r="Y4498"/>
      <c r="Z4498"/>
      <c r="AA4498"/>
      <c r="AB4498"/>
      <c r="AL4498"/>
      <c r="AM4498"/>
      <c r="AN4498"/>
      <c r="AO4498"/>
    </row>
    <row r="4499" spans="1:41" s="2" customFormat="1" x14ac:dyDescent="0.2">
      <c r="A4499"/>
      <c r="B4499"/>
      <c r="C4499"/>
      <c r="D4499"/>
      <c r="E4499"/>
      <c r="F4499"/>
      <c r="G4499"/>
      <c r="U4499"/>
      <c r="V4499"/>
      <c r="W4499"/>
      <c r="X4499"/>
      <c r="Y4499"/>
      <c r="Z4499"/>
      <c r="AA4499"/>
      <c r="AB4499"/>
      <c r="AL4499"/>
      <c r="AM4499"/>
      <c r="AN4499"/>
      <c r="AO4499"/>
    </row>
    <row r="4500" spans="1:41" s="2" customFormat="1" x14ac:dyDescent="0.2">
      <c r="A4500"/>
      <c r="B4500"/>
      <c r="C4500"/>
      <c r="D4500"/>
      <c r="E4500"/>
      <c r="F4500"/>
      <c r="G4500"/>
      <c r="U4500"/>
      <c r="V4500"/>
      <c r="W4500"/>
      <c r="X4500"/>
      <c r="Y4500"/>
      <c r="Z4500"/>
      <c r="AA4500"/>
      <c r="AB4500"/>
      <c r="AL4500"/>
      <c r="AM4500"/>
      <c r="AN4500"/>
      <c r="AO4500"/>
    </row>
    <row r="4501" spans="1:41" s="2" customFormat="1" x14ac:dyDescent="0.2">
      <c r="A4501"/>
      <c r="B4501"/>
      <c r="C4501"/>
      <c r="D4501"/>
      <c r="E4501"/>
      <c r="F4501"/>
      <c r="G4501"/>
      <c r="U4501"/>
      <c r="V4501"/>
      <c r="W4501"/>
      <c r="X4501"/>
      <c r="Y4501"/>
      <c r="Z4501"/>
      <c r="AA4501"/>
      <c r="AB4501"/>
      <c r="AL4501"/>
      <c r="AM4501"/>
      <c r="AN4501"/>
      <c r="AO4501"/>
    </row>
    <row r="4502" spans="1:41" s="2" customFormat="1" x14ac:dyDescent="0.2">
      <c r="A4502"/>
      <c r="B4502"/>
      <c r="C4502"/>
      <c r="D4502"/>
      <c r="E4502"/>
      <c r="F4502"/>
      <c r="G4502"/>
      <c r="U4502"/>
      <c r="V4502"/>
      <c r="W4502"/>
      <c r="X4502"/>
      <c r="Y4502"/>
      <c r="Z4502"/>
      <c r="AA4502"/>
      <c r="AB4502"/>
      <c r="AL4502"/>
      <c r="AM4502"/>
      <c r="AN4502"/>
      <c r="AO4502"/>
    </row>
    <row r="4503" spans="1:41" s="2" customFormat="1" x14ac:dyDescent="0.2">
      <c r="A4503"/>
      <c r="B4503"/>
      <c r="C4503"/>
      <c r="D4503"/>
      <c r="E4503"/>
      <c r="F4503"/>
      <c r="G4503"/>
      <c r="U4503"/>
      <c r="V4503"/>
      <c r="W4503"/>
      <c r="X4503"/>
      <c r="Y4503"/>
      <c r="Z4503"/>
      <c r="AA4503"/>
      <c r="AB4503"/>
      <c r="AL4503"/>
      <c r="AM4503"/>
      <c r="AN4503"/>
      <c r="AO4503"/>
    </row>
    <row r="4504" spans="1:41" s="2" customFormat="1" x14ac:dyDescent="0.2">
      <c r="A4504"/>
      <c r="B4504"/>
      <c r="C4504"/>
      <c r="D4504"/>
      <c r="E4504"/>
      <c r="F4504"/>
      <c r="G4504"/>
      <c r="U4504"/>
      <c r="V4504"/>
      <c r="W4504"/>
      <c r="X4504"/>
      <c r="Y4504"/>
      <c r="Z4504"/>
      <c r="AA4504"/>
      <c r="AB4504"/>
      <c r="AL4504"/>
      <c r="AM4504"/>
      <c r="AN4504"/>
      <c r="AO4504"/>
    </row>
    <row r="4505" spans="1:41" s="2" customFormat="1" x14ac:dyDescent="0.2">
      <c r="A4505"/>
      <c r="B4505"/>
      <c r="C4505"/>
      <c r="D4505"/>
      <c r="E4505"/>
      <c r="F4505"/>
      <c r="G4505"/>
      <c r="U4505"/>
      <c r="V4505"/>
      <c r="W4505"/>
      <c r="X4505"/>
      <c r="Y4505"/>
      <c r="Z4505"/>
      <c r="AA4505"/>
      <c r="AB4505"/>
      <c r="AL4505"/>
      <c r="AM4505"/>
      <c r="AN4505"/>
      <c r="AO4505"/>
    </row>
    <row r="4506" spans="1:41" s="2" customFormat="1" x14ac:dyDescent="0.2">
      <c r="A4506"/>
      <c r="B4506"/>
      <c r="C4506"/>
      <c r="D4506"/>
      <c r="E4506"/>
      <c r="F4506"/>
      <c r="G4506"/>
      <c r="U4506"/>
      <c r="V4506"/>
      <c r="W4506"/>
      <c r="X4506"/>
      <c r="Y4506"/>
      <c r="Z4506"/>
      <c r="AA4506"/>
      <c r="AB4506"/>
      <c r="AL4506"/>
      <c r="AM4506"/>
      <c r="AN4506"/>
      <c r="AO4506"/>
    </row>
    <row r="4507" spans="1:41" s="2" customFormat="1" x14ac:dyDescent="0.2">
      <c r="A4507"/>
      <c r="B4507"/>
      <c r="C4507"/>
      <c r="D4507"/>
      <c r="E4507"/>
      <c r="F4507"/>
      <c r="G4507"/>
      <c r="U4507"/>
      <c r="V4507"/>
      <c r="W4507"/>
      <c r="X4507"/>
      <c r="Y4507"/>
      <c r="Z4507"/>
      <c r="AA4507"/>
      <c r="AB4507"/>
      <c r="AL4507"/>
      <c r="AM4507"/>
      <c r="AN4507"/>
      <c r="AO4507"/>
    </row>
    <row r="4508" spans="1:41" s="2" customFormat="1" x14ac:dyDescent="0.2">
      <c r="A4508"/>
      <c r="B4508"/>
      <c r="C4508"/>
      <c r="D4508"/>
      <c r="E4508"/>
      <c r="F4508"/>
      <c r="G4508"/>
      <c r="U4508"/>
      <c r="V4508"/>
      <c r="W4508"/>
      <c r="X4508"/>
      <c r="Y4508"/>
      <c r="Z4508"/>
      <c r="AA4508"/>
      <c r="AB4508"/>
      <c r="AL4508"/>
      <c r="AM4508"/>
      <c r="AN4508"/>
      <c r="AO4508"/>
    </row>
    <row r="4509" spans="1:41" s="2" customFormat="1" x14ac:dyDescent="0.2">
      <c r="A4509"/>
      <c r="B4509"/>
      <c r="C4509"/>
      <c r="D4509"/>
      <c r="E4509"/>
      <c r="F4509"/>
      <c r="G4509"/>
      <c r="U4509"/>
      <c r="V4509"/>
      <c r="W4509"/>
      <c r="X4509"/>
      <c r="Y4509"/>
      <c r="Z4509"/>
      <c r="AA4509"/>
      <c r="AB4509"/>
      <c r="AL4509"/>
      <c r="AM4509"/>
      <c r="AN4509"/>
      <c r="AO4509"/>
    </row>
    <row r="4510" spans="1:41" s="2" customFormat="1" x14ac:dyDescent="0.2">
      <c r="A4510"/>
      <c r="B4510"/>
      <c r="C4510"/>
      <c r="D4510"/>
      <c r="E4510"/>
      <c r="F4510"/>
      <c r="G4510"/>
      <c r="U4510"/>
      <c r="V4510"/>
      <c r="W4510"/>
      <c r="X4510"/>
      <c r="Y4510"/>
      <c r="Z4510"/>
      <c r="AA4510"/>
      <c r="AB4510"/>
      <c r="AL4510"/>
      <c r="AM4510"/>
      <c r="AN4510"/>
      <c r="AO4510"/>
    </row>
    <row r="4511" spans="1:41" s="2" customFormat="1" x14ac:dyDescent="0.2">
      <c r="A4511"/>
      <c r="B4511"/>
      <c r="C4511"/>
      <c r="D4511"/>
      <c r="E4511"/>
      <c r="F4511"/>
      <c r="G4511"/>
      <c r="U4511"/>
      <c r="V4511"/>
      <c r="W4511"/>
      <c r="X4511"/>
      <c r="Y4511"/>
      <c r="Z4511"/>
      <c r="AA4511"/>
      <c r="AB4511"/>
      <c r="AL4511"/>
      <c r="AM4511"/>
      <c r="AN4511"/>
      <c r="AO4511"/>
    </row>
    <row r="4512" spans="1:41" s="2" customFormat="1" x14ac:dyDescent="0.2">
      <c r="A4512"/>
      <c r="B4512"/>
      <c r="C4512"/>
      <c r="D4512"/>
      <c r="E4512"/>
      <c r="F4512"/>
      <c r="G4512"/>
      <c r="U4512"/>
      <c r="V4512"/>
      <c r="W4512"/>
      <c r="X4512"/>
      <c r="Y4512"/>
      <c r="Z4512"/>
      <c r="AA4512"/>
      <c r="AB4512"/>
      <c r="AL4512"/>
      <c r="AM4512"/>
      <c r="AN4512"/>
      <c r="AO4512"/>
    </row>
    <row r="4513" spans="1:41" s="2" customFormat="1" x14ac:dyDescent="0.2">
      <c r="A4513"/>
      <c r="B4513"/>
      <c r="C4513"/>
      <c r="D4513"/>
      <c r="E4513"/>
      <c r="F4513"/>
      <c r="G4513"/>
      <c r="U4513"/>
      <c r="V4513"/>
      <c r="W4513"/>
      <c r="X4513"/>
      <c r="Y4513"/>
      <c r="Z4513"/>
      <c r="AA4513"/>
      <c r="AB4513"/>
      <c r="AL4513"/>
      <c r="AM4513"/>
      <c r="AN4513"/>
      <c r="AO4513"/>
    </row>
    <row r="4514" spans="1:41" s="2" customFormat="1" x14ac:dyDescent="0.2">
      <c r="A4514"/>
      <c r="B4514"/>
      <c r="C4514"/>
      <c r="D4514"/>
      <c r="E4514"/>
      <c r="F4514"/>
      <c r="G4514"/>
      <c r="U4514"/>
      <c r="V4514"/>
      <c r="W4514"/>
      <c r="X4514"/>
      <c r="Y4514"/>
      <c r="Z4514"/>
      <c r="AA4514"/>
      <c r="AB4514"/>
      <c r="AL4514"/>
      <c r="AM4514"/>
      <c r="AN4514"/>
      <c r="AO4514"/>
    </row>
    <row r="4515" spans="1:41" s="2" customFormat="1" x14ac:dyDescent="0.2">
      <c r="A4515"/>
      <c r="B4515"/>
      <c r="C4515"/>
      <c r="D4515"/>
      <c r="E4515"/>
      <c r="F4515"/>
      <c r="G4515"/>
      <c r="U4515"/>
      <c r="V4515"/>
      <c r="W4515"/>
      <c r="X4515"/>
      <c r="Y4515"/>
      <c r="Z4515"/>
      <c r="AA4515"/>
      <c r="AB4515"/>
      <c r="AL4515"/>
      <c r="AM4515"/>
      <c r="AN4515"/>
      <c r="AO4515"/>
    </row>
    <row r="4516" spans="1:41" s="2" customFormat="1" x14ac:dyDescent="0.2">
      <c r="A4516"/>
      <c r="B4516"/>
      <c r="C4516"/>
      <c r="D4516"/>
      <c r="E4516"/>
      <c r="F4516"/>
      <c r="G4516"/>
      <c r="U4516"/>
      <c r="V4516"/>
      <c r="W4516"/>
      <c r="X4516"/>
      <c r="Y4516"/>
      <c r="Z4516"/>
      <c r="AA4516"/>
      <c r="AB4516"/>
      <c r="AL4516"/>
      <c r="AM4516"/>
      <c r="AN4516"/>
      <c r="AO4516"/>
    </row>
    <row r="4517" spans="1:41" s="2" customFormat="1" x14ac:dyDescent="0.2">
      <c r="A4517"/>
      <c r="B4517"/>
      <c r="C4517"/>
      <c r="D4517"/>
      <c r="E4517"/>
      <c r="F4517"/>
      <c r="G4517"/>
      <c r="U4517"/>
      <c r="V4517"/>
      <c r="W4517"/>
      <c r="X4517"/>
      <c r="Y4517"/>
      <c r="Z4517"/>
      <c r="AA4517"/>
      <c r="AB4517"/>
      <c r="AL4517"/>
      <c r="AM4517"/>
      <c r="AN4517"/>
      <c r="AO4517"/>
    </row>
    <row r="4518" spans="1:41" s="2" customFormat="1" x14ac:dyDescent="0.2">
      <c r="A4518"/>
      <c r="B4518"/>
      <c r="C4518"/>
      <c r="D4518"/>
      <c r="E4518"/>
      <c r="F4518"/>
      <c r="G4518"/>
      <c r="U4518"/>
      <c r="V4518"/>
      <c r="W4518"/>
      <c r="X4518"/>
      <c r="Y4518"/>
      <c r="Z4518"/>
      <c r="AA4518"/>
      <c r="AB4518"/>
      <c r="AL4518"/>
      <c r="AM4518"/>
      <c r="AN4518"/>
      <c r="AO4518"/>
    </row>
    <row r="4519" spans="1:41" s="2" customFormat="1" x14ac:dyDescent="0.2">
      <c r="A4519"/>
      <c r="B4519"/>
      <c r="C4519"/>
      <c r="D4519"/>
      <c r="E4519"/>
      <c r="F4519"/>
      <c r="G4519"/>
      <c r="U4519"/>
      <c r="V4519"/>
      <c r="W4519"/>
      <c r="X4519"/>
      <c r="Y4519"/>
      <c r="Z4519"/>
      <c r="AA4519"/>
      <c r="AB4519"/>
      <c r="AL4519"/>
      <c r="AM4519"/>
      <c r="AN4519"/>
      <c r="AO4519"/>
    </row>
    <row r="4520" spans="1:41" s="2" customFormat="1" x14ac:dyDescent="0.2">
      <c r="A4520"/>
      <c r="B4520"/>
      <c r="C4520"/>
      <c r="D4520"/>
      <c r="E4520"/>
      <c r="F4520"/>
      <c r="G4520"/>
      <c r="U4520"/>
      <c r="V4520"/>
      <c r="W4520"/>
      <c r="X4520"/>
      <c r="Y4520"/>
      <c r="Z4520"/>
      <c r="AA4520"/>
      <c r="AB4520"/>
      <c r="AL4520"/>
      <c r="AM4520"/>
      <c r="AN4520"/>
      <c r="AO4520"/>
    </row>
    <row r="4521" spans="1:41" s="2" customFormat="1" x14ac:dyDescent="0.2">
      <c r="A4521"/>
      <c r="B4521"/>
      <c r="C4521"/>
      <c r="D4521"/>
      <c r="E4521"/>
      <c r="F4521"/>
      <c r="G4521"/>
      <c r="U4521"/>
      <c r="V4521"/>
      <c r="W4521"/>
      <c r="X4521"/>
      <c r="Y4521"/>
      <c r="Z4521"/>
      <c r="AA4521"/>
      <c r="AB4521"/>
      <c r="AL4521"/>
      <c r="AM4521"/>
      <c r="AN4521"/>
      <c r="AO4521"/>
    </row>
    <row r="4522" spans="1:41" s="2" customFormat="1" x14ac:dyDescent="0.2">
      <c r="A4522"/>
      <c r="B4522"/>
      <c r="C4522"/>
      <c r="D4522"/>
      <c r="E4522"/>
      <c r="F4522"/>
      <c r="G4522"/>
      <c r="U4522"/>
      <c r="V4522"/>
      <c r="W4522"/>
      <c r="X4522"/>
      <c r="Y4522"/>
      <c r="Z4522"/>
      <c r="AA4522"/>
      <c r="AB4522"/>
      <c r="AL4522"/>
      <c r="AM4522"/>
      <c r="AN4522"/>
      <c r="AO4522"/>
    </row>
    <row r="4523" spans="1:41" s="2" customFormat="1" x14ac:dyDescent="0.2">
      <c r="A4523"/>
      <c r="B4523"/>
      <c r="C4523"/>
      <c r="D4523"/>
      <c r="E4523"/>
      <c r="F4523"/>
      <c r="G4523"/>
      <c r="U4523"/>
      <c r="V4523"/>
      <c r="W4523"/>
      <c r="X4523"/>
      <c r="Y4523"/>
      <c r="Z4523"/>
      <c r="AA4523"/>
      <c r="AB4523"/>
      <c r="AL4523"/>
      <c r="AM4523"/>
      <c r="AN4523"/>
      <c r="AO4523"/>
    </row>
    <row r="4524" spans="1:41" s="2" customFormat="1" x14ac:dyDescent="0.2">
      <c r="A4524"/>
      <c r="B4524"/>
      <c r="C4524"/>
      <c r="D4524"/>
      <c r="E4524"/>
      <c r="F4524"/>
      <c r="G4524"/>
      <c r="U4524"/>
      <c r="V4524"/>
      <c r="W4524"/>
      <c r="X4524"/>
      <c r="Y4524"/>
      <c r="Z4524"/>
      <c r="AA4524"/>
      <c r="AB4524"/>
      <c r="AL4524"/>
      <c r="AM4524"/>
      <c r="AN4524"/>
      <c r="AO4524"/>
    </row>
    <row r="4525" spans="1:41" s="2" customFormat="1" x14ac:dyDescent="0.2">
      <c r="A4525"/>
      <c r="B4525"/>
      <c r="C4525"/>
      <c r="D4525"/>
      <c r="E4525"/>
      <c r="F4525"/>
      <c r="G4525"/>
      <c r="U4525"/>
      <c r="V4525"/>
      <c r="W4525"/>
      <c r="X4525"/>
      <c r="Y4525"/>
      <c r="Z4525"/>
      <c r="AA4525"/>
      <c r="AB4525"/>
      <c r="AL4525"/>
      <c r="AM4525"/>
      <c r="AN4525"/>
      <c r="AO4525"/>
    </row>
    <row r="4526" spans="1:41" s="2" customFormat="1" x14ac:dyDescent="0.2">
      <c r="A4526"/>
      <c r="B4526"/>
      <c r="C4526"/>
      <c r="D4526"/>
      <c r="E4526"/>
      <c r="F4526"/>
      <c r="G4526"/>
      <c r="U4526"/>
      <c r="V4526"/>
      <c r="W4526"/>
      <c r="X4526"/>
      <c r="Y4526"/>
      <c r="Z4526"/>
      <c r="AA4526"/>
      <c r="AB4526"/>
      <c r="AL4526"/>
      <c r="AM4526"/>
      <c r="AN4526"/>
      <c r="AO4526"/>
    </row>
    <row r="4527" spans="1:41" s="2" customFormat="1" x14ac:dyDescent="0.2">
      <c r="A4527"/>
      <c r="B4527"/>
      <c r="C4527"/>
      <c r="D4527"/>
      <c r="E4527"/>
      <c r="F4527"/>
      <c r="G4527"/>
      <c r="U4527"/>
      <c r="V4527"/>
      <c r="W4527"/>
      <c r="X4527"/>
      <c r="Y4527"/>
      <c r="Z4527"/>
      <c r="AA4527"/>
      <c r="AB4527"/>
      <c r="AL4527"/>
      <c r="AM4527"/>
      <c r="AN4527"/>
      <c r="AO4527"/>
    </row>
    <row r="4528" spans="1:41" s="2" customFormat="1" x14ac:dyDescent="0.2">
      <c r="A4528"/>
      <c r="B4528"/>
      <c r="C4528"/>
      <c r="D4528"/>
      <c r="E4528"/>
      <c r="F4528"/>
      <c r="G4528"/>
      <c r="U4528"/>
      <c r="V4528"/>
      <c r="W4528"/>
      <c r="X4528"/>
      <c r="Y4528"/>
      <c r="Z4528"/>
      <c r="AA4528"/>
      <c r="AB4528"/>
      <c r="AL4528"/>
      <c r="AM4528"/>
      <c r="AN4528"/>
      <c r="AO4528"/>
    </row>
    <row r="4529" spans="1:41" s="2" customFormat="1" x14ac:dyDescent="0.2">
      <c r="A4529"/>
      <c r="B4529"/>
      <c r="C4529"/>
      <c r="D4529"/>
      <c r="E4529"/>
      <c r="F4529"/>
      <c r="G4529"/>
      <c r="U4529"/>
      <c r="V4529"/>
      <c r="W4529"/>
      <c r="X4529"/>
      <c r="Y4529"/>
      <c r="Z4529"/>
      <c r="AA4529"/>
      <c r="AB4529"/>
      <c r="AL4529"/>
      <c r="AM4529"/>
      <c r="AN4529"/>
      <c r="AO4529"/>
    </row>
    <row r="4530" spans="1:41" s="2" customFormat="1" x14ac:dyDescent="0.2">
      <c r="A4530"/>
      <c r="B4530"/>
      <c r="C4530"/>
      <c r="D4530"/>
      <c r="E4530"/>
      <c r="F4530"/>
      <c r="G4530"/>
      <c r="U4530"/>
      <c r="V4530"/>
      <c r="W4530"/>
      <c r="X4530"/>
      <c r="Y4530"/>
      <c r="Z4530"/>
      <c r="AA4530"/>
      <c r="AB4530"/>
      <c r="AL4530"/>
      <c r="AM4530"/>
      <c r="AN4530"/>
      <c r="AO4530"/>
    </row>
    <row r="4531" spans="1:41" s="2" customFormat="1" x14ac:dyDescent="0.2">
      <c r="A4531"/>
      <c r="B4531"/>
      <c r="C4531"/>
      <c r="D4531"/>
      <c r="E4531"/>
      <c r="F4531"/>
      <c r="G4531"/>
      <c r="U4531"/>
      <c r="V4531"/>
      <c r="W4531"/>
      <c r="X4531"/>
      <c r="Y4531"/>
      <c r="Z4531"/>
      <c r="AA4531"/>
      <c r="AB4531"/>
      <c r="AL4531"/>
      <c r="AM4531"/>
      <c r="AN4531"/>
      <c r="AO4531"/>
    </row>
    <row r="4532" spans="1:41" s="2" customFormat="1" x14ac:dyDescent="0.2">
      <c r="A4532"/>
      <c r="B4532"/>
      <c r="C4532"/>
      <c r="D4532"/>
      <c r="E4532"/>
      <c r="F4532"/>
      <c r="G4532"/>
      <c r="U4532"/>
      <c r="V4532"/>
      <c r="W4532"/>
      <c r="X4532"/>
      <c r="Y4532"/>
      <c r="Z4532"/>
      <c r="AA4532"/>
      <c r="AB4532"/>
      <c r="AL4532"/>
      <c r="AM4532"/>
      <c r="AN4532"/>
      <c r="AO4532"/>
    </row>
    <row r="4533" spans="1:41" s="2" customFormat="1" x14ac:dyDescent="0.2">
      <c r="A4533"/>
      <c r="B4533"/>
      <c r="C4533"/>
      <c r="D4533"/>
      <c r="E4533"/>
      <c r="F4533"/>
      <c r="G4533"/>
      <c r="U4533"/>
      <c r="V4533"/>
      <c r="W4533"/>
      <c r="X4533"/>
      <c r="Y4533"/>
      <c r="Z4533"/>
      <c r="AA4533"/>
      <c r="AB4533"/>
      <c r="AL4533"/>
      <c r="AM4533"/>
      <c r="AN4533"/>
      <c r="AO4533"/>
    </row>
    <row r="4534" spans="1:41" s="2" customFormat="1" x14ac:dyDescent="0.2">
      <c r="A4534"/>
      <c r="B4534"/>
      <c r="C4534"/>
      <c r="D4534"/>
      <c r="E4534"/>
      <c r="F4534"/>
      <c r="G4534"/>
      <c r="U4534"/>
      <c r="V4534"/>
      <c r="W4534"/>
      <c r="X4534"/>
      <c r="Y4534"/>
      <c r="Z4534"/>
      <c r="AA4534"/>
      <c r="AB4534"/>
      <c r="AL4534"/>
      <c r="AM4534"/>
      <c r="AN4534"/>
      <c r="AO4534"/>
    </row>
    <row r="4535" spans="1:41" s="2" customFormat="1" x14ac:dyDescent="0.2">
      <c r="A4535"/>
      <c r="B4535"/>
      <c r="C4535"/>
      <c r="D4535"/>
      <c r="E4535"/>
      <c r="F4535"/>
      <c r="G4535"/>
      <c r="U4535"/>
      <c r="V4535"/>
      <c r="W4535"/>
      <c r="X4535"/>
      <c r="Y4535"/>
      <c r="Z4535"/>
      <c r="AA4535"/>
      <c r="AB4535"/>
      <c r="AL4535"/>
      <c r="AM4535"/>
      <c r="AN4535"/>
      <c r="AO4535"/>
    </row>
    <row r="4536" spans="1:41" s="2" customFormat="1" x14ac:dyDescent="0.2">
      <c r="A4536"/>
      <c r="B4536"/>
      <c r="C4536"/>
      <c r="D4536"/>
      <c r="E4536"/>
      <c r="F4536"/>
      <c r="G4536"/>
      <c r="U4536"/>
      <c r="V4536"/>
      <c r="W4536"/>
      <c r="X4536"/>
      <c r="Y4536"/>
      <c r="Z4536"/>
      <c r="AA4536"/>
      <c r="AB4536"/>
      <c r="AL4536"/>
      <c r="AM4536"/>
      <c r="AN4536"/>
      <c r="AO4536"/>
    </row>
    <row r="4537" spans="1:41" s="2" customFormat="1" x14ac:dyDescent="0.2">
      <c r="A4537"/>
      <c r="B4537"/>
      <c r="C4537"/>
      <c r="D4537"/>
      <c r="E4537"/>
      <c r="F4537"/>
      <c r="G4537"/>
      <c r="U4537"/>
      <c r="V4537"/>
      <c r="W4537"/>
      <c r="X4537"/>
      <c r="Y4537"/>
      <c r="Z4537"/>
      <c r="AA4537"/>
      <c r="AB4537"/>
      <c r="AL4537"/>
      <c r="AM4537"/>
      <c r="AN4537"/>
      <c r="AO4537"/>
    </row>
    <row r="4538" spans="1:41" s="2" customFormat="1" x14ac:dyDescent="0.2">
      <c r="A4538"/>
      <c r="B4538"/>
      <c r="C4538"/>
      <c r="D4538"/>
      <c r="E4538"/>
      <c r="F4538"/>
      <c r="G4538"/>
      <c r="U4538"/>
      <c r="V4538"/>
      <c r="W4538"/>
      <c r="X4538"/>
      <c r="Y4538"/>
      <c r="Z4538"/>
      <c r="AA4538"/>
      <c r="AB4538"/>
      <c r="AL4538"/>
      <c r="AM4538"/>
      <c r="AN4538"/>
      <c r="AO4538"/>
    </row>
    <row r="4539" spans="1:41" s="2" customFormat="1" x14ac:dyDescent="0.2">
      <c r="A4539"/>
      <c r="B4539"/>
      <c r="C4539"/>
      <c r="D4539"/>
      <c r="E4539"/>
      <c r="F4539"/>
      <c r="G4539"/>
      <c r="U4539"/>
      <c r="V4539"/>
      <c r="W4539"/>
      <c r="X4539"/>
      <c r="Y4539"/>
      <c r="Z4539"/>
      <c r="AA4539"/>
      <c r="AB4539"/>
      <c r="AL4539"/>
      <c r="AM4539"/>
      <c r="AN4539"/>
      <c r="AO4539"/>
    </row>
    <row r="4540" spans="1:41" s="2" customFormat="1" x14ac:dyDescent="0.2">
      <c r="A4540"/>
      <c r="B4540"/>
      <c r="C4540"/>
      <c r="D4540"/>
      <c r="E4540"/>
      <c r="F4540"/>
      <c r="G4540"/>
      <c r="U4540"/>
      <c r="V4540"/>
      <c r="W4540"/>
      <c r="X4540"/>
      <c r="Y4540"/>
      <c r="Z4540"/>
      <c r="AA4540"/>
      <c r="AB4540"/>
      <c r="AL4540"/>
      <c r="AM4540"/>
      <c r="AN4540"/>
      <c r="AO4540"/>
    </row>
    <row r="4541" spans="1:41" s="2" customFormat="1" x14ac:dyDescent="0.2">
      <c r="A4541"/>
      <c r="B4541"/>
      <c r="C4541"/>
      <c r="D4541"/>
      <c r="E4541"/>
      <c r="F4541"/>
      <c r="G4541"/>
      <c r="U4541"/>
      <c r="V4541"/>
      <c r="W4541"/>
      <c r="X4541"/>
      <c r="Y4541"/>
      <c r="Z4541"/>
      <c r="AA4541"/>
      <c r="AB4541"/>
      <c r="AL4541"/>
      <c r="AM4541"/>
      <c r="AN4541"/>
      <c r="AO4541"/>
    </row>
    <row r="4542" spans="1:41" s="2" customFormat="1" x14ac:dyDescent="0.2">
      <c r="A4542"/>
      <c r="B4542"/>
      <c r="C4542"/>
      <c r="D4542"/>
      <c r="E4542"/>
      <c r="F4542"/>
      <c r="G4542"/>
      <c r="U4542"/>
      <c r="V4542"/>
      <c r="W4542"/>
      <c r="X4542"/>
      <c r="Y4542"/>
      <c r="Z4542"/>
      <c r="AA4542"/>
      <c r="AB4542"/>
      <c r="AL4542"/>
      <c r="AM4542"/>
      <c r="AN4542"/>
      <c r="AO4542"/>
    </row>
    <row r="4543" spans="1:41" s="2" customFormat="1" x14ac:dyDescent="0.2">
      <c r="A4543"/>
      <c r="B4543"/>
      <c r="C4543"/>
      <c r="D4543"/>
      <c r="E4543"/>
      <c r="F4543"/>
      <c r="G4543"/>
      <c r="U4543"/>
      <c r="V4543"/>
      <c r="W4543"/>
      <c r="X4543"/>
      <c r="Y4543"/>
      <c r="Z4543"/>
      <c r="AA4543"/>
      <c r="AB4543"/>
      <c r="AL4543"/>
      <c r="AM4543"/>
      <c r="AN4543"/>
      <c r="AO4543"/>
    </row>
    <row r="4544" spans="1:41" s="2" customFormat="1" x14ac:dyDescent="0.2">
      <c r="A4544"/>
      <c r="B4544"/>
      <c r="C4544"/>
      <c r="D4544"/>
      <c r="E4544"/>
      <c r="F4544"/>
      <c r="G4544"/>
      <c r="U4544"/>
      <c r="V4544"/>
      <c r="W4544"/>
      <c r="X4544"/>
      <c r="Y4544"/>
      <c r="Z4544"/>
      <c r="AA4544"/>
      <c r="AB4544"/>
      <c r="AL4544"/>
      <c r="AM4544"/>
      <c r="AN4544"/>
      <c r="AO4544"/>
    </row>
    <row r="4545" spans="1:41" s="2" customFormat="1" x14ac:dyDescent="0.2">
      <c r="A4545"/>
      <c r="B4545"/>
      <c r="C4545"/>
      <c r="D4545"/>
      <c r="E4545"/>
      <c r="F4545"/>
      <c r="G4545"/>
      <c r="U4545"/>
      <c r="V4545"/>
      <c r="W4545"/>
      <c r="X4545"/>
      <c r="Y4545"/>
      <c r="Z4545"/>
      <c r="AA4545"/>
      <c r="AB4545"/>
      <c r="AL4545"/>
      <c r="AM4545"/>
      <c r="AN4545"/>
      <c r="AO4545"/>
    </row>
    <row r="4546" spans="1:41" s="2" customFormat="1" x14ac:dyDescent="0.2">
      <c r="A4546"/>
      <c r="B4546"/>
      <c r="C4546"/>
      <c r="D4546"/>
      <c r="E4546"/>
      <c r="F4546"/>
      <c r="G4546"/>
      <c r="U4546"/>
      <c r="V4546"/>
      <c r="W4546"/>
      <c r="X4546"/>
      <c r="Y4546"/>
      <c r="Z4546"/>
      <c r="AA4546"/>
      <c r="AB4546"/>
      <c r="AL4546"/>
      <c r="AM4546"/>
      <c r="AN4546"/>
      <c r="AO4546"/>
    </row>
    <row r="4547" spans="1:41" s="2" customFormat="1" x14ac:dyDescent="0.2">
      <c r="A4547"/>
      <c r="B4547"/>
      <c r="C4547"/>
      <c r="D4547"/>
      <c r="E4547"/>
      <c r="F4547"/>
      <c r="G4547"/>
      <c r="U4547"/>
      <c r="V4547"/>
      <c r="W4547"/>
      <c r="X4547"/>
      <c r="Y4547"/>
      <c r="Z4547"/>
      <c r="AA4547"/>
      <c r="AB4547"/>
      <c r="AL4547"/>
      <c r="AM4547"/>
      <c r="AN4547"/>
      <c r="AO4547"/>
    </row>
    <row r="4548" spans="1:41" s="2" customFormat="1" x14ac:dyDescent="0.2">
      <c r="A4548"/>
      <c r="B4548"/>
      <c r="C4548"/>
      <c r="D4548"/>
      <c r="E4548"/>
      <c r="F4548"/>
      <c r="G4548"/>
      <c r="U4548"/>
      <c r="V4548"/>
      <c r="W4548"/>
      <c r="X4548"/>
      <c r="Y4548"/>
      <c r="Z4548"/>
      <c r="AA4548"/>
      <c r="AB4548"/>
      <c r="AL4548"/>
      <c r="AM4548"/>
      <c r="AN4548"/>
      <c r="AO4548"/>
    </row>
    <row r="4549" spans="1:41" s="2" customFormat="1" x14ac:dyDescent="0.2">
      <c r="A4549"/>
      <c r="B4549"/>
      <c r="C4549"/>
      <c r="D4549"/>
      <c r="E4549"/>
      <c r="F4549"/>
      <c r="G4549"/>
      <c r="U4549"/>
      <c r="V4549"/>
      <c r="W4549"/>
      <c r="X4549"/>
      <c r="Y4549"/>
      <c r="Z4549"/>
      <c r="AA4549"/>
      <c r="AB4549"/>
      <c r="AL4549"/>
      <c r="AM4549"/>
      <c r="AN4549"/>
      <c r="AO4549"/>
    </row>
    <row r="4550" spans="1:41" s="2" customFormat="1" x14ac:dyDescent="0.2">
      <c r="A4550"/>
      <c r="B4550"/>
      <c r="C4550"/>
      <c r="D4550"/>
      <c r="E4550"/>
      <c r="F4550"/>
      <c r="G4550"/>
      <c r="U4550"/>
      <c r="V4550"/>
      <c r="W4550"/>
      <c r="X4550"/>
      <c r="Y4550"/>
      <c r="Z4550"/>
      <c r="AA4550"/>
      <c r="AB4550"/>
      <c r="AL4550"/>
      <c r="AM4550"/>
      <c r="AN4550"/>
      <c r="AO4550"/>
    </row>
    <row r="4551" spans="1:41" s="2" customFormat="1" x14ac:dyDescent="0.2">
      <c r="A4551"/>
      <c r="B4551"/>
      <c r="C4551"/>
      <c r="D4551"/>
      <c r="E4551"/>
      <c r="F4551"/>
      <c r="G4551"/>
      <c r="U4551"/>
      <c r="V4551"/>
      <c r="W4551"/>
      <c r="X4551"/>
      <c r="Y4551"/>
      <c r="Z4551"/>
      <c r="AA4551"/>
      <c r="AB4551"/>
      <c r="AL4551"/>
      <c r="AM4551"/>
      <c r="AN4551"/>
      <c r="AO4551"/>
    </row>
    <row r="4552" spans="1:41" s="2" customFormat="1" x14ac:dyDescent="0.2">
      <c r="A4552"/>
      <c r="B4552"/>
      <c r="C4552"/>
      <c r="D4552"/>
      <c r="E4552"/>
      <c r="F4552"/>
      <c r="G4552"/>
      <c r="U4552"/>
      <c r="V4552"/>
      <c r="W4552"/>
      <c r="X4552"/>
      <c r="Y4552"/>
      <c r="Z4552"/>
      <c r="AA4552"/>
      <c r="AB4552"/>
      <c r="AL4552"/>
      <c r="AM4552"/>
      <c r="AN4552"/>
      <c r="AO4552"/>
    </row>
    <row r="4553" spans="1:41" s="2" customFormat="1" x14ac:dyDescent="0.2">
      <c r="A4553"/>
      <c r="B4553"/>
      <c r="C4553"/>
      <c r="D4553"/>
      <c r="E4553"/>
      <c r="F4553"/>
      <c r="G4553"/>
      <c r="U4553"/>
      <c r="V4553"/>
      <c r="W4553"/>
      <c r="X4553"/>
      <c r="Y4553"/>
      <c r="Z4553"/>
      <c r="AA4553"/>
      <c r="AB4553"/>
      <c r="AL4553"/>
      <c r="AM4553"/>
      <c r="AN4553"/>
      <c r="AO4553"/>
    </row>
    <row r="4554" spans="1:41" s="2" customFormat="1" x14ac:dyDescent="0.2">
      <c r="A4554"/>
      <c r="B4554"/>
      <c r="C4554"/>
      <c r="D4554"/>
      <c r="E4554"/>
      <c r="F4554"/>
      <c r="G4554"/>
      <c r="U4554"/>
      <c r="V4554"/>
      <c r="W4554"/>
      <c r="X4554"/>
      <c r="Y4554"/>
      <c r="Z4554"/>
      <c r="AA4554"/>
      <c r="AB4554"/>
      <c r="AL4554"/>
      <c r="AM4554"/>
      <c r="AN4554"/>
      <c r="AO4554"/>
    </row>
    <row r="4555" spans="1:41" s="2" customFormat="1" x14ac:dyDescent="0.2">
      <c r="A4555"/>
      <c r="B4555"/>
      <c r="C4555"/>
      <c r="D4555"/>
      <c r="E4555"/>
      <c r="F4555"/>
      <c r="G4555"/>
      <c r="U4555"/>
      <c r="V4555"/>
      <c r="W4555"/>
      <c r="X4555"/>
      <c r="Y4555"/>
      <c r="Z4555"/>
      <c r="AA4555"/>
      <c r="AB4555"/>
      <c r="AL4555"/>
      <c r="AM4555"/>
      <c r="AN4555"/>
      <c r="AO4555"/>
    </row>
    <row r="4556" spans="1:41" s="2" customFormat="1" x14ac:dyDescent="0.2">
      <c r="A4556"/>
      <c r="B4556"/>
      <c r="C4556"/>
      <c r="D4556"/>
      <c r="E4556"/>
      <c r="F4556"/>
      <c r="G4556"/>
      <c r="U4556"/>
      <c r="V4556"/>
      <c r="W4556"/>
      <c r="X4556"/>
      <c r="Y4556"/>
      <c r="Z4556"/>
      <c r="AA4556"/>
      <c r="AB4556"/>
      <c r="AL4556"/>
      <c r="AM4556"/>
      <c r="AN4556"/>
      <c r="AO4556"/>
    </row>
    <row r="4557" spans="1:41" s="2" customFormat="1" x14ac:dyDescent="0.2">
      <c r="A4557"/>
      <c r="B4557"/>
      <c r="C4557"/>
      <c r="D4557"/>
      <c r="E4557"/>
      <c r="F4557"/>
      <c r="G4557"/>
      <c r="U4557"/>
      <c r="V4557"/>
      <c r="W4557"/>
      <c r="X4557"/>
      <c r="Y4557"/>
      <c r="Z4557"/>
      <c r="AA4557"/>
      <c r="AB4557"/>
      <c r="AL4557"/>
      <c r="AM4557"/>
      <c r="AN4557"/>
      <c r="AO4557"/>
    </row>
    <row r="4558" spans="1:41" s="2" customFormat="1" x14ac:dyDescent="0.2">
      <c r="A4558"/>
      <c r="B4558"/>
      <c r="C4558"/>
      <c r="D4558"/>
      <c r="E4558"/>
      <c r="F4558"/>
      <c r="G4558"/>
      <c r="U4558"/>
      <c r="V4558"/>
      <c r="W4558"/>
      <c r="X4558"/>
      <c r="Y4558"/>
      <c r="Z4558"/>
      <c r="AA4558"/>
      <c r="AB4558"/>
      <c r="AL4558"/>
      <c r="AM4558"/>
      <c r="AN4558"/>
      <c r="AO4558"/>
    </row>
    <row r="4559" spans="1:41" s="2" customFormat="1" x14ac:dyDescent="0.2">
      <c r="A4559"/>
      <c r="B4559"/>
      <c r="C4559"/>
      <c r="D4559"/>
      <c r="E4559"/>
      <c r="F4559"/>
      <c r="G4559"/>
      <c r="U4559"/>
      <c r="V4559"/>
      <c r="W4559"/>
      <c r="X4559"/>
      <c r="Y4559"/>
      <c r="Z4559"/>
      <c r="AA4559"/>
      <c r="AB4559"/>
      <c r="AL4559"/>
      <c r="AM4559"/>
      <c r="AN4559"/>
      <c r="AO4559"/>
    </row>
    <row r="4560" spans="1:41" s="2" customFormat="1" x14ac:dyDescent="0.2">
      <c r="A4560"/>
      <c r="B4560"/>
      <c r="C4560"/>
      <c r="D4560"/>
      <c r="E4560"/>
      <c r="F4560"/>
      <c r="G4560"/>
      <c r="U4560"/>
      <c r="V4560"/>
      <c r="W4560"/>
      <c r="X4560"/>
      <c r="Y4560"/>
      <c r="Z4560"/>
      <c r="AA4560"/>
      <c r="AB4560"/>
      <c r="AL4560"/>
      <c r="AM4560"/>
      <c r="AN4560"/>
      <c r="AO4560"/>
    </row>
    <row r="4561" spans="1:41" s="2" customFormat="1" x14ac:dyDescent="0.2">
      <c r="A4561"/>
      <c r="B4561"/>
      <c r="C4561"/>
      <c r="D4561"/>
      <c r="E4561"/>
      <c r="F4561"/>
      <c r="G4561"/>
      <c r="U4561"/>
      <c r="V4561"/>
      <c r="W4561"/>
      <c r="X4561"/>
      <c r="Y4561"/>
      <c r="Z4561"/>
      <c r="AA4561"/>
      <c r="AB4561"/>
      <c r="AL4561"/>
      <c r="AM4561"/>
      <c r="AN4561"/>
      <c r="AO4561"/>
    </row>
    <row r="4562" spans="1:41" s="2" customFormat="1" x14ac:dyDescent="0.2">
      <c r="A4562"/>
      <c r="B4562"/>
      <c r="C4562"/>
      <c r="D4562"/>
      <c r="E4562"/>
      <c r="F4562"/>
      <c r="G4562"/>
      <c r="U4562"/>
      <c r="V4562"/>
      <c r="W4562"/>
      <c r="X4562"/>
      <c r="Y4562"/>
      <c r="Z4562"/>
      <c r="AA4562"/>
      <c r="AB4562"/>
      <c r="AL4562"/>
      <c r="AM4562"/>
      <c r="AN4562"/>
      <c r="AO4562"/>
    </row>
    <row r="4563" spans="1:41" s="2" customFormat="1" x14ac:dyDescent="0.2">
      <c r="A4563"/>
      <c r="B4563"/>
      <c r="C4563"/>
      <c r="D4563"/>
      <c r="E4563"/>
      <c r="F4563"/>
      <c r="G4563"/>
      <c r="U4563"/>
      <c r="V4563"/>
      <c r="W4563"/>
      <c r="X4563"/>
      <c r="Y4563"/>
      <c r="Z4563"/>
      <c r="AA4563"/>
      <c r="AB4563"/>
      <c r="AL4563"/>
      <c r="AM4563"/>
      <c r="AN4563"/>
      <c r="AO4563"/>
    </row>
    <row r="4564" spans="1:41" s="2" customFormat="1" x14ac:dyDescent="0.2">
      <c r="A4564"/>
      <c r="B4564"/>
      <c r="C4564"/>
      <c r="D4564"/>
      <c r="E4564"/>
      <c r="F4564"/>
      <c r="G4564"/>
      <c r="U4564"/>
      <c r="V4564"/>
      <c r="W4564"/>
      <c r="X4564"/>
      <c r="Y4564"/>
      <c r="Z4564"/>
      <c r="AA4564"/>
      <c r="AB4564"/>
      <c r="AL4564"/>
      <c r="AM4564"/>
      <c r="AN4564"/>
      <c r="AO4564"/>
    </row>
    <row r="4565" spans="1:41" s="2" customFormat="1" x14ac:dyDescent="0.2">
      <c r="A4565"/>
      <c r="B4565"/>
      <c r="C4565"/>
      <c r="D4565"/>
      <c r="E4565"/>
      <c r="F4565"/>
      <c r="G4565"/>
      <c r="U4565"/>
      <c r="V4565"/>
      <c r="W4565"/>
      <c r="X4565"/>
      <c r="Y4565"/>
      <c r="Z4565"/>
      <c r="AA4565"/>
      <c r="AB4565"/>
      <c r="AL4565"/>
      <c r="AM4565"/>
      <c r="AN4565"/>
      <c r="AO4565"/>
    </row>
    <row r="4566" spans="1:41" s="2" customFormat="1" x14ac:dyDescent="0.2">
      <c r="A4566"/>
      <c r="B4566"/>
      <c r="C4566"/>
      <c r="D4566"/>
      <c r="E4566"/>
      <c r="F4566"/>
      <c r="G4566"/>
      <c r="U4566"/>
      <c r="V4566"/>
      <c r="W4566"/>
      <c r="X4566"/>
      <c r="Y4566"/>
      <c r="Z4566"/>
      <c r="AA4566"/>
      <c r="AB4566"/>
      <c r="AL4566"/>
      <c r="AM4566"/>
      <c r="AN4566"/>
      <c r="AO4566"/>
    </row>
    <row r="4567" spans="1:41" s="2" customFormat="1" x14ac:dyDescent="0.2">
      <c r="A4567"/>
      <c r="B4567"/>
      <c r="C4567"/>
      <c r="D4567"/>
      <c r="E4567"/>
      <c r="F4567"/>
      <c r="G4567"/>
      <c r="U4567"/>
      <c r="V4567"/>
      <c r="W4567"/>
      <c r="X4567"/>
      <c r="Y4567"/>
      <c r="Z4567"/>
      <c r="AA4567"/>
      <c r="AB4567"/>
      <c r="AL4567"/>
      <c r="AM4567"/>
      <c r="AN4567"/>
      <c r="AO4567"/>
    </row>
    <row r="4568" spans="1:41" s="2" customFormat="1" x14ac:dyDescent="0.2">
      <c r="A4568"/>
      <c r="B4568"/>
      <c r="C4568"/>
      <c r="D4568"/>
      <c r="E4568"/>
      <c r="F4568"/>
      <c r="G4568"/>
      <c r="U4568"/>
      <c r="V4568"/>
      <c r="W4568"/>
      <c r="X4568"/>
      <c r="Y4568"/>
      <c r="Z4568"/>
      <c r="AA4568"/>
      <c r="AB4568"/>
      <c r="AL4568"/>
      <c r="AM4568"/>
      <c r="AN4568"/>
      <c r="AO4568"/>
    </row>
    <row r="4569" spans="1:41" s="2" customFormat="1" x14ac:dyDescent="0.2">
      <c r="A4569"/>
      <c r="B4569"/>
      <c r="C4569"/>
      <c r="D4569"/>
      <c r="E4569"/>
      <c r="F4569"/>
      <c r="G4569"/>
      <c r="U4569"/>
      <c r="V4569"/>
      <c r="W4569"/>
      <c r="X4569"/>
      <c r="Y4569"/>
      <c r="Z4569"/>
      <c r="AA4569"/>
      <c r="AB4569"/>
      <c r="AL4569"/>
      <c r="AM4569"/>
      <c r="AN4569"/>
      <c r="AO4569"/>
    </row>
    <row r="4570" spans="1:41" s="2" customFormat="1" x14ac:dyDescent="0.2">
      <c r="A4570"/>
      <c r="B4570"/>
      <c r="C4570"/>
      <c r="D4570"/>
      <c r="E4570"/>
      <c r="F4570"/>
      <c r="G4570"/>
      <c r="U4570"/>
      <c r="V4570"/>
      <c r="W4570"/>
      <c r="X4570"/>
      <c r="Y4570"/>
      <c r="Z4570"/>
      <c r="AA4570"/>
      <c r="AB4570"/>
      <c r="AL4570"/>
      <c r="AM4570"/>
      <c r="AN4570"/>
      <c r="AO4570"/>
    </row>
    <row r="4571" spans="1:41" s="2" customFormat="1" x14ac:dyDescent="0.2">
      <c r="A4571"/>
      <c r="B4571"/>
      <c r="C4571"/>
      <c r="D4571"/>
      <c r="E4571"/>
      <c r="F4571"/>
      <c r="G4571"/>
      <c r="U4571"/>
      <c r="V4571"/>
      <c r="W4571"/>
      <c r="X4571"/>
      <c r="Y4571"/>
      <c r="Z4571"/>
      <c r="AA4571"/>
      <c r="AB4571"/>
      <c r="AL4571"/>
      <c r="AM4571"/>
      <c r="AN4571"/>
      <c r="AO4571"/>
    </row>
    <row r="4572" spans="1:41" s="2" customFormat="1" x14ac:dyDescent="0.2">
      <c r="A4572"/>
      <c r="B4572"/>
      <c r="C4572"/>
      <c r="D4572"/>
      <c r="E4572"/>
      <c r="F4572"/>
      <c r="G4572"/>
      <c r="U4572"/>
      <c r="V4572"/>
      <c r="W4572"/>
      <c r="X4572"/>
      <c r="Y4572"/>
      <c r="Z4572"/>
      <c r="AA4572"/>
      <c r="AB4572"/>
      <c r="AL4572"/>
      <c r="AM4572"/>
      <c r="AN4572"/>
      <c r="AO4572"/>
    </row>
    <row r="4573" spans="1:41" s="2" customFormat="1" x14ac:dyDescent="0.2">
      <c r="A4573"/>
      <c r="B4573"/>
      <c r="C4573"/>
      <c r="D4573"/>
      <c r="E4573"/>
      <c r="F4573"/>
      <c r="G4573"/>
      <c r="U4573"/>
      <c r="V4573"/>
      <c r="W4573"/>
      <c r="X4573"/>
      <c r="Y4573"/>
      <c r="Z4573"/>
      <c r="AA4573"/>
      <c r="AB4573"/>
      <c r="AL4573"/>
      <c r="AM4573"/>
      <c r="AN4573"/>
      <c r="AO4573"/>
    </row>
    <row r="4574" spans="1:41" s="2" customFormat="1" x14ac:dyDescent="0.2">
      <c r="A4574"/>
      <c r="B4574"/>
      <c r="C4574"/>
      <c r="D4574"/>
      <c r="E4574"/>
      <c r="F4574"/>
      <c r="G4574"/>
      <c r="U4574"/>
      <c r="V4574"/>
      <c r="W4574"/>
      <c r="X4574"/>
      <c r="Y4574"/>
      <c r="Z4574"/>
      <c r="AA4574"/>
      <c r="AB4574"/>
      <c r="AL4574"/>
      <c r="AM4574"/>
      <c r="AN4574"/>
      <c r="AO4574"/>
    </row>
    <row r="4575" spans="1:41" s="2" customFormat="1" x14ac:dyDescent="0.2">
      <c r="A4575"/>
      <c r="B4575"/>
      <c r="C4575"/>
      <c r="D4575"/>
      <c r="E4575"/>
      <c r="F4575"/>
      <c r="G4575"/>
      <c r="U4575"/>
      <c r="V4575"/>
      <c r="W4575"/>
      <c r="X4575"/>
      <c r="Y4575"/>
      <c r="Z4575"/>
      <c r="AA4575"/>
      <c r="AB4575"/>
      <c r="AL4575"/>
      <c r="AM4575"/>
      <c r="AN4575"/>
      <c r="AO4575"/>
    </row>
    <row r="4576" spans="1:41" s="2" customFormat="1" x14ac:dyDescent="0.2">
      <c r="A4576"/>
      <c r="B4576"/>
      <c r="C4576"/>
      <c r="D4576"/>
      <c r="E4576"/>
      <c r="F4576"/>
      <c r="G4576"/>
      <c r="U4576"/>
      <c r="V4576"/>
      <c r="W4576"/>
      <c r="X4576"/>
      <c r="Y4576"/>
      <c r="Z4576"/>
      <c r="AA4576"/>
      <c r="AB4576"/>
      <c r="AL4576"/>
      <c r="AM4576"/>
      <c r="AN4576"/>
      <c r="AO4576"/>
    </row>
    <row r="4577" spans="1:41" s="2" customFormat="1" x14ac:dyDescent="0.2">
      <c r="A4577"/>
      <c r="B4577"/>
      <c r="C4577"/>
      <c r="D4577"/>
      <c r="E4577"/>
      <c r="F4577"/>
      <c r="G4577"/>
      <c r="U4577"/>
      <c r="V4577"/>
      <c r="W4577"/>
      <c r="X4577"/>
      <c r="Y4577"/>
      <c r="Z4577"/>
      <c r="AA4577"/>
      <c r="AB4577"/>
      <c r="AL4577"/>
      <c r="AM4577"/>
      <c r="AN4577"/>
      <c r="AO4577"/>
    </row>
    <row r="4578" spans="1:41" s="2" customFormat="1" x14ac:dyDescent="0.2">
      <c r="A4578"/>
      <c r="B4578"/>
      <c r="C4578"/>
      <c r="D4578"/>
      <c r="E4578"/>
      <c r="F4578"/>
      <c r="G4578"/>
      <c r="U4578"/>
      <c r="V4578"/>
      <c r="W4578"/>
      <c r="X4578"/>
      <c r="Y4578"/>
      <c r="Z4578"/>
      <c r="AA4578"/>
      <c r="AB4578"/>
      <c r="AL4578"/>
      <c r="AM4578"/>
      <c r="AN4578"/>
      <c r="AO4578"/>
    </row>
    <row r="4579" spans="1:41" s="2" customFormat="1" x14ac:dyDescent="0.2">
      <c r="A4579"/>
      <c r="B4579"/>
      <c r="C4579"/>
      <c r="D4579"/>
      <c r="E4579"/>
      <c r="F4579"/>
      <c r="G4579"/>
      <c r="U4579"/>
      <c r="V4579"/>
      <c r="W4579"/>
      <c r="X4579"/>
      <c r="Y4579"/>
      <c r="Z4579"/>
      <c r="AA4579"/>
      <c r="AB4579"/>
      <c r="AL4579"/>
      <c r="AM4579"/>
      <c r="AN4579"/>
      <c r="AO4579"/>
    </row>
    <row r="4580" spans="1:41" s="2" customFormat="1" x14ac:dyDescent="0.2">
      <c r="A4580"/>
      <c r="B4580"/>
      <c r="C4580"/>
      <c r="D4580"/>
      <c r="E4580"/>
      <c r="F4580"/>
      <c r="G4580"/>
      <c r="U4580"/>
      <c r="V4580"/>
      <c r="W4580"/>
      <c r="X4580"/>
      <c r="Y4580"/>
      <c r="Z4580"/>
      <c r="AA4580"/>
      <c r="AB4580"/>
      <c r="AL4580"/>
      <c r="AM4580"/>
      <c r="AN4580"/>
      <c r="AO4580"/>
    </row>
    <row r="4581" spans="1:41" s="2" customFormat="1" x14ac:dyDescent="0.2">
      <c r="A4581"/>
      <c r="B4581"/>
      <c r="C4581"/>
      <c r="D4581"/>
      <c r="E4581"/>
      <c r="F4581"/>
      <c r="G4581"/>
      <c r="U4581"/>
      <c r="V4581"/>
      <c r="W4581"/>
      <c r="X4581"/>
      <c r="Y4581"/>
      <c r="Z4581"/>
      <c r="AA4581"/>
      <c r="AB4581"/>
      <c r="AL4581"/>
      <c r="AM4581"/>
      <c r="AN4581"/>
      <c r="AO4581"/>
    </row>
    <row r="4582" spans="1:41" s="2" customFormat="1" x14ac:dyDescent="0.2">
      <c r="A4582"/>
      <c r="B4582"/>
      <c r="C4582"/>
      <c r="D4582"/>
      <c r="E4582"/>
      <c r="F4582"/>
      <c r="G4582"/>
      <c r="U4582"/>
      <c r="V4582"/>
      <c r="W4582"/>
      <c r="X4582"/>
      <c r="Y4582"/>
      <c r="Z4582"/>
      <c r="AA4582"/>
      <c r="AB4582"/>
      <c r="AL4582"/>
      <c r="AM4582"/>
      <c r="AN4582"/>
      <c r="AO4582"/>
    </row>
    <row r="4583" spans="1:41" s="2" customFormat="1" x14ac:dyDescent="0.2">
      <c r="A4583"/>
      <c r="B4583"/>
      <c r="C4583"/>
      <c r="D4583"/>
      <c r="E4583"/>
      <c r="F4583"/>
      <c r="G4583"/>
      <c r="U4583"/>
      <c r="V4583"/>
      <c r="W4583"/>
      <c r="X4583"/>
      <c r="Y4583"/>
      <c r="Z4583"/>
      <c r="AA4583"/>
      <c r="AB4583"/>
      <c r="AL4583"/>
      <c r="AM4583"/>
      <c r="AN4583"/>
      <c r="AO4583"/>
    </row>
    <row r="4584" spans="1:41" s="2" customFormat="1" x14ac:dyDescent="0.2">
      <c r="A4584"/>
      <c r="B4584"/>
      <c r="C4584"/>
      <c r="D4584"/>
      <c r="E4584"/>
      <c r="F4584"/>
      <c r="G4584"/>
      <c r="U4584"/>
      <c r="V4584"/>
      <c r="W4584"/>
      <c r="X4584"/>
      <c r="Y4584"/>
      <c r="Z4584"/>
      <c r="AA4584"/>
      <c r="AB4584"/>
      <c r="AL4584"/>
      <c r="AM4584"/>
      <c r="AN4584"/>
      <c r="AO4584"/>
    </row>
    <row r="4585" spans="1:41" s="2" customFormat="1" x14ac:dyDescent="0.2">
      <c r="A4585"/>
      <c r="B4585"/>
      <c r="C4585"/>
      <c r="D4585"/>
      <c r="E4585"/>
      <c r="F4585"/>
      <c r="G4585"/>
      <c r="U4585"/>
      <c r="V4585"/>
      <c r="W4585"/>
      <c r="X4585"/>
      <c r="Y4585"/>
      <c r="Z4585"/>
      <c r="AA4585"/>
      <c r="AB4585"/>
      <c r="AL4585"/>
      <c r="AM4585"/>
      <c r="AN4585"/>
      <c r="AO4585"/>
    </row>
    <row r="4586" spans="1:41" s="2" customFormat="1" x14ac:dyDescent="0.2">
      <c r="A4586"/>
      <c r="B4586"/>
      <c r="C4586"/>
      <c r="D4586"/>
      <c r="E4586"/>
      <c r="F4586"/>
      <c r="G4586"/>
      <c r="U4586"/>
      <c r="V4586"/>
      <c r="W4586"/>
      <c r="X4586"/>
      <c r="Y4586"/>
      <c r="Z4586"/>
      <c r="AA4586"/>
      <c r="AB4586"/>
      <c r="AL4586"/>
      <c r="AM4586"/>
      <c r="AN4586"/>
      <c r="AO4586"/>
    </row>
    <row r="4587" spans="1:41" s="2" customFormat="1" x14ac:dyDescent="0.2">
      <c r="A4587"/>
      <c r="B4587"/>
      <c r="C4587"/>
      <c r="D4587"/>
      <c r="E4587"/>
      <c r="F4587"/>
      <c r="G4587"/>
      <c r="U4587"/>
      <c r="V4587"/>
      <c r="W4587"/>
      <c r="X4587"/>
      <c r="Y4587"/>
      <c r="Z4587"/>
      <c r="AA4587"/>
      <c r="AB4587"/>
      <c r="AL4587"/>
      <c r="AM4587"/>
      <c r="AN4587"/>
      <c r="AO4587"/>
    </row>
    <row r="4588" spans="1:41" s="2" customFormat="1" x14ac:dyDescent="0.2">
      <c r="A4588"/>
      <c r="B4588"/>
      <c r="C4588"/>
      <c r="D4588"/>
      <c r="E4588"/>
      <c r="F4588"/>
      <c r="G4588"/>
      <c r="U4588"/>
      <c r="V4588"/>
      <c r="W4588"/>
      <c r="X4588"/>
      <c r="Y4588"/>
      <c r="Z4588"/>
      <c r="AA4588"/>
      <c r="AB4588"/>
      <c r="AL4588"/>
      <c r="AM4588"/>
      <c r="AN4588"/>
      <c r="AO4588"/>
    </row>
    <row r="4589" spans="1:41" s="2" customFormat="1" x14ac:dyDescent="0.2">
      <c r="A4589"/>
      <c r="B4589"/>
      <c r="C4589"/>
      <c r="D4589"/>
      <c r="E4589"/>
      <c r="F4589"/>
      <c r="G4589"/>
      <c r="U4589"/>
      <c r="V4589"/>
      <c r="W4589"/>
      <c r="X4589"/>
      <c r="Y4589"/>
      <c r="Z4589"/>
      <c r="AA4589"/>
      <c r="AB4589"/>
      <c r="AL4589"/>
      <c r="AM4589"/>
      <c r="AN4589"/>
      <c r="AO4589"/>
    </row>
    <row r="4590" spans="1:41" s="2" customFormat="1" x14ac:dyDescent="0.2">
      <c r="A4590"/>
      <c r="B4590"/>
      <c r="C4590"/>
      <c r="D4590"/>
      <c r="E4590"/>
      <c r="F4590"/>
      <c r="G4590"/>
      <c r="U4590"/>
      <c r="V4590"/>
      <c r="W4590"/>
      <c r="X4590"/>
      <c r="Y4590"/>
      <c r="Z4590"/>
      <c r="AA4590"/>
      <c r="AB4590"/>
      <c r="AL4590"/>
      <c r="AM4590"/>
      <c r="AN4590"/>
      <c r="AO4590"/>
    </row>
    <row r="4591" spans="1:41" s="2" customFormat="1" x14ac:dyDescent="0.2">
      <c r="A4591"/>
      <c r="B4591"/>
      <c r="C4591"/>
      <c r="D4591"/>
      <c r="E4591"/>
      <c r="F4591"/>
      <c r="G4591"/>
      <c r="U4591"/>
      <c r="V4591"/>
      <c r="W4591"/>
      <c r="X4591"/>
      <c r="Y4591"/>
      <c r="Z4591"/>
      <c r="AA4591"/>
      <c r="AB4591"/>
      <c r="AL4591"/>
      <c r="AM4591"/>
      <c r="AN4591"/>
      <c r="AO4591"/>
    </row>
    <row r="4592" spans="1:41" s="2" customFormat="1" x14ac:dyDescent="0.2">
      <c r="A4592"/>
      <c r="B4592"/>
      <c r="C4592"/>
      <c r="D4592"/>
      <c r="E4592"/>
      <c r="F4592"/>
      <c r="G4592"/>
      <c r="U4592"/>
      <c r="V4592"/>
      <c r="W4592"/>
      <c r="X4592"/>
      <c r="Y4592"/>
      <c r="Z4592"/>
      <c r="AA4592"/>
      <c r="AB4592"/>
      <c r="AL4592"/>
      <c r="AM4592"/>
      <c r="AN4592"/>
      <c r="AO4592"/>
    </row>
    <row r="4593" spans="1:41" s="2" customFormat="1" x14ac:dyDescent="0.2">
      <c r="A4593"/>
      <c r="B4593"/>
      <c r="C4593"/>
      <c r="D4593"/>
      <c r="E4593"/>
      <c r="F4593"/>
      <c r="G4593"/>
      <c r="U4593"/>
      <c r="V4593"/>
      <c r="W4593"/>
      <c r="X4593"/>
      <c r="Y4593"/>
      <c r="Z4593"/>
      <c r="AA4593"/>
      <c r="AB4593"/>
      <c r="AL4593"/>
      <c r="AM4593"/>
      <c r="AN4593"/>
      <c r="AO4593"/>
    </row>
    <row r="4594" spans="1:41" s="2" customFormat="1" x14ac:dyDescent="0.2">
      <c r="A4594"/>
      <c r="B4594"/>
      <c r="C4594"/>
      <c r="D4594"/>
      <c r="E4594"/>
      <c r="F4594"/>
      <c r="G4594"/>
      <c r="U4594"/>
      <c r="V4594"/>
      <c r="W4594"/>
      <c r="X4594"/>
      <c r="Y4594"/>
      <c r="Z4594"/>
      <c r="AA4594"/>
      <c r="AB4594"/>
      <c r="AL4594"/>
      <c r="AM4594"/>
      <c r="AN4594"/>
      <c r="AO4594"/>
    </row>
    <row r="4595" spans="1:41" s="2" customFormat="1" x14ac:dyDescent="0.2">
      <c r="A4595"/>
      <c r="B4595"/>
      <c r="C4595"/>
      <c r="D4595"/>
      <c r="E4595"/>
      <c r="F4595"/>
      <c r="G4595"/>
      <c r="U4595"/>
      <c r="V4595"/>
      <c r="W4595"/>
      <c r="X4595"/>
      <c r="Y4595"/>
      <c r="Z4595"/>
      <c r="AA4595"/>
      <c r="AB4595"/>
      <c r="AL4595"/>
      <c r="AM4595"/>
      <c r="AN4595"/>
      <c r="AO4595"/>
    </row>
    <row r="4596" spans="1:41" s="2" customFormat="1" x14ac:dyDescent="0.2">
      <c r="A4596"/>
      <c r="B4596"/>
      <c r="C4596"/>
      <c r="D4596"/>
      <c r="E4596"/>
      <c r="F4596"/>
      <c r="G4596"/>
      <c r="U4596"/>
      <c r="V4596"/>
      <c r="W4596"/>
      <c r="X4596"/>
      <c r="Y4596"/>
      <c r="Z4596"/>
      <c r="AA4596"/>
      <c r="AB4596"/>
      <c r="AL4596"/>
      <c r="AM4596"/>
      <c r="AN4596"/>
      <c r="AO4596"/>
    </row>
    <row r="4597" spans="1:41" s="2" customFormat="1" x14ac:dyDescent="0.2">
      <c r="A4597"/>
      <c r="B4597"/>
      <c r="C4597"/>
      <c r="D4597"/>
      <c r="E4597"/>
      <c r="F4597"/>
      <c r="G4597"/>
      <c r="U4597"/>
      <c r="V4597"/>
      <c r="W4597"/>
      <c r="X4597"/>
      <c r="Y4597"/>
      <c r="Z4597"/>
      <c r="AA4597"/>
      <c r="AB4597"/>
      <c r="AL4597"/>
      <c r="AM4597"/>
      <c r="AN4597"/>
      <c r="AO4597"/>
    </row>
    <row r="4598" spans="1:41" s="2" customFormat="1" x14ac:dyDescent="0.2">
      <c r="A4598"/>
      <c r="B4598"/>
      <c r="C4598"/>
      <c r="D4598"/>
      <c r="E4598"/>
      <c r="F4598"/>
      <c r="G4598"/>
      <c r="U4598"/>
      <c r="V4598"/>
      <c r="W4598"/>
      <c r="X4598"/>
      <c r="Y4598"/>
      <c r="Z4598"/>
      <c r="AA4598"/>
      <c r="AB4598"/>
      <c r="AL4598"/>
      <c r="AM4598"/>
      <c r="AN4598"/>
      <c r="AO4598"/>
    </row>
    <row r="4599" spans="1:41" s="2" customFormat="1" x14ac:dyDescent="0.2">
      <c r="A4599"/>
      <c r="B4599"/>
      <c r="C4599"/>
      <c r="D4599"/>
      <c r="E4599"/>
      <c r="F4599"/>
      <c r="G4599"/>
      <c r="U4599"/>
      <c r="V4599"/>
      <c r="W4599"/>
      <c r="X4599"/>
      <c r="Y4599"/>
      <c r="Z4599"/>
      <c r="AA4599"/>
      <c r="AB4599"/>
      <c r="AL4599"/>
      <c r="AM4599"/>
      <c r="AN4599"/>
      <c r="AO4599"/>
    </row>
    <row r="4600" spans="1:41" s="2" customFormat="1" x14ac:dyDescent="0.2">
      <c r="A4600"/>
      <c r="B4600"/>
      <c r="C4600"/>
      <c r="D4600"/>
      <c r="E4600"/>
      <c r="F4600"/>
      <c r="G4600"/>
      <c r="U4600"/>
      <c r="V4600"/>
      <c r="W4600"/>
      <c r="X4600"/>
      <c r="Y4600"/>
      <c r="Z4600"/>
      <c r="AA4600"/>
      <c r="AB4600"/>
      <c r="AL4600"/>
      <c r="AM4600"/>
      <c r="AN4600"/>
      <c r="AO4600"/>
    </row>
    <row r="4601" spans="1:41" s="2" customFormat="1" x14ac:dyDescent="0.2">
      <c r="A4601"/>
      <c r="B4601"/>
      <c r="C4601"/>
      <c r="D4601"/>
      <c r="E4601"/>
      <c r="F4601"/>
      <c r="G4601"/>
      <c r="U4601"/>
      <c r="V4601"/>
      <c r="W4601"/>
      <c r="X4601"/>
      <c r="Y4601"/>
      <c r="Z4601"/>
      <c r="AA4601"/>
      <c r="AB4601"/>
      <c r="AL4601"/>
      <c r="AM4601"/>
      <c r="AN4601"/>
      <c r="AO4601"/>
    </row>
    <row r="4602" spans="1:41" s="2" customFormat="1" x14ac:dyDescent="0.2">
      <c r="A4602"/>
      <c r="B4602"/>
      <c r="C4602"/>
      <c r="D4602"/>
      <c r="E4602"/>
      <c r="F4602"/>
      <c r="G4602"/>
      <c r="U4602"/>
      <c r="V4602"/>
      <c r="W4602"/>
      <c r="X4602"/>
      <c r="Y4602"/>
      <c r="Z4602"/>
      <c r="AA4602"/>
      <c r="AB4602"/>
      <c r="AL4602"/>
      <c r="AM4602"/>
      <c r="AN4602"/>
      <c r="AO4602"/>
    </row>
    <row r="4603" spans="1:41" s="2" customFormat="1" x14ac:dyDescent="0.2">
      <c r="A4603"/>
      <c r="B4603"/>
      <c r="C4603"/>
      <c r="D4603"/>
      <c r="E4603"/>
      <c r="F4603"/>
      <c r="G4603"/>
      <c r="U4603"/>
      <c r="V4603"/>
      <c r="W4603"/>
      <c r="X4603"/>
      <c r="Y4603"/>
      <c r="Z4603"/>
      <c r="AA4603"/>
      <c r="AB4603"/>
      <c r="AL4603"/>
      <c r="AM4603"/>
      <c r="AN4603"/>
      <c r="AO4603"/>
    </row>
    <row r="4604" spans="1:41" s="2" customFormat="1" x14ac:dyDescent="0.2">
      <c r="A4604"/>
      <c r="B4604"/>
      <c r="C4604"/>
      <c r="D4604"/>
      <c r="E4604"/>
      <c r="F4604"/>
      <c r="G4604"/>
      <c r="U4604"/>
      <c r="V4604"/>
      <c r="W4604"/>
      <c r="X4604"/>
      <c r="Y4604"/>
      <c r="Z4604"/>
      <c r="AA4604"/>
      <c r="AB4604"/>
      <c r="AL4604"/>
      <c r="AM4604"/>
      <c r="AN4604"/>
      <c r="AO4604"/>
    </row>
    <row r="4605" spans="1:41" s="2" customFormat="1" x14ac:dyDescent="0.2">
      <c r="A4605"/>
      <c r="B4605"/>
      <c r="C4605"/>
      <c r="D4605"/>
      <c r="E4605"/>
      <c r="F4605"/>
      <c r="G4605"/>
      <c r="U4605"/>
      <c r="V4605"/>
      <c r="W4605"/>
      <c r="X4605"/>
      <c r="Y4605"/>
      <c r="Z4605"/>
      <c r="AA4605"/>
      <c r="AB4605"/>
      <c r="AL4605"/>
      <c r="AM4605"/>
      <c r="AN4605"/>
      <c r="AO4605"/>
    </row>
    <row r="4606" spans="1:41" s="2" customFormat="1" x14ac:dyDescent="0.2">
      <c r="A4606"/>
      <c r="B4606"/>
      <c r="C4606"/>
      <c r="D4606"/>
      <c r="E4606"/>
      <c r="F4606"/>
      <c r="G4606"/>
      <c r="U4606"/>
      <c r="V4606"/>
      <c r="W4606"/>
      <c r="X4606"/>
      <c r="Y4606"/>
      <c r="Z4606"/>
      <c r="AA4606"/>
      <c r="AB4606"/>
      <c r="AL4606"/>
      <c r="AM4606"/>
      <c r="AN4606"/>
      <c r="AO4606"/>
    </row>
    <row r="4607" spans="1:41" s="2" customFormat="1" x14ac:dyDescent="0.2">
      <c r="A4607"/>
      <c r="B4607"/>
      <c r="C4607"/>
      <c r="D4607"/>
      <c r="E4607"/>
      <c r="F4607"/>
      <c r="G4607"/>
      <c r="U4607"/>
      <c r="V4607"/>
      <c r="W4607"/>
      <c r="X4607"/>
      <c r="Y4607"/>
      <c r="Z4607"/>
      <c r="AA4607"/>
      <c r="AB4607"/>
      <c r="AL4607"/>
      <c r="AM4607"/>
      <c r="AN4607"/>
      <c r="AO4607"/>
    </row>
    <row r="4608" spans="1:41" s="2" customFormat="1" x14ac:dyDescent="0.2">
      <c r="A4608"/>
      <c r="B4608"/>
      <c r="C4608"/>
      <c r="D4608"/>
      <c r="E4608"/>
      <c r="F4608"/>
      <c r="G4608"/>
      <c r="U4608"/>
      <c r="V4608"/>
      <c r="W4608"/>
      <c r="X4608"/>
      <c r="Y4608"/>
      <c r="Z4608"/>
      <c r="AA4608"/>
      <c r="AB4608"/>
      <c r="AL4608"/>
      <c r="AM4608"/>
      <c r="AN4608"/>
      <c r="AO4608"/>
    </row>
    <row r="4609" spans="1:41" s="2" customFormat="1" x14ac:dyDescent="0.2">
      <c r="A4609"/>
      <c r="B4609"/>
      <c r="C4609"/>
      <c r="D4609"/>
      <c r="E4609"/>
      <c r="F4609"/>
      <c r="G4609"/>
      <c r="U4609"/>
      <c r="V4609"/>
      <c r="W4609"/>
      <c r="X4609"/>
      <c r="Y4609"/>
      <c r="Z4609"/>
      <c r="AA4609"/>
      <c r="AB4609"/>
      <c r="AL4609"/>
      <c r="AM4609"/>
      <c r="AN4609"/>
      <c r="AO4609"/>
    </row>
    <row r="4610" spans="1:41" s="2" customFormat="1" x14ac:dyDescent="0.2">
      <c r="A4610"/>
      <c r="B4610"/>
      <c r="C4610"/>
      <c r="D4610"/>
      <c r="E4610"/>
      <c r="F4610"/>
      <c r="G4610"/>
      <c r="U4610"/>
      <c r="V4610"/>
      <c r="W4610"/>
      <c r="X4610"/>
      <c r="Y4610"/>
      <c r="Z4610"/>
      <c r="AA4610"/>
      <c r="AB4610"/>
      <c r="AL4610"/>
      <c r="AM4610"/>
      <c r="AN4610"/>
      <c r="AO4610"/>
    </row>
    <row r="4611" spans="1:41" s="2" customFormat="1" x14ac:dyDescent="0.2">
      <c r="A4611"/>
      <c r="B4611"/>
      <c r="C4611"/>
      <c r="D4611"/>
      <c r="E4611"/>
      <c r="F4611"/>
      <c r="G4611"/>
      <c r="U4611"/>
      <c r="V4611"/>
      <c r="W4611"/>
      <c r="X4611"/>
      <c r="Y4611"/>
      <c r="Z4611"/>
      <c r="AA4611"/>
      <c r="AB4611"/>
      <c r="AL4611"/>
      <c r="AM4611"/>
      <c r="AN4611"/>
      <c r="AO4611"/>
    </row>
    <row r="4612" spans="1:41" s="2" customFormat="1" x14ac:dyDescent="0.2">
      <c r="A4612"/>
      <c r="B4612"/>
      <c r="C4612"/>
      <c r="D4612"/>
      <c r="E4612"/>
      <c r="F4612"/>
      <c r="G4612"/>
      <c r="U4612"/>
      <c r="V4612"/>
      <c r="W4612"/>
      <c r="X4612"/>
      <c r="Y4612"/>
      <c r="Z4612"/>
      <c r="AA4612"/>
      <c r="AB4612"/>
      <c r="AL4612"/>
      <c r="AM4612"/>
      <c r="AN4612"/>
      <c r="AO4612"/>
    </row>
    <row r="4613" spans="1:41" s="2" customFormat="1" x14ac:dyDescent="0.2">
      <c r="A4613"/>
      <c r="B4613"/>
      <c r="C4613"/>
      <c r="D4613"/>
      <c r="E4613"/>
      <c r="F4613"/>
      <c r="G4613"/>
      <c r="U4613"/>
      <c r="V4613"/>
      <c r="W4613"/>
      <c r="X4613"/>
      <c r="Y4613"/>
      <c r="Z4613"/>
      <c r="AA4613"/>
      <c r="AB4613"/>
      <c r="AL4613"/>
      <c r="AM4613"/>
      <c r="AN4613"/>
      <c r="AO4613"/>
    </row>
    <row r="4614" spans="1:41" s="2" customFormat="1" x14ac:dyDescent="0.2">
      <c r="A4614"/>
      <c r="B4614"/>
      <c r="C4614"/>
      <c r="D4614"/>
      <c r="E4614"/>
      <c r="F4614"/>
      <c r="G4614"/>
      <c r="U4614"/>
      <c r="V4614"/>
      <c r="W4614"/>
      <c r="X4614"/>
      <c r="Y4614"/>
      <c r="Z4614"/>
      <c r="AA4614"/>
      <c r="AB4614"/>
      <c r="AL4614"/>
      <c r="AM4614"/>
      <c r="AN4614"/>
      <c r="AO4614"/>
    </row>
    <row r="4615" spans="1:41" s="2" customFormat="1" x14ac:dyDescent="0.2">
      <c r="A4615"/>
      <c r="B4615"/>
      <c r="C4615"/>
      <c r="D4615"/>
      <c r="E4615"/>
      <c r="F4615"/>
      <c r="G4615"/>
      <c r="U4615"/>
      <c r="V4615"/>
      <c r="W4615"/>
      <c r="X4615"/>
      <c r="Y4615"/>
      <c r="Z4615"/>
      <c r="AA4615"/>
      <c r="AB4615"/>
      <c r="AL4615"/>
      <c r="AM4615"/>
      <c r="AN4615"/>
      <c r="AO4615"/>
    </row>
    <row r="4616" spans="1:41" s="2" customFormat="1" x14ac:dyDescent="0.2">
      <c r="A4616"/>
      <c r="B4616"/>
      <c r="C4616"/>
      <c r="D4616"/>
      <c r="E4616"/>
      <c r="F4616"/>
      <c r="G4616"/>
      <c r="U4616"/>
      <c r="V4616"/>
      <c r="W4616"/>
      <c r="X4616"/>
      <c r="Y4616"/>
      <c r="Z4616"/>
      <c r="AA4616"/>
      <c r="AB4616"/>
      <c r="AL4616"/>
      <c r="AM4616"/>
      <c r="AN4616"/>
      <c r="AO4616"/>
    </row>
    <row r="4617" spans="1:41" s="2" customFormat="1" x14ac:dyDescent="0.2">
      <c r="A4617"/>
      <c r="B4617"/>
      <c r="C4617"/>
      <c r="D4617"/>
      <c r="E4617"/>
      <c r="F4617"/>
      <c r="G4617"/>
      <c r="U4617"/>
      <c r="V4617"/>
      <c r="W4617"/>
      <c r="X4617"/>
      <c r="Y4617"/>
      <c r="Z4617"/>
      <c r="AA4617"/>
      <c r="AB4617"/>
      <c r="AL4617"/>
      <c r="AM4617"/>
      <c r="AN4617"/>
      <c r="AO4617"/>
    </row>
    <row r="4618" spans="1:41" s="2" customFormat="1" x14ac:dyDescent="0.2">
      <c r="A4618"/>
      <c r="B4618"/>
      <c r="C4618"/>
      <c r="D4618"/>
      <c r="E4618"/>
      <c r="F4618"/>
      <c r="G4618"/>
      <c r="U4618"/>
      <c r="V4618"/>
      <c r="W4618"/>
      <c r="X4618"/>
      <c r="Y4618"/>
      <c r="Z4618"/>
      <c r="AA4618"/>
      <c r="AB4618"/>
      <c r="AL4618"/>
      <c r="AM4618"/>
      <c r="AN4618"/>
      <c r="AO4618"/>
    </row>
    <row r="4619" spans="1:41" s="2" customFormat="1" x14ac:dyDescent="0.2">
      <c r="A4619"/>
      <c r="B4619"/>
      <c r="C4619"/>
      <c r="D4619"/>
      <c r="E4619"/>
      <c r="F4619"/>
      <c r="G4619"/>
      <c r="U4619"/>
      <c r="V4619"/>
      <c r="W4619"/>
      <c r="X4619"/>
      <c r="Y4619"/>
      <c r="Z4619"/>
      <c r="AA4619"/>
      <c r="AB4619"/>
      <c r="AL4619"/>
      <c r="AM4619"/>
      <c r="AN4619"/>
      <c r="AO4619"/>
    </row>
    <row r="4620" spans="1:41" s="2" customFormat="1" x14ac:dyDescent="0.2">
      <c r="A4620"/>
      <c r="B4620"/>
      <c r="C4620"/>
      <c r="D4620"/>
      <c r="E4620"/>
      <c r="F4620"/>
      <c r="G4620"/>
      <c r="U4620"/>
      <c r="V4620"/>
      <c r="W4620"/>
      <c r="X4620"/>
      <c r="Y4620"/>
      <c r="Z4620"/>
      <c r="AA4620"/>
      <c r="AB4620"/>
      <c r="AL4620"/>
      <c r="AM4620"/>
      <c r="AN4620"/>
      <c r="AO4620"/>
    </row>
    <row r="4621" spans="1:41" s="2" customFormat="1" x14ac:dyDescent="0.2">
      <c r="A4621"/>
      <c r="B4621"/>
      <c r="C4621"/>
      <c r="D4621"/>
      <c r="E4621"/>
      <c r="F4621"/>
      <c r="G4621"/>
      <c r="U4621"/>
      <c r="V4621"/>
      <c r="W4621"/>
      <c r="X4621"/>
      <c r="Y4621"/>
      <c r="Z4621"/>
      <c r="AA4621"/>
      <c r="AB4621"/>
      <c r="AL4621"/>
      <c r="AM4621"/>
      <c r="AN4621"/>
      <c r="AO4621"/>
    </row>
    <row r="4622" spans="1:41" s="2" customFormat="1" x14ac:dyDescent="0.2">
      <c r="A4622"/>
      <c r="B4622"/>
      <c r="C4622"/>
      <c r="D4622"/>
      <c r="E4622"/>
      <c r="F4622"/>
      <c r="G4622"/>
      <c r="U4622"/>
      <c r="V4622"/>
      <c r="W4622"/>
      <c r="X4622"/>
      <c r="Y4622"/>
      <c r="Z4622"/>
      <c r="AA4622"/>
      <c r="AB4622"/>
      <c r="AL4622"/>
      <c r="AM4622"/>
      <c r="AN4622"/>
      <c r="AO4622"/>
    </row>
    <row r="4623" spans="1:41" s="2" customFormat="1" x14ac:dyDescent="0.2">
      <c r="A4623"/>
      <c r="B4623"/>
      <c r="C4623"/>
      <c r="D4623"/>
      <c r="E4623"/>
      <c r="F4623"/>
      <c r="G4623"/>
      <c r="U4623"/>
      <c r="V4623"/>
      <c r="W4623"/>
      <c r="X4623"/>
      <c r="Y4623"/>
      <c r="Z4623"/>
      <c r="AA4623"/>
      <c r="AB4623"/>
      <c r="AL4623"/>
      <c r="AM4623"/>
      <c r="AN4623"/>
      <c r="AO4623"/>
    </row>
    <row r="4624" spans="1:41" s="2" customFormat="1" x14ac:dyDescent="0.2">
      <c r="A4624"/>
      <c r="B4624"/>
      <c r="C4624"/>
      <c r="D4624"/>
      <c r="E4624"/>
      <c r="F4624"/>
      <c r="G4624"/>
      <c r="U4624"/>
      <c r="V4624"/>
      <c r="W4624"/>
      <c r="X4624"/>
      <c r="Y4624"/>
      <c r="Z4624"/>
      <c r="AA4624"/>
      <c r="AB4624"/>
      <c r="AL4624"/>
      <c r="AM4624"/>
      <c r="AN4624"/>
      <c r="AO4624"/>
    </row>
    <row r="4625" spans="1:41" s="2" customFormat="1" x14ac:dyDescent="0.2">
      <c r="A4625"/>
      <c r="B4625"/>
      <c r="C4625"/>
      <c r="D4625"/>
      <c r="E4625"/>
      <c r="F4625"/>
      <c r="G4625"/>
      <c r="U4625"/>
      <c r="V4625"/>
      <c r="W4625"/>
      <c r="X4625"/>
      <c r="Y4625"/>
      <c r="Z4625"/>
      <c r="AA4625"/>
      <c r="AB4625"/>
      <c r="AL4625"/>
      <c r="AM4625"/>
      <c r="AN4625"/>
      <c r="AO4625"/>
    </row>
    <row r="4626" spans="1:41" s="2" customFormat="1" x14ac:dyDescent="0.2">
      <c r="A4626"/>
      <c r="B4626"/>
      <c r="C4626"/>
      <c r="D4626"/>
      <c r="E4626"/>
      <c r="F4626"/>
      <c r="G4626"/>
      <c r="U4626"/>
      <c r="V4626"/>
      <c r="W4626"/>
      <c r="X4626"/>
      <c r="Y4626"/>
      <c r="Z4626"/>
      <c r="AA4626"/>
      <c r="AB4626"/>
      <c r="AL4626"/>
      <c r="AM4626"/>
      <c r="AN4626"/>
      <c r="AO4626"/>
    </row>
    <row r="4627" spans="1:41" s="2" customFormat="1" x14ac:dyDescent="0.2">
      <c r="A4627"/>
      <c r="B4627"/>
      <c r="C4627"/>
      <c r="D4627"/>
      <c r="E4627"/>
      <c r="F4627"/>
      <c r="G4627"/>
      <c r="U4627"/>
      <c r="V4627"/>
      <c r="W4627"/>
      <c r="X4627"/>
      <c r="Y4627"/>
      <c r="Z4627"/>
      <c r="AA4627"/>
      <c r="AB4627"/>
      <c r="AL4627"/>
      <c r="AM4627"/>
      <c r="AN4627"/>
      <c r="AO4627"/>
    </row>
    <row r="4628" spans="1:41" s="2" customFormat="1" x14ac:dyDescent="0.2">
      <c r="A4628"/>
      <c r="B4628"/>
      <c r="C4628"/>
      <c r="D4628"/>
      <c r="E4628"/>
      <c r="F4628"/>
      <c r="G4628"/>
      <c r="U4628"/>
      <c r="V4628"/>
      <c r="W4628"/>
      <c r="X4628"/>
      <c r="Y4628"/>
      <c r="Z4628"/>
      <c r="AA4628"/>
      <c r="AB4628"/>
      <c r="AL4628"/>
      <c r="AM4628"/>
      <c r="AN4628"/>
      <c r="AO4628"/>
    </row>
    <row r="4629" spans="1:41" s="2" customFormat="1" x14ac:dyDescent="0.2">
      <c r="A4629"/>
      <c r="B4629"/>
      <c r="C4629"/>
      <c r="D4629"/>
      <c r="E4629"/>
      <c r="F4629"/>
      <c r="G4629"/>
      <c r="U4629"/>
      <c r="V4629"/>
      <c r="W4629"/>
      <c r="X4629"/>
      <c r="Y4629"/>
      <c r="Z4629"/>
      <c r="AA4629"/>
      <c r="AB4629"/>
      <c r="AL4629"/>
      <c r="AM4629"/>
      <c r="AN4629"/>
      <c r="AO4629"/>
    </row>
    <row r="4630" spans="1:41" s="2" customFormat="1" x14ac:dyDescent="0.2">
      <c r="A4630"/>
      <c r="B4630"/>
      <c r="C4630"/>
      <c r="D4630"/>
      <c r="E4630"/>
      <c r="F4630"/>
      <c r="G4630"/>
      <c r="U4630"/>
      <c r="V4630"/>
      <c r="W4630"/>
      <c r="X4630"/>
      <c r="Y4630"/>
      <c r="Z4630"/>
      <c r="AA4630"/>
      <c r="AB4630"/>
      <c r="AL4630"/>
      <c r="AM4630"/>
      <c r="AN4630"/>
      <c r="AO4630"/>
    </row>
    <row r="4631" spans="1:41" s="2" customFormat="1" x14ac:dyDescent="0.2">
      <c r="A4631"/>
      <c r="B4631"/>
      <c r="C4631"/>
      <c r="D4631"/>
      <c r="E4631"/>
      <c r="F4631"/>
      <c r="G4631"/>
      <c r="U4631"/>
      <c r="V4631"/>
      <c r="W4631"/>
      <c r="X4631"/>
      <c r="Y4631"/>
      <c r="Z4631"/>
      <c r="AA4631"/>
      <c r="AB4631"/>
      <c r="AL4631"/>
      <c r="AM4631"/>
      <c r="AN4631"/>
      <c r="AO4631"/>
    </row>
    <row r="4632" spans="1:41" s="2" customFormat="1" x14ac:dyDescent="0.2">
      <c r="A4632"/>
      <c r="B4632"/>
      <c r="C4632"/>
      <c r="D4632"/>
      <c r="E4632"/>
      <c r="F4632"/>
      <c r="G4632"/>
      <c r="U4632"/>
      <c r="V4632"/>
      <c r="W4632"/>
      <c r="X4632"/>
      <c r="Y4632"/>
      <c r="Z4632"/>
      <c r="AA4632"/>
      <c r="AB4632"/>
      <c r="AL4632"/>
      <c r="AM4632"/>
      <c r="AN4632"/>
      <c r="AO4632"/>
    </row>
    <row r="4633" spans="1:41" s="2" customFormat="1" x14ac:dyDescent="0.2">
      <c r="A4633"/>
      <c r="B4633"/>
      <c r="C4633"/>
      <c r="D4633"/>
      <c r="E4633"/>
      <c r="F4633"/>
      <c r="G4633"/>
      <c r="U4633"/>
      <c r="V4633"/>
      <c r="W4633"/>
      <c r="X4633"/>
      <c r="Y4633"/>
      <c r="Z4633"/>
      <c r="AA4633"/>
      <c r="AB4633"/>
      <c r="AL4633"/>
      <c r="AM4633"/>
      <c r="AN4633"/>
      <c r="AO4633"/>
    </row>
    <row r="4634" spans="1:41" s="2" customFormat="1" x14ac:dyDescent="0.2">
      <c r="A4634"/>
      <c r="B4634"/>
      <c r="C4634"/>
      <c r="D4634"/>
      <c r="E4634"/>
      <c r="F4634"/>
      <c r="G4634"/>
      <c r="U4634"/>
      <c r="V4634"/>
      <c r="W4634"/>
      <c r="X4634"/>
      <c r="Y4634"/>
      <c r="Z4634"/>
      <c r="AA4634"/>
      <c r="AB4634"/>
      <c r="AL4634"/>
      <c r="AM4634"/>
      <c r="AN4634"/>
      <c r="AO4634"/>
    </row>
    <row r="4635" spans="1:41" s="2" customFormat="1" x14ac:dyDescent="0.2">
      <c r="A4635"/>
      <c r="B4635"/>
      <c r="C4635"/>
      <c r="D4635"/>
      <c r="E4635"/>
      <c r="F4635"/>
      <c r="G4635"/>
      <c r="U4635"/>
      <c r="V4635"/>
      <c r="W4635"/>
      <c r="X4635"/>
      <c r="Y4635"/>
      <c r="Z4635"/>
      <c r="AA4635"/>
      <c r="AB4635"/>
      <c r="AL4635"/>
      <c r="AM4635"/>
      <c r="AN4635"/>
      <c r="AO4635"/>
    </row>
    <row r="4636" spans="1:41" s="2" customFormat="1" x14ac:dyDescent="0.2">
      <c r="A4636"/>
      <c r="B4636"/>
      <c r="C4636"/>
      <c r="D4636"/>
      <c r="E4636"/>
      <c r="F4636"/>
      <c r="G4636"/>
      <c r="U4636"/>
      <c r="V4636"/>
      <c r="W4636"/>
      <c r="X4636"/>
      <c r="Y4636"/>
      <c r="Z4636"/>
      <c r="AA4636"/>
      <c r="AB4636"/>
      <c r="AL4636"/>
      <c r="AM4636"/>
      <c r="AN4636"/>
      <c r="AO4636"/>
    </row>
    <row r="4637" spans="1:41" s="2" customFormat="1" x14ac:dyDescent="0.2">
      <c r="A4637"/>
      <c r="B4637"/>
      <c r="C4637"/>
      <c r="D4637"/>
      <c r="E4637"/>
      <c r="F4637"/>
      <c r="G4637"/>
      <c r="U4637"/>
      <c r="V4637"/>
      <c r="W4637"/>
      <c r="X4637"/>
      <c r="Y4637"/>
      <c r="Z4637"/>
      <c r="AA4637"/>
      <c r="AB4637"/>
      <c r="AL4637"/>
      <c r="AM4637"/>
      <c r="AN4637"/>
      <c r="AO4637"/>
    </row>
    <row r="4638" spans="1:41" s="2" customFormat="1" x14ac:dyDescent="0.2">
      <c r="A4638"/>
      <c r="B4638"/>
      <c r="C4638"/>
      <c r="D4638"/>
      <c r="E4638"/>
      <c r="F4638"/>
      <c r="G4638"/>
      <c r="U4638"/>
      <c r="V4638"/>
      <c r="W4638"/>
      <c r="X4638"/>
      <c r="Y4638"/>
      <c r="Z4638"/>
      <c r="AA4638"/>
      <c r="AB4638"/>
      <c r="AL4638"/>
      <c r="AM4638"/>
      <c r="AN4638"/>
      <c r="AO4638"/>
    </row>
    <row r="4639" spans="1:41" s="2" customFormat="1" x14ac:dyDescent="0.2">
      <c r="A4639"/>
      <c r="B4639"/>
      <c r="C4639"/>
      <c r="D4639"/>
      <c r="E4639"/>
      <c r="F4639"/>
      <c r="G4639"/>
      <c r="U4639"/>
      <c r="V4639"/>
      <c r="W4639"/>
      <c r="X4639"/>
      <c r="Y4639"/>
      <c r="Z4639"/>
      <c r="AA4639"/>
      <c r="AB4639"/>
      <c r="AL4639"/>
      <c r="AM4639"/>
      <c r="AN4639"/>
      <c r="AO4639"/>
    </row>
    <row r="4640" spans="1:41" s="2" customFormat="1" x14ac:dyDescent="0.2">
      <c r="A4640"/>
      <c r="B4640"/>
      <c r="C4640"/>
      <c r="D4640"/>
      <c r="E4640"/>
      <c r="F4640"/>
      <c r="G4640"/>
      <c r="U4640"/>
      <c r="V4640"/>
      <c r="W4640"/>
      <c r="X4640"/>
      <c r="Y4640"/>
      <c r="Z4640"/>
      <c r="AA4640"/>
      <c r="AB4640"/>
      <c r="AL4640"/>
      <c r="AM4640"/>
      <c r="AN4640"/>
      <c r="AO4640"/>
    </row>
    <row r="4641" spans="1:41" s="2" customFormat="1" x14ac:dyDescent="0.2">
      <c r="A4641"/>
      <c r="B4641"/>
      <c r="C4641"/>
      <c r="D4641"/>
      <c r="E4641"/>
      <c r="F4641"/>
      <c r="G4641"/>
      <c r="U4641"/>
      <c r="V4641"/>
      <c r="W4641"/>
      <c r="X4641"/>
      <c r="Y4641"/>
      <c r="Z4641"/>
      <c r="AA4641"/>
      <c r="AB4641"/>
      <c r="AL4641"/>
      <c r="AM4641"/>
      <c r="AN4641"/>
      <c r="AO4641"/>
    </row>
    <row r="4642" spans="1:41" s="2" customFormat="1" x14ac:dyDescent="0.2">
      <c r="A4642"/>
      <c r="B4642"/>
      <c r="C4642"/>
      <c r="D4642"/>
      <c r="E4642"/>
      <c r="F4642"/>
      <c r="G4642"/>
      <c r="U4642"/>
      <c r="V4642"/>
      <c r="W4642"/>
      <c r="X4642"/>
      <c r="Y4642"/>
      <c r="Z4642"/>
      <c r="AA4642"/>
      <c r="AB4642"/>
      <c r="AL4642"/>
      <c r="AM4642"/>
      <c r="AN4642"/>
      <c r="AO4642"/>
    </row>
    <row r="4643" spans="1:41" s="2" customFormat="1" x14ac:dyDescent="0.2">
      <c r="A4643"/>
      <c r="B4643"/>
      <c r="C4643"/>
      <c r="D4643"/>
      <c r="E4643"/>
      <c r="F4643"/>
      <c r="G4643"/>
      <c r="U4643"/>
      <c r="V4643"/>
      <c r="W4643"/>
      <c r="X4643"/>
      <c r="Y4643"/>
      <c r="Z4643"/>
      <c r="AA4643"/>
      <c r="AB4643"/>
      <c r="AL4643"/>
      <c r="AM4643"/>
      <c r="AN4643"/>
      <c r="AO4643"/>
    </row>
    <row r="4644" spans="1:41" s="2" customFormat="1" x14ac:dyDescent="0.2">
      <c r="A4644"/>
      <c r="B4644"/>
      <c r="C4644"/>
      <c r="D4644"/>
      <c r="E4644"/>
      <c r="F4644"/>
      <c r="G4644"/>
      <c r="U4644"/>
      <c r="V4644"/>
      <c r="W4644"/>
      <c r="X4644"/>
      <c r="Y4644"/>
      <c r="Z4644"/>
      <c r="AA4644"/>
      <c r="AB4644"/>
      <c r="AL4644"/>
      <c r="AM4644"/>
      <c r="AN4644"/>
      <c r="AO4644"/>
    </row>
    <row r="4645" spans="1:41" s="2" customFormat="1" x14ac:dyDescent="0.2">
      <c r="A4645"/>
      <c r="B4645"/>
      <c r="C4645"/>
      <c r="D4645"/>
      <c r="E4645"/>
      <c r="F4645"/>
      <c r="G4645"/>
      <c r="U4645"/>
      <c r="V4645"/>
      <c r="W4645"/>
      <c r="X4645"/>
      <c r="Y4645"/>
      <c r="Z4645"/>
      <c r="AA4645"/>
      <c r="AB4645"/>
      <c r="AL4645"/>
      <c r="AM4645"/>
      <c r="AN4645"/>
      <c r="AO4645"/>
    </row>
    <row r="4646" spans="1:41" s="2" customFormat="1" x14ac:dyDescent="0.2">
      <c r="A4646"/>
      <c r="B4646"/>
      <c r="C4646"/>
      <c r="D4646"/>
      <c r="E4646"/>
      <c r="F4646"/>
      <c r="G4646"/>
      <c r="U4646"/>
      <c r="V4646"/>
      <c r="W4646"/>
      <c r="X4646"/>
      <c r="Y4646"/>
      <c r="Z4646"/>
      <c r="AA4646"/>
      <c r="AB4646"/>
      <c r="AL4646"/>
      <c r="AM4646"/>
      <c r="AN4646"/>
      <c r="AO4646"/>
    </row>
    <row r="4647" spans="1:41" s="2" customFormat="1" x14ac:dyDescent="0.2">
      <c r="A4647"/>
      <c r="B4647"/>
      <c r="C4647"/>
      <c r="D4647"/>
      <c r="E4647"/>
      <c r="F4647"/>
      <c r="G4647"/>
      <c r="U4647"/>
      <c r="V4647"/>
      <c r="W4647"/>
      <c r="X4647"/>
      <c r="Y4647"/>
      <c r="Z4647"/>
      <c r="AA4647"/>
      <c r="AB4647"/>
      <c r="AL4647"/>
      <c r="AM4647"/>
      <c r="AN4647"/>
      <c r="AO4647"/>
    </row>
    <row r="4648" spans="1:41" s="2" customFormat="1" x14ac:dyDescent="0.2">
      <c r="A4648"/>
      <c r="B4648"/>
      <c r="C4648"/>
      <c r="D4648"/>
      <c r="E4648"/>
      <c r="F4648"/>
      <c r="G4648"/>
      <c r="U4648"/>
      <c r="V4648"/>
      <c r="W4648"/>
      <c r="X4648"/>
      <c r="Y4648"/>
      <c r="Z4648"/>
      <c r="AA4648"/>
      <c r="AB4648"/>
      <c r="AL4648"/>
      <c r="AM4648"/>
      <c r="AN4648"/>
      <c r="AO4648"/>
    </row>
    <row r="4649" spans="1:41" s="2" customFormat="1" x14ac:dyDescent="0.2">
      <c r="A4649"/>
      <c r="B4649"/>
      <c r="C4649"/>
      <c r="D4649"/>
      <c r="E4649"/>
      <c r="F4649"/>
      <c r="G4649"/>
      <c r="U4649"/>
      <c r="V4649"/>
      <c r="W4649"/>
      <c r="X4649"/>
      <c r="Y4649"/>
      <c r="Z4649"/>
      <c r="AA4649"/>
      <c r="AB4649"/>
      <c r="AL4649"/>
      <c r="AM4649"/>
      <c r="AN4649"/>
      <c r="AO4649"/>
    </row>
    <row r="4650" spans="1:41" s="2" customFormat="1" x14ac:dyDescent="0.2">
      <c r="A4650"/>
      <c r="B4650"/>
      <c r="C4650"/>
      <c r="D4650"/>
      <c r="E4650"/>
      <c r="F4650"/>
      <c r="G4650"/>
      <c r="U4650"/>
      <c r="V4650"/>
      <c r="W4650"/>
      <c r="X4650"/>
      <c r="Y4650"/>
      <c r="Z4650"/>
      <c r="AA4650"/>
      <c r="AB4650"/>
      <c r="AL4650"/>
      <c r="AM4650"/>
      <c r="AN4650"/>
      <c r="AO4650"/>
    </row>
    <row r="4651" spans="1:41" s="2" customFormat="1" x14ac:dyDescent="0.2">
      <c r="A4651"/>
      <c r="B4651"/>
      <c r="C4651"/>
      <c r="D4651"/>
      <c r="E4651"/>
      <c r="F4651"/>
      <c r="G4651"/>
      <c r="U4651"/>
      <c r="V4651"/>
      <c r="W4651"/>
      <c r="X4651"/>
      <c r="Y4651"/>
      <c r="Z4651"/>
      <c r="AA4651"/>
      <c r="AB4651"/>
      <c r="AL4651"/>
      <c r="AM4651"/>
      <c r="AN4651"/>
      <c r="AO4651"/>
    </row>
    <row r="4652" spans="1:41" s="2" customFormat="1" x14ac:dyDescent="0.2">
      <c r="A4652"/>
      <c r="B4652"/>
      <c r="C4652"/>
      <c r="D4652"/>
      <c r="E4652"/>
      <c r="F4652"/>
      <c r="G4652"/>
      <c r="U4652"/>
      <c r="V4652"/>
      <c r="W4652"/>
      <c r="X4652"/>
      <c r="Y4652"/>
      <c r="Z4652"/>
      <c r="AA4652"/>
      <c r="AB4652"/>
      <c r="AL4652"/>
      <c r="AM4652"/>
      <c r="AN4652"/>
      <c r="AO4652"/>
    </row>
    <row r="4653" spans="1:41" s="2" customFormat="1" x14ac:dyDescent="0.2">
      <c r="A4653"/>
      <c r="B4653"/>
      <c r="C4653"/>
      <c r="D4653"/>
      <c r="E4653"/>
      <c r="F4653"/>
      <c r="G4653"/>
      <c r="U4653"/>
      <c r="V4653"/>
      <c r="W4653"/>
      <c r="X4653"/>
      <c r="Y4653"/>
      <c r="Z4653"/>
      <c r="AA4653"/>
      <c r="AB4653"/>
      <c r="AL4653"/>
      <c r="AM4653"/>
      <c r="AN4653"/>
      <c r="AO4653"/>
    </row>
    <row r="4654" spans="1:41" s="2" customFormat="1" x14ac:dyDescent="0.2">
      <c r="A4654"/>
      <c r="B4654"/>
      <c r="C4654"/>
      <c r="D4654"/>
      <c r="E4654"/>
      <c r="F4654"/>
      <c r="G4654"/>
      <c r="U4654"/>
      <c r="V4654"/>
      <c r="W4654"/>
      <c r="X4654"/>
      <c r="Y4654"/>
      <c r="Z4654"/>
      <c r="AA4654"/>
      <c r="AB4654"/>
      <c r="AL4654"/>
      <c r="AM4654"/>
      <c r="AN4654"/>
      <c r="AO4654"/>
    </row>
    <row r="4655" spans="1:41" s="2" customFormat="1" x14ac:dyDescent="0.2">
      <c r="A4655"/>
      <c r="B4655"/>
      <c r="C4655"/>
      <c r="D4655"/>
      <c r="E4655"/>
      <c r="F4655"/>
      <c r="G4655"/>
      <c r="U4655"/>
      <c r="V4655"/>
      <c r="W4655"/>
      <c r="X4655"/>
      <c r="Y4655"/>
      <c r="Z4655"/>
      <c r="AA4655"/>
      <c r="AB4655"/>
      <c r="AL4655"/>
      <c r="AM4655"/>
      <c r="AN4655"/>
      <c r="AO4655"/>
    </row>
    <row r="4656" spans="1:41" s="2" customFormat="1" x14ac:dyDescent="0.2">
      <c r="A4656"/>
      <c r="B4656"/>
      <c r="C4656"/>
      <c r="D4656"/>
      <c r="E4656"/>
      <c r="F4656"/>
      <c r="G4656"/>
      <c r="U4656"/>
      <c r="V4656"/>
      <c r="W4656"/>
      <c r="X4656"/>
      <c r="Y4656"/>
      <c r="Z4656"/>
      <c r="AA4656"/>
      <c r="AB4656"/>
      <c r="AL4656"/>
      <c r="AM4656"/>
      <c r="AN4656"/>
      <c r="AO4656"/>
    </row>
    <row r="4657" spans="1:41" s="2" customFormat="1" x14ac:dyDescent="0.2">
      <c r="A4657"/>
      <c r="B4657"/>
      <c r="C4657"/>
      <c r="D4657"/>
      <c r="E4657"/>
      <c r="F4657"/>
      <c r="G4657"/>
      <c r="U4657"/>
      <c r="V4657"/>
      <c r="W4657"/>
      <c r="X4657"/>
      <c r="Y4657"/>
      <c r="Z4657"/>
      <c r="AA4657"/>
      <c r="AB4657"/>
      <c r="AL4657"/>
      <c r="AM4657"/>
      <c r="AN4657"/>
      <c r="AO4657"/>
    </row>
    <row r="4658" spans="1:41" s="2" customFormat="1" x14ac:dyDescent="0.2">
      <c r="A4658"/>
      <c r="B4658"/>
      <c r="C4658"/>
      <c r="D4658"/>
      <c r="E4658"/>
      <c r="F4658"/>
      <c r="G4658"/>
      <c r="U4658"/>
      <c r="V4658"/>
      <c r="W4658"/>
      <c r="X4658"/>
      <c r="Y4658"/>
      <c r="Z4658"/>
      <c r="AA4658"/>
      <c r="AB4658"/>
      <c r="AL4658"/>
      <c r="AM4658"/>
      <c r="AN4658"/>
      <c r="AO4658"/>
    </row>
    <row r="4659" spans="1:41" s="2" customFormat="1" x14ac:dyDescent="0.2">
      <c r="A4659"/>
      <c r="B4659"/>
      <c r="C4659"/>
      <c r="D4659"/>
      <c r="E4659"/>
      <c r="F4659"/>
      <c r="G4659"/>
      <c r="U4659"/>
      <c r="V4659"/>
      <c r="W4659"/>
      <c r="X4659"/>
      <c r="Y4659"/>
      <c r="Z4659"/>
      <c r="AA4659"/>
      <c r="AB4659"/>
      <c r="AL4659"/>
      <c r="AM4659"/>
      <c r="AN4659"/>
      <c r="AO4659"/>
    </row>
    <row r="4660" spans="1:41" s="2" customFormat="1" x14ac:dyDescent="0.2">
      <c r="A4660"/>
      <c r="B4660"/>
      <c r="C4660"/>
      <c r="D4660"/>
      <c r="E4660"/>
      <c r="F4660"/>
      <c r="G4660"/>
      <c r="U4660"/>
      <c r="V4660"/>
      <c r="W4660"/>
      <c r="X4660"/>
      <c r="Y4660"/>
      <c r="Z4660"/>
      <c r="AA4660"/>
      <c r="AB4660"/>
      <c r="AL4660"/>
      <c r="AM4660"/>
      <c r="AN4660"/>
      <c r="AO4660"/>
    </row>
    <row r="4661" spans="1:41" s="2" customFormat="1" x14ac:dyDescent="0.2">
      <c r="A4661"/>
      <c r="B4661"/>
      <c r="C4661"/>
      <c r="D4661"/>
      <c r="E4661"/>
      <c r="F4661"/>
      <c r="G4661"/>
      <c r="U4661"/>
      <c r="V4661"/>
      <c r="W4661"/>
      <c r="X4661"/>
      <c r="Y4661"/>
      <c r="Z4661"/>
      <c r="AA4661"/>
      <c r="AB4661"/>
      <c r="AL4661"/>
      <c r="AM4661"/>
      <c r="AN4661"/>
      <c r="AO4661"/>
    </row>
    <row r="4662" spans="1:41" s="2" customFormat="1" x14ac:dyDescent="0.2">
      <c r="A4662"/>
      <c r="B4662"/>
      <c r="C4662"/>
      <c r="D4662"/>
      <c r="E4662"/>
      <c r="F4662"/>
      <c r="G4662"/>
      <c r="U4662"/>
      <c r="V4662"/>
      <c r="W4662"/>
      <c r="X4662"/>
      <c r="Y4662"/>
      <c r="Z4662"/>
      <c r="AA4662"/>
      <c r="AB4662"/>
      <c r="AL4662"/>
      <c r="AM4662"/>
      <c r="AN4662"/>
      <c r="AO4662"/>
    </row>
    <row r="4663" spans="1:41" s="2" customFormat="1" x14ac:dyDescent="0.2">
      <c r="A4663"/>
      <c r="B4663"/>
      <c r="C4663"/>
      <c r="D4663"/>
      <c r="E4663"/>
      <c r="F4663"/>
      <c r="G4663"/>
      <c r="U4663"/>
      <c r="V4663"/>
      <c r="W4663"/>
      <c r="X4663"/>
      <c r="Y4663"/>
      <c r="Z4663"/>
      <c r="AA4663"/>
      <c r="AB4663"/>
      <c r="AL4663"/>
      <c r="AM4663"/>
      <c r="AN4663"/>
      <c r="AO4663"/>
    </row>
    <row r="4664" spans="1:41" s="2" customFormat="1" x14ac:dyDescent="0.2">
      <c r="A4664"/>
      <c r="B4664"/>
      <c r="C4664"/>
      <c r="D4664"/>
      <c r="E4664"/>
      <c r="F4664"/>
      <c r="G4664"/>
      <c r="U4664"/>
      <c r="V4664"/>
      <c r="W4664"/>
      <c r="X4664"/>
      <c r="Y4664"/>
      <c r="Z4664"/>
      <c r="AA4664"/>
      <c r="AB4664"/>
      <c r="AL4664"/>
      <c r="AM4664"/>
      <c r="AN4664"/>
      <c r="AO4664"/>
    </row>
    <row r="4665" spans="1:41" s="2" customFormat="1" x14ac:dyDescent="0.2">
      <c r="A4665"/>
      <c r="B4665"/>
      <c r="C4665"/>
      <c r="D4665"/>
      <c r="E4665"/>
      <c r="F4665"/>
      <c r="G4665"/>
      <c r="U4665"/>
      <c r="V4665"/>
      <c r="W4665"/>
      <c r="X4665"/>
      <c r="Y4665"/>
      <c r="Z4665"/>
      <c r="AA4665"/>
      <c r="AB4665"/>
      <c r="AL4665"/>
      <c r="AM4665"/>
      <c r="AN4665"/>
      <c r="AO4665"/>
    </row>
    <row r="4666" spans="1:41" s="2" customFormat="1" x14ac:dyDescent="0.2">
      <c r="A4666"/>
      <c r="B4666"/>
      <c r="C4666"/>
      <c r="D4666"/>
      <c r="E4666"/>
      <c r="F4666"/>
      <c r="G4666"/>
      <c r="U4666"/>
      <c r="V4666"/>
      <c r="W4666"/>
      <c r="X4666"/>
      <c r="Y4666"/>
      <c r="Z4666"/>
      <c r="AA4666"/>
      <c r="AB4666"/>
      <c r="AL4666"/>
      <c r="AM4666"/>
      <c r="AN4666"/>
      <c r="AO4666"/>
    </row>
    <row r="4667" spans="1:41" s="2" customFormat="1" x14ac:dyDescent="0.2">
      <c r="A4667"/>
      <c r="B4667"/>
      <c r="C4667"/>
      <c r="D4667"/>
      <c r="E4667"/>
      <c r="F4667"/>
      <c r="G4667"/>
      <c r="U4667"/>
      <c r="V4667"/>
      <c r="W4667"/>
      <c r="X4667"/>
      <c r="Y4667"/>
      <c r="Z4667"/>
      <c r="AA4667"/>
      <c r="AB4667"/>
      <c r="AL4667"/>
      <c r="AM4667"/>
      <c r="AN4667"/>
      <c r="AO4667"/>
    </row>
    <row r="4668" spans="1:41" s="2" customFormat="1" x14ac:dyDescent="0.2">
      <c r="A4668"/>
      <c r="B4668"/>
      <c r="C4668"/>
      <c r="D4668"/>
      <c r="E4668"/>
      <c r="F4668"/>
      <c r="G4668"/>
      <c r="U4668"/>
      <c r="V4668"/>
      <c r="W4668"/>
      <c r="X4668"/>
      <c r="Y4668"/>
      <c r="Z4668"/>
      <c r="AA4668"/>
      <c r="AB4668"/>
      <c r="AL4668"/>
      <c r="AM4668"/>
      <c r="AN4668"/>
      <c r="AO4668"/>
    </row>
    <row r="4669" spans="1:41" s="2" customFormat="1" x14ac:dyDescent="0.2">
      <c r="A4669"/>
      <c r="B4669"/>
      <c r="C4669"/>
      <c r="D4669"/>
      <c r="E4669"/>
      <c r="F4669"/>
      <c r="G4669"/>
      <c r="U4669"/>
      <c r="V4669"/>
      <c r="W4669"/>
      <c r="X4669"/>
      <c r="Y4669"/>
      <c r="Z4669"/>
      <c r="AA4669"/>
      <c r="AB4669"/>
      <c r="AL4669"/>
      <c r="AM4669"/>
      <c r="AN4669"/>
      <c r="AO4669"/>
    </row>
    <row r="4670" spans="1:41" s="2" customFormat="1" x14ac:dyDescent="0.2">
      <c r="A4670"/>
      <c r="B4670"/>
      <c r="C4670"/>
      <c r="D4670"/>
      <c r="E4670"/>
      <c r="F4670"/>
      <c r="G4670"/>
      <c r="U4670"/>
      <c r="V4670"/>
      <c r="W4670"/>
      <c r="X4670"/>
      <c r="Y4670"/>
      <c r="Z4670"/>
      <c r="AA4670"/>
      <c r="AB4670"/>
      <c r="AL4670"/>
      <c r="AM4670"/>
      <c r="AN4670"/>
      <c r="AO4670"/>
    </row>
    <row r="4671" spans="1:41" s="2" customFormat="1" x14ac:dyDescent="0.2">
      <c r="A4671"/>
      <c r="B4671"/>
      <c r="C4671"/>
      <c r="D4671"/>
      <c r="E4671"/>
      <c r="F4671"/>
      <c r="G4671"/>
      <c r="U4671"/>
      <c r="V4671"/>
      <c r="W4671"/>
      <c r="X4671"/>
      <c r="Y4671"/>
      <c r="Z4671"/>
      <c r="AA4671"/>
      <c r="AB4671"/>
      <c r="AL4671"/>
      <c r="AM4671"/>
      <c r="AN4671"/>
      <c r="AO4671"/>
    </row>
    <row r="4672" spans="1:41" s="2" customFormat="1" x14ac:dyDescent="0.2">
      <c r="A4672"/>
      <c r="B4672"/>
      <c r="C4672"/>
      <c r="D4672"/>
      <c r="E4672"/>
      <c r="F4672"/>
      <c r="G4672"/>
      <c r="U4672"/>
      <c r="V4672"/>
      <c r="W4672"/>
      <c r="X4672"/>
      <c r="Y4672"/>
      <c r="Z4672"/>
      <c r="AA4672"/>
      <c r="AB4672"/>
      <c r="AL4672"/>
      <c r="AM4672"/>
      <c r="AN4672"/>
      <c r="AO4672"/>
    </row>
    <row r="4673" spans="1:41" s="2" customFormat="1" x14ac:dyDescent="0.2">
      <c r="A4673"/>
      <c r="B4673"/>
      <c r="C4673"/>
      <c r="D4673"/>
      <c r="E4673"/>
      <c r="F4673"/>
      <c r="G4673"/>
      <c r="U4673"/>
      <c r="V4673"/>
      <c r="W4673"/>
      <c r="X4673"/>
      <c r="Y4673"/>
      <c r="Z4673"/>
      <c r="AA4673"/>
      <c r="AB4673"/>
      <c r="AL4673"/>
      <c r="AM4673"/>
      <c r="AN4673"/>
      <c r="AO4673"/>
    </row>
    <row r="4674" spans="1:41" s="2" customFormat="1" x14ac:dyDescent="0.2">
      <c r="A4674"/>
      <c r="B4674"/>
      <c r="C4674"/>
      <c r="D4674"/>
      <c r="E4674"/>
      <c r="F4674"/>
      <c r="G4674"/>
      <c r="U4674"/>
      <c r="V4674"/>
      <c r="W4674"/>
      <c r="X4674"/>
      <c r="Y4674"/>
      <c r="Z4674"/>
      <c r="AA4674"/>
      <c r="AB4674"/>
      <c r="AL4674"/>
      <c r="AM4674"/>
      <c r="AN4674"/>
      <c r="AO4674"/>
    </row>
    <row r="4675" spans="1:41" s="2" customFormat="1" x14ac:dyDescent="0.2">
      <c r="A4675"/>
      <c r="B4675"/>
      <c r="C4675"/>
      <c r="D4675"/>
      <c r="E4675"/>
      <c r="F4675"/>
      <c r="G4675"/>
      <c r="U4675"/>
      <c r="V4675"/>
      <c r="W4675"/>
      <c r="X4675"/>
      <c r="Y4675"/>
      <c r="Z4675"/>
      <c r="AA4675"/>
      <c r="AB4675"/>
      <c r="AL4675"/>
      <c r="AM4675"/>
      <c r="AN4675"/>
      <c r="AO4675"/>
    </row>
    <row r="4676" spans="1:41" s="2" customFormat="1" x14ac:dyDescent="0.2">
      <c r="A4676"/>
      <c r="B4676"/>
      <c r="C4676"/>
      <c r="D4676"/>
      <c r="E4676"/>
      <c r="F4676"/>
      <c r="G4676"/>
      <c r="U4676"/>
      <c r="V4676"/>
      <c r="W4676"/>
      <c r="X4676"/>
      <c r="Y4676"/>
      <c r="Z4676"/>
      <c r="AA4676"/>
      <c r="AB4676"/>
      <c r="AL4676"/>
      <c r="AM4676"/>
      <c r="AN4676"/>
      <c r="AO4676"/>
    </row>
    <row r="4677" spans="1:41" s="2" customFormat="1" x14ac:dyDescent="0.2">
      <c r="A4677"/>
      <c r="B4677"/>
      <c r="C4677"/>
      <c r="D4677"/>
      <c r="E4677"/>
      <c r="F4677"/>
      <c r="G4677"/>
      <c r="U4677"/>
      <c r="V4677"/>
      <c r="W4677"/>
      <c r="X4677"/>
      <c r="Y4677"/>
      <c r="Z4677"/>
      <c r="AA4677"/>
      <c r="AB4677"/>
      <c r="AL4677"/>
      <c r="AM4677"/>
      <c r="AN4677"/>
      <c r="AO4677"/>
    </row>
    <row r="4678" spans="1:41" s="2" customFormat="1" x14ac:dyDescent="0.2">
      <c r="A4678"/>
      <c r="B4678"/>
      <c r="C4678"/>
      <c r="D4678"/>
      <c r="E4678"/>
      <c r="F4678"/>
      <c r="G4678"/>
      <c r="U4678"/>
      <c r="V4678"/>
      <c r="W4678"/>
      <c r="X4678"/>
      <c r="Y4678"/>
      <c r="Z4678"/>
      <c r="AA4678"/>
      <c r="AB4678"/>
      <c r="AL4678"/>
      <c r="AM4678"/>
      <c r="AN4678"/>
      <c r="AO4678"/>
    </row>
    <row r="4679" spans="1:41" s="2" customFormat="1" x14ac:dyDescent="0.2">
      <c r="A4679"/>
      <c r="B4679"/>
      <c r="C4679"/>
      <c r="D4679"/>
      <c r="E4679"/>
      <c r="F4679"/>
      <c r="G4679"/>
      <c r="U4679"/>
      <c r="V4679"/>
      <c r="W4679"/>
      <c r="X4679"/>
      <c r="Y4679"/>
      <c r="Z4679"/>
      <c r="AA4679"/>
      <c r="AB4679"/>
      <c r="AL4679"/>
      <c r="AM4679"/>
      <c r="AN4679"/>
      <c r="AO4679"/>
    </row>
    <row r="4680" spans="1:41" s="2" customFormat="1" x14ac:dyDescent="0.2">
      <c r="A4680"/>
      <c r="B4680"/>
      <c r="C4680"/>
      <c r="D4680"/>
      <c r="E4680"/>
      <c r="F4680"/>
      <c r="G4680"/>
      <c r="U4680"/>
      <c r="V4680"/>
      <c r="W4680"/>
      <c r="X4680"/>
      <c r="Y4680"/>
      <c r="Z4680"/>
      <c r="AA4680"/>
      <c r="AB4680"/>
      <c r="AL4680"/>
      <c r="AM4680"/>
      <c r="AN4680"/>
      <c r="AO4680"/>
    </row>
    <row r="4681" spans="1:41" s="2" customFormat="1" x14ac:dyDescent="0.2">
      <c r="A4681"/>
      <c r="B4681"/>
      <c r="C4681"/>
      <c r="D4681"/>
      <c r="E4681"/>
      <c r="F4681"/>
      <c r="G4681"/>
      <c r="U4681"/>
      <c r="V4681"/>
      <c r="W4681"/>
      <c r="X4681"/>
      <c r="Y4681"/>
      <c r="Z4681"/>
      <c r="AA4681"/>
      <c r="AB4681"/>
      <c r="AL4681"/>
      <c r="AM4681"/>
      <c r="AN4681"/>
      <c r="AO4681"/>
    </row>
    <row r="4682" spans="1:41" s="2" customFormat="1" x14ac:dyDescent="0.2">
      <c r="A4682"/>
      <c r="B4682"/>
      <c r="C4682"/>
      <c r="D4682"/>
      <c r="E4682"/>
      <c r="F4682"/>
      <c r="G4682"/>
      <c r="U4682"/>
      <c r="V4682"/>
      <c r="W4682"/>
      <c r="X4682"/>
      <c r="Y4682"/>
      <c r="Z4682"/>
      <c r="AA4682"/>
      <c r="AB4682"/>
      <c r="AL4682"/>
      <c r="AM4682"/>
      <c r="AN4682"/>
      <c r="AO4682"/>
    </row>
    <row r="4683" spans="1:41" s="2" customFormat="1" x14ac:dyDescent="0.2">
      <c r="A4683"/>
      <c r="B4683"/>
      <c r="C4683"/>
      <c r="D4683"/>
      <c r="E4683"/>
      <c r="F4683"/>
      <c r="G4683"/>
      <c r="U4683"/>
      <c r="V4683"/>
      <c r="W4683"/>
      <c r="X4683"/>
      <c r="Y4683"/>
      <c r="Z4683"/>
      <c r="AA4683"/>
      <c r="AB4683"/>
      <c r="AL4683"/>
      <c r="AM4683"/>
      <c r="AN4683"/>
      <c r="AO4683"/>
    </row>
    <row r="4684" spans="1:41" s="2" customFormat="1" x14ac:dyDescent="0.2">
      <c r="A4684"/>
      <c r="B4684"/>
      <c r="C4684"/>
      <c r="D4684"/>
      <c r="E4684"/>
      <c r="F4684"/>
      <c r="G4684"/>
      <c r="U4684"/>
      <c r="V4684"/>
      <c r="W4684"/>
      <c r="X4684"/>
      <c r="Y4684"/>
      <c r="Z4684"/>
      <c r="AA4684"/>
      <c r="AB4684"/>
      <c r="AL4684"/>
      <c r="AM4684"/>
      <c r="AN4684"/>
      <c r="AO4684"/>
    </row>
    <row r="4685" spans="1:41" s="2" customFormat="1" x14ac:dyDescent="0.2">
      <c r="A4685"/>
      <c r="B4685"/>
      <c r="C4685"/>
      <c r="D4685"/>
      <c r="E4685"/>
      <c r="F4685"/>
      <c r="G4685"/>
      <c r="U4685"/>
      <c r="V4685"/>
      <c r="W4685"/>
      <c r="X4685"/>
      <c r="Y4685"/>
      <c r="Z4685"/>
      <c r="AA4685"/>
      <c r="AB4685"/>
      <c r="AL4685"/>
      <c r="AM4685"/>
      <c r="AN4685"/>
      <c r="AO4685"/>
    </row>
    <row r="4686" spans="1:41" s="2" customFormat="1" x14ac:dyDescent="0.2">
      <c r="A4686"/>
      <c r="B4686"/>
      <c r="C4686"/>
      <c r="D4686"/>
      <c r="E4686"/>
      <c r="F4686"/>
      <c r="G4686"/>
      <c r="U4686"/>
      <c r="V4686"/>
      <c r="W4686"/>
      <c r="X4686"/>
      <c r="Y4686"/>
      <c r="Z4686"/>
      <c r="AA4686"/>
      <c r="AB4686"/>
      <c r="AL4686"/>
      <c r="AM4686"/>
      <c r="AN4686"/>
      <c r="AO4686"/>
    </row>
    <row r="4687" spans="1:41" s="2" customFormat="1" x14ac:dyDescent="0.2">
      <c r="A4687"/>
      <c r="B4687"/>
      <c r="C4687"/>
      <c r="D4687"/>
      <c r="E4687"/>
      <c r="F4687"/>
      <c r="G4687"/>
      <c r="U4687"/>
      <c r="V4687"/>
      <c r="W4687"/>
      <c r="X4687"/>
      <c r="Y4687"/>
      <c r="Z4687"/>
      <c r="AA4687"/>
      <c r="AB4687"/>
      <c r="AL4687"/>
      <c r="AM4687"/>
      <c r="AN4687"/>
      <c r="AO4687"/>
    </row>
    <row r="4688" spans="1:41" s="2" customFormat="1" x14ac:dyDescent="0.2">
      <c r="A4688"/>
      <c r="B4688"/>
      <c r="C4688"/>
      <c r="D4688"/>
      <c r="E4688"/>
      <c r="F4688"/>
      <c r="G4688"/>
      <c r="U4688"/>
      <c r="V4688"/>
      <c r="W4688"/>
      <c r="X4688"/>
      <c r="Y4688"/>
      <c r="Z4688"/>
      <c r="AA4688"/>
      <c r="AB4688"/>
      <c r="AL4688"/>
      <c r="AM4688"/>
      <c r="AN4688"/>
      <c r="AO4688"/>
    </row>
    <row r="4689" spans="1:41" s="2" customFormat="1" x14ac:dyDescent="0.2">
      <c r="A4689"/>
      <c r="B4689"/>
      <c r="C4689"/>
      <c r="D4689"/>
      <c r="E4689"/>
      <c r="F4689"/>
      <c r="G4689"/>
      <c r="U4689"/>
      <c r="V4689"/>
      <c r="W4689"/>
      <c r="X4689"/>
      <c r="Y4689"/>
      <c r="Z4689"/>
      <c r="AA4689"/>
      <c r="AB4689"/>
      <c r="AL4689"/>
      <c r="AM4689"/>
      <c r="AN4689"/>
      <c r="AO4689"/>
    </row>
    <row r="4690" spans="1:41" s="2" customFormat="1" x14ac:dyDescent="0.2">
      <c r="A4690"/>
      <c r="B4690"/>
      <c r="C4690"/>
      <c r="D4690"/>
      <c r="E4690"/>
      <c r="F4690"/>
      <c r="G4690"/>
      <c r="U4690"/>
      <c r="V4690"/>
      <c r="W4690"/>
      <c r="X4690"/>
      <c r="Y4690"/>
      <c r="Z4690"/>
      <c r="AA4690"/>
      <c r="AB4690"/>
      <c r="AL4690"/>
      <c r="AM4690"/>
      <c r="AN4690"/>
      <c r="AO4690"/>
    </row>
    <row r="4691" spans="1:41" s="2" customFormat="1" x14ac:dyDescent="0.2">
      <c r="A4691"/>
      <c r="B4691"/>
      <c r="C4691"/>
      <c r="D4691"/>
      <c r="E4691"/>
      <c r="F4691"/>
      <c r="G4691"/>
      <c r="U4691"/>
      <c r="V4691"/>
      <c r="W4691"/>
      <c r="X4691"/>
      <c r="Y4691"/>
      <c r="Z4691"/>
      <c r="AA4691"/>
      <c r="AB4691"/>
      <c r="AL4691"/>
      <c r="AM4691"/>
      <c r="AN4691"/>
      <c r="AO4691"/>
    </row>
    <row r="4692" spans="1:41" s="2" customFormat="1" x14ac:dyDescent="0.2">
      <c r="A4692"/>
      <c r="B4692"/>
      <c r="C4692"/>
      <c r="D4692"/>
      <c r="E4692"/>
      <c r="F4692"/>
      <c r="G4692"/>
      <c r="U4692"/>
      <c r="V4692"/>
      <c r="W4692"/>
      <c r="X4692"/>
      <c r="Y4692"/>
      <c r="Z4692"/>
      <c r="AA4692"/>
      <c r="AB4692"/>
      <c r="AL4692"/>
      <c r="AM4692"/>
      <c r="AN4692"/>
      <c r="AO4692"/>
    </row>
    <row r="4693" spans="1:41" s="2" customFormat="1" x14ac:dyDescent="0.2">
      <c r="A4693"/>
      <c r="B4693"/>
      <c r="C4693"/>
      <c r="D4693"/>
      <c r="E4693"/>
      <c r="F4693"/>
      <c r="G4693"/>
      <c r="U4693"/>
      <c r="V4693"/>
      <c r="W4693"/>
      <c r="X4693"/>
      <c r="Y4693"/>
      <c r="Z4693"/>
      <c r="AA4693"/>
      <c r="AB4693"/>
      <c r="AL4693"/>
      <c r="AM4693"/>
      <c r="AN4693"/>
      <c r="AO4693"/>
    </row>
    <row r="4694" spans="1:41" s="2" customFormat="1" x14ac:dyDescent="0.2">
      <c r="A4694"/>
      <c r="B4694"/>
      <c r="C4694"/>
      <c r="D4694"/>
      <c r="E4694"/>
      <c r="F4694"/>
      <c r="G4694"/>
      <c r="U4694"/>
      <c r="V4694"/>
      <c r="W4694"/>
      <c r="X4694"/>
      <c r="Y4694"/>
      <c r="Z4694"/>
      <c r="AA4694"/>
      <c r="AB4694"/>
      <c r="AL4694"/>
      <c r="AM4694"/>
      <c r="AN4694"/>
      <c r="AO4694"/>
    </row>
    <row r="4695" spans="1:41" s="2" customFormat="1" x14ac:dyDescent="0.2">
      <c r="A4695"/>
      <c r="B4695"/>
      <c r="C4695"/>
      <c r="D4695"/>
      <c r="E4695"/>
      <c r="F4695"/>
      <c r="G4695"/>
      <c r="U4695"/>
      <c r="V4695"/>
      <c r="W4695"/>
      <c r="X4695"/>
      <c r="Y4695"/>
      <c r="Z4695"/>
      <c r="AA4695"/>
      <c r="AB4695"/>
      <c r="AL4695"/>
      <c r="AM4695"/>
      <c r="AN4695"/>
      <c r="AO4695"/>
    </row>
    <row r="4696" spans="1:41" s="2" customFormat="1" x14ac:dyDescent="0.2">
      <c r="A4696"/>
      <c r="B4696"/>
      <c r="C4696"/>
      <c r="D4696"/>
      <c r="E4696"/>
      <c r="F4696"/>
      <c r="G4696"/>
      <c r="U4696"/>
      <c r="V4696"/>
      <c r="W4696"/>
      <c r="X4696"/>
      <c r="Y4696"/>
      <c r="Z4696"/>
      <c r="AA4696"/>
      <c r="AB4696"/>
      <c r="AL4696"/>
      <c r="AM4696"/>
      <c r="AN4696"/>
      <c r="AO4696"/>
    </row>
    <row r="4697" spans="1:41" s="2" customFormat="1" x14ac:dyDescent="0.2">
      <c r="A4697"/>
      <c r="B4697"/>
      <c r="C4697"/>
      <c r="D4697"/>
      <c r="E4697"/>
      <c r="F4697"/>
      <c r="G4697"/>
      <c r="U4697"/>
      <c r="V4697"/>
      <c r="W4697"/>
      <c r="X4697"/>
      <c r="Y4697"/>
      <c r="Z4697"/>
      <c r="AA4697"/>
      <c r="AB4697"/>
      <c r="AL4697"/>
      <c r="AM4697"/>
      <c r="AN4697"/>
      <c r="AO4697"/>
    </row>
    <row r="4698" spans="1:41" s="2" customFormat="1" x14ac:dyDescent="0.2">
      <c r="A4698"/>
      <c r="B4698"/>
      <c r="C4698"/>
      <c r="D4698"/>
      <c r="E4698"/>
      <c r="F4698"/>
      <c r="G4698"/>
      <c r="U4698"/>
      <c r="V4698"/>
      <c r="W4698"/>
      <c r="X4698"/>
      <c r="Y4698"/>
      <c r="Z4698"/>
      <c r="AA4698"/>
      <c r="AB4698"/>
      <c r="AL4698"/>
      <c r="AM4698"/>
      <c r="AN4698"/>
      <c r="AO4698"/>
    </row>
    <row r="4699" spans="1:41" s="2" customFormat="1" x14ac:dyDescent="0.2">
      <c r="A4699"/>
      <c r="B4699"/>
      <c r="C4699"/>
      <c r="D4699"/>
      <c r="E4699"/>
      <c r="F4699"/>
      <c r="G4699"/>
      <c r="U4699"/>
      <c r="V4699"/>
      <c r="W4699"/>
      <c r="X4699"/>
      <c r="Y4699"/>
      <c r="Z4699"/>
      <c r="AA4699"/>
      <c r="AB4699"/>
      <c r="AL4699"/>
      <c r="AM4699"/>
      <c r="AN4699"/>
      <c r="AO4699"/>
    </row>
    <row r="4700" spans="1:41" s="2" customFormat="1" x14ac:dyDescent="0.2">
      <c r="A4700"/>
      <c r="B4700"/>
      <c r="C4700"/>
      <c r="D4700"/>
      <c r="E4700"/>
      <c r="F4700"/>
      <c r="G4700"/>
      <c r="U4700"/>
      <c r="V4700"/>
      <c r="W4700"/>
      <c r="X4700"/>
      <c r="Y4700"/>
      <c r="Z4700"/>
      <c r="AA4700"/>
      <c r="AB4700"/>
      <c r="AL4700"/>
      <c r="AM4700"/>
      <c r="AN4700"/>
      <c r="AO4700"/>
    </row>
    <row r="4701" spans="1:41" s="2" customFormat="1" x14ac:dyDescent="0.2">
      <c r="A4701"/>
      <c r="B4701"/>
      <c r="C4701"/>
      <c r="D4701"/>
      <c r="E4701"/>
      <c r="F4701"/>
      <c r="G4701"/>
      <c r="U4701"/>
      <c r="V4701"/>
      <c r="W4701"/>
      <c r="X4701"/>
      <c r="Y4701"/>
      <c r="Z4701"/>
      <c r="AA4701"/>
      <c r="AB4701"/>
      <c r="AL4701"/>
      <c r="AM4701"/>
      <c r="AN4701"/>
      <c r="AO4701"/>
    </row>
    <row r="4702" spans="1:41" s="2" customFormat="1" x14ac:dyDescent="0.2">
      <c r="A4702"/>
      <c r="B4702"/>
      <c r="C4702"/>
      <c r="D4702"/>
      <c r="E4702"/>
      <c r="F4702"/>
      <c r="G4702"/>
      <c r="U4702"/>
      <c r="V4702"/>
      <c r="W4702"/>
      <c r="X4702"/>
      <c r="Y4702"/>
      <c r="Z4702"/>
      <c r="AA4702"/>
      <c r="AB4702"/>
      <c r="AL4702"/>
      <c r="AM4702"/>
      <c r="AN4702"/>
      <c r="AO4702"/>
    </row>
    <row r="4703" spans="1:41" s="2" customFormat="1" x14ac:dyDescent="0.2">
      <c r="A4703"/>
      <c r="B4703"/>
      <c r="C4703"/>
      <c r="D4703"/>
      <c r="E4703"/>
      <c r="F4703"/>
      <c r="G4703"/>
      <c r="U4703"/>
      <c r="V4703"/>
      <c r="W4703"/>
      <c r="X4703"/>
      <c r="Y4703"/>
      <c r="Z4703"/>
      <c r="AA4703"/>
      <c r="AB4703"/>
      <c r="AL4703"/>
      <c r="AM4703"/>
      <c r="AN4703"/>
      <c r="AO4703"/>
    </row>
    <row r="4704" spans="1:41" s="2" customFormat="1" x14ac:dyDescent="0.2">
      <c r="A4704"/>
      <c r="B4704"/>
      <c r="C4704"/>
      <c r="D4704"/>
      <c r="E4704"/>
      <c r="F4704"/>
      <c r="G4704"/>
      <c r="U4704"/>
      <c r="V4704"/>
      <c r="W4704"/>
      <c r="X4704"/>
      <c r="Y4704"/>
      <c r="Z4704"/>
      <c r="AA4704"/>
      <c r="AB4704"/>
      <c r="AL4704"/>
      <c r="AM4704"/>
      <c r="AN4704"/>
      <c r="AO4704"/>
    </row>
    <row r="4705" spans="1:41" s="2" customFormat="1" x14ac:dyDescent="0.2">
      <c r="A4705"/>
      <c r="B4705"/>
      <c r="C4705"/>
      <c r="D4705"/>
      <c r="E4705"/>
      <c r="F4705"/>
      <c r="G4705"/>
      <c r="U4705"/>
      <c r="V4705"/>
      <c r="W4705"/>
      <c r="X4705"/>
      <c r="Y4705"/>
      <c r="Z4705"/>
      <c r="AA4705"/>
      <c r="AB4705"/>
      <c r="AL4705"/>
      <c r="AM4705"/>
      <c r="AN4705"/>
      <c r="AO4705"/>
    </row>
    <row r="4706" spans="1:41" s="2" customFormat="1" x14ac:dyDescent="0.2">
      <c r="A4706"/>
      <c r="B4706"/>
      <c r="C4706"/>
      <c r="D4706"/>
      <c r="E4706"/>
      <c r="F4706"/>
      <c r="G4706"/>
      <c r="U4706"/>
      <c r="V4706"/>
      <c r="W4706"/>
      <c r="X4706"/>
      <c r="Y4706"/>
      <c r="Z4706"/>
      <c r="AA4706"/>
      <c r="AB4706"/>
      <c r="AL4706"/>
      <c r="AM4706"/>
      <c r="AN4706"/>
      <c r="AO4706"/>
    </row>
    <row r="4707" spans="1:41" s="2" customFormat="1" x14ac:dyDescent="0.2">
      <c r="A4707"/>
      <c r="B4707"/>
      <c r="C4707"/>
      <c r="D4707"/>
      <c r="E4707"/>
      <c r="F4707"/>
      <c r="G4707"/>
      <c r="U4707"/>
      <c r="V4707"/>
      <c r="W4707"/>
      <c r="X4707"/>
      <c r="Y4707"/>
      <c r="Z4707"/>
      <c r="AA4707"/>
      <c r="AB4707"/>
      <c r="AL4707"/>
      <c r="AM4707"/>
      <c r="AN4707"/>
      <c r="AO4707"/>
    </row>
    <row r="4708" spans="1:41" s="2" customFormat="1" x14ac:dyDescent="0.2">
      <c r="A4708"/>
      <c r="B4708"/>
      <c r="C4708"/>
      <c r="D4708"/>
      <c r="E4708"/>
      <c r="F4708"/>
      <c r="G4708"/>
      <c r="U4708"/>
      <c r="V4708"/>
      <c r="W4708"/>
      <c r="X4708"/>
      <c r="Y4708"/>
      <c r="Z4708"/>
      <c r="AA4708"/>
      <c r="AB4708"/>
      <c r="AL4708"/>
      <c r="AM4708"/>
      <c r="AN4708"/>
      <c r="AO4708"/>
    </row>
    <row r="4709" spans="1:41" s="2" customFormat="1" x14ac:dyDescent="0.2">
      <c r="A4709"/>
      <c r="B4709"/>
      <c r="C4709"/>
      <c r="D4709"/>
      <c r="E4709"/>
      <c r="F4709"/>
      <c r="G4709"/>
      <c r="U4709"/>
      <c r="V4709"/>
      <c r="W4709"/>
      <c r="X4709"/>
      <c r="Y4709"/>
      <c r="Z4709"/>
      <c r="AA4709"/>
      <c r="AB4709"/>
      <c r="AL4709"/>
      <c r="AM4709"/>
      <c r="AN4709"/>
      <c r="AO4709"/>
    </row>
    <row r="4710" spans="1:41" s="2" customFormat="1" x14ac:dyDescent="0.2">
      <c r="A4710"/>
      <c r="B4710"/>
      <c r="C4710"/>
      <c r="D4710"/>
      <c r="E4710"/>
      <c r="F4710"/>
      <c r="G4710"/>
      <c r="U4710"/>
      <c r="V4710"/>
      <c r="W4710"/>
      <c r="X4710"/>
      <c r="Y4710"/>
      <c r="Z4710"/>
      <c r="AA4710"/>
      <c r="AB4710"/>
      <c r="AL4710"/>
      <c r="AM4710"/>
      <c r="AN4710"/>
      <c r="AO4710"/>
    </row>
    <row r="4711" spans="1:41" s="2" customFormat="1" x14ac:dyDescent="0.2">
      <c r="A4711"/>
      <c r="B4711"/>
      <c r="C4711"/>
      <c r="D4711"/>
      <c r="E4711"/>
      <c r="F4711"/>
      <c r="G4711"/>
      <c r="U4711"/>
      <c r="V4711"/>
      <c r="W4711"/>
      <c r="X4711"/>
      <c r="Y4711"/>
      <c r="Z4711"/>
      <c r="AA4711"/>
      <c r="AB4711"/>
      <c r="AL4711"/>
      <c r="AM4711"/>
      <c r="AN4711"/>
      <c r="AO4711"/>
    </row>
    <row r="4712" spans="1:41" s="2" customFormat="1" x14ac:dyDescent="0.2">
      <c r="A4712"/>
      <c r="B4712"/>
      <c r="C4712"/>
      <c r="D4712"/>
      <c r="E4712"/>
      <c r="F4712"/>
      <c r="G4712"/>
      <c r="U4712"/>
      <c r="V4712"/>
      <c r="W4712"/>
      <c r="X4712"/>
      <c r="Y4712"/>
      <c r="Z4712"/>
      <c r="AA4712"/>
      <c r="AB4712"/>
      <c r="AL4712"/>
      <c r="AM4712"/>
      <c r="AN4712"/>
      <c r="AO4712"/>
    </row>
    <row r="4713" spans="1:41" s="2" customFormat="1" x14ac:dyDescent="0.2">
      <c r="A4713"/>
      <c r="B4713"/>
      <c r="C4713"/>
      <c r="D4713"/>
      <c r="E4713"/>
      <c r="F4713"/>
      <c r="G4713"/>
      <c r="U4713"/>
      <c r="V4713"/>
      <c r="W4713"/>
      <c r="X4713"/>
      <c r="Y4713"/>
      <c r="Z4713"/>
      <c r="AA4713"/>
      <c r="AB4713"/>
      <c r="AL4713"/>
      <c r="AM4713"/>
      <c r="AN4713"/>
      <c r="AO4713"/>
    </row>
    <row r="4714" spans="1:41" s="2" customFormat="1" x14ac:dyDescent="0.2">
      <c r="A4714"/>
      <c r="B4714"/>
      <c r="C4714"/>
      <c r="D4714"/>
      <c r="E4714"/>
      <c r="F4714"/>
      <c r="G4714"/>
      <c r="U4714"/>
      <c r="V4714"/>
      <c r="W4714"/>
      <c r="X4714"/>
      <c r="Y4714"/>
      <c r="Z4714"/>
      <c r="AA4714"/>
      <c r="AB4714"/>
      <c r="AL4714"/>
      <c r="AM4714"/>
      <c r="AN4714"/>
      <c r="AO4714"/>
    </row>
    <row r="4715" spans="1:41" s="2" customFormat="1" x14ac:dyDescent="0.2">
      <c r="A4715"/>
      <c r="B4715"/>
      <c r="C4715"/>
      <c r="D4715"/>
      <c r="E4715"/>
      <c r="F4715"/>
      <c r="G4715"/>
      <c r="U4715"/>
      <c r="V4715"/>
      <c r="W4715"/>
      <c r="X4715"/>
      <c r="Y4715"/>
      <c r="Z4715"/>
      <c r="AA4715"/>
      <c r="AB4715"/>
      <c r="AL4715"/>
      <c r="AM4715"/>
      <c r="AN4715"/>
      <c r="AO4715"/>
    </row>
    <row r="4716" spans="1:41" s="2" customFormat="1" x14ac:dyDescent="0.2">
      <c r="A4716"/>
      <c r="B4716"/>
      <c r="C4716"/>
      <c r="D4716"/>
      <c r="E4716"/>
      <c r="F4716"/>
      <c r="G4716"/>
      <c r="U4716"/>
      <c r="V4716"/>
      <c r="W4716"/>
      <c r="X4716"/>
      <c r="Y4716"/>
      <c r="Z4716"/>
      <c r="AA4716"/>
      <c r="AB4716"/>
      <c r="AL4716"/>
      <c r="AM4716"/>
      <c r="AN4716"/>
      <c r="AO4716"/>
    </row>
    <row r="4717" spans="1:41" s="2" customFormat="1" x14ac:dyDescent="0.2">
      <c r="A4717"/>
      <c r="B4717"/>
      <c r="C4717"/>
      <c r="D4717"/>
      <c r="E4717"/>
      <c r="F4717"/>
      <c r="G4717"/>
      <c r="U4717"/>
      <c r="V4717"/>
      <c r="W4717"/>
      <c r="X4717"/>
      <c r="Y4717"/>
      <c r="Z4717"/>
      <c r="AA4717"/>
      <c r="AB4717"/>
      <c r="AL4717"/>
      <c r="AM4717"/>
      <c r="AN4717"/>
      <c r="AO4717"/>
    </row>
    <row r="4718" spans="1:41" s="2" customFormat="1" x14ac:dyDescent="0.2">
      <c r="A4718"/>
      <c r="B4718"/>
      <c r="C4718"/>
      <c r="D4718"/>
      <c r="E4718"/>
      <c r="F4718"/>
      <c r="G4718"/>
      <c r="U4718"/>
      <c r="V4718"/>
      <c r="W4718"/>
      <c r="X4718"/>
      <c r="Y4718"/>
      <c r="Z4718"/>
      <c r="AA4718"/>
      <c r="AB4718"/>
      <c r="AL4718"/>
      <c r="AM4718"/>
      <c r="AN4718"/>
      <c r="AO4718"/>
    </row>
    <row r="4719" spans="1:41" s="2" customFormat="1" x14ac:dyDescent="0.2">
      <c r="A4719"/>
      <c r="B4719"/>
      <c r="C4719"/>
      <c r="D4719"/>
      <c r="E4719"/>
      <c r="F4719"/>
      <c r="G4719"/>
      <c r="U4719"/>
      <c r="V4719"/>
      <c r="W4719"/>
      <c r="X4719"/>
      <c r="Y4719"/>
      <c r="Z4719"/>
      <c r="AA4719"/>
      <c r="AB4719"/>
      <c r="AL4719"/>
      <c r="AM4719"/>
      <c r="AN4719"/>
      <c r="AO4719"/>
    </row>
    <row r="4720" spans="1:41" s="2" customFormat="1" x14ac:dyDescent="0.2">
      <c r="A4720"/>
      <c r="B4720"/>
      <c r="C4720"/>
      <c r="D4720"/>
      <c r="E4720"/>
      <c r="F4720"/>
      <c r="G4720"/>
      <c r="U4720"/>
      <c r="V4720"/>
      <c r="W4720"/>
      <c r="X4720"/>
      <c r="Y4720"/>
      <c r="Z4720"/>
      <c r="AA4720"/>
      <c r="AB4720"/>
      <c r="AL4720"/>
      <c r="AM4720"/>
      <c r="AN4720"/>
      <c r="AO4720"/>
    </row>
    <row r="4721" spans="1:41" s="2" customFormat="1" x14ac:dyDescent="0.2">
      <c r="A4721"/>
      <c r="B4721"/>
      <c r="C4721"/>
      <c r="D4721"/>
      <c r="E4721"/>
      <c r="F4721"/>
      <c r="G4721"/>
      <c r="U4721"/>
      <c r="V4721"/>
      <c r="W4721"/>
      <c r="X4721"/>
      <c r="Y4721"/>
      <c r="Z4721"/>
      <c r="AA4721"/>
      <c r="AB4721"/>
      <c r="AL4721"/>
      <c r="AM4721"/>
      <c r="AN4721"/>
      <c r="AO4721"/>
    </row>
    <row r="4722" spans="1:41" s="2" customFormat="1" x14ac:dyDescent="0.2">
      <c r="A4722"/>
      <c r="B4722"/>
      <c r="C4722"/>
      <c r="D4722"/>
      <c r="E4722"/>
      <c r="F4722"/>
      <c r="G4722"/>
      <c r="U4722"/>
      <c r="V4722"/>
      <c r="W4722"/>
      <c r="X4722"/>
      <c r="Y4722"/>
      <c r="Z4722"/>
      <c r="AA4722"/>
      <c r="AB4722"/>
      <c r="AL4722"/>
      <c r="AM4722"/>
      <c r="AN4722"/>
      <c r="AO4722"/>
    </row>
    <row r="4723" spans="1:41" s="2" customFormat="1" x14ac:dyDescent="0.2">
      <c r="A4723"/>
      <c r="B4723"/>
      <c r="C4723"/>
      <c r="D4723"/>
      <c r="E4723"/>
      <c r="F4723"/>
      <c r="G4723"/>
      <c r="U4723"/>
      <c r="V4723"/>
      <c r="W4723"/>
      <c r="X4723"/>
      <c r="Y4723"/>
      <c r="Z4723"/>
      <c r="AA4723"/>
      <c r="AB4723"/>
      <c r="AL4723"/>
      <c r="AM4723"/>
      <c r="AN4723"/>
      <c r="AO4723"/>
    </row>
    <row r="4724" spans="1:41" s="2" customFormat="1" x14ac:dyDescent="0.2">
      <c r="A4724"/>
      <c r="B4724"/>
      <c r="C4724"/>
      <c r="D4724"/>
      <c r="E4724"/>
      <c r="F4724"/>
      <c r="G4724"/>
      <c r="U4724"/>
      <c r="V4724"/>
      <c r="W4724"/>
      <c r="X4724"/>
      <c r="Y4724"/>
      <c r="Z4724"/>
      <c r="AA4724"/>
      <c r="AB4724"/>
      <c r="AL4724"/>
      <c r="AM4724"/>
      <c r="AN4724"/>
      <c r="AO4724"/>
    </row>
    <row r="4725" spans="1:41" s="2" customFormat="1" x14ac:dyDescent="0.2">
      <c r="A4725"/>
      <c r="B4725"/>
      <c r="C4725"/>
      <c r="D4725"/>
      <c r="E4725"/>
      <c r="F4725"/>
      <c r="G4725"/>
      <c r="U4725"/>
      <c r="V4725"/>
      <c r="W4725"/>
      <c r="X4725"/>
      <c r="Y4725"/>
      <c r="Z4725"/>
      <c r="AA4725"/>
      <c r="AB4725"/>
      <c r="AL4725"/>
      <c r="AM4725"/>
      <c r="AN4725"/>
      <c r="AO4725"/>
    </row>
    <row r="4726" spans="1:41" s="2" customFormat="1" x14ac:dyDescent="0.2">
      <c r="A4726"/>
      <c r="B4726"/>
      <c r="C4726"/>
      <c r="D4726"/>
      <c r="E4726"/>
      <c r="F4726"/>
      <c r="G4726"/>
      <c r="U4726"/>
      <c r="V4726"/>
      <c r="W4726"/>
      <c r="X4726"/>
      <c r="Y4726"/>
      <c r="Z4726"/>
      <c r="AA4726"/>
      <c r="AB4726"/>
      <c r="AL4726"/>
      <c r="AM4726"/>
      <c r="AN4726"/>
      <c r="AO4726"/>
    </row>
    <row r="4727" spans="1:41" s="2" customFormat="1" x14ac:dyDescent="0.2">
      <c r="A4727"/>
      <c r="B4727"/>
      <c r="C4727"/>
      <c r="D4727"/>
      <c r="E4727"/>
      <c r="F4727"/>
      <c r="G4727"/>
      <c r="U4727"/>
      <c r="V4727"/>
      <c r="W4727"/>
      <c r="X4727"/>
      <c r="Y4727"/>
      <c r="Z4727"/>
      <c r="AA4727"/>
      <c r="AB4727"/>
      <c r="AL4727"/>
      <c r="AM4727"/>
      <c r="AN4727"/>
      <c r="AO4727"/>
    </row>
    <row r="4728" spans="1:41" s="2" customFormat="1" x14ac:dyDescent="0.2">
      <c r="A4728"/>
      <c r="B4728"/>
      <c r="C4728"/>
      <c r="D4728"/>
      <c r="E4728"/>
      <c r="F4728"/>
      <c r="G4728"/>
      <c r="U4728"/>
      <c r="V4728"/>
      <c r="W4728"/>
      <c r="X4728"/>
      <c r="Y4728"/>
      <c r="Z4728"/>
      <c r="AA4728"/>
      <c r="AB4728"/>
      <c r="AL4728"/>
      <c r="AM4728"/>
      <c r="AN4728"/>
      <c r="AO4728"/>
    </row>
    <row r="4729" spans="1:41" s="2" customFormat="1" x14ac:dyDescent="0.2">
      <c r="A4729"/>
      <c r="B4729"/>
      <c r="C4729"/>
      <c r="D4729"/>
      <c r="E4729"/>
      <c r="F4729"/>
      <c r="G4729"/>
      <c r="U4729"/>
      <c r="V4729"/>
      <c r="W4729"/>
      <c r="X4729"/>
      <c r="Y4729"/>
      <c r="Z4729"/>
      <c r="AA4729"/>
      <c r="AB4729"/>
      <c r="AL4729"/>
      <c r="AM4729"/>
      <c r="AN4729"/>
      <c r="AO4729"/>
    </row>
    <row r="4730" spans="1:41" s="2" customFormat="1" x14ac:dyDescent="0.2">
      <c r="A4730"/>
      <c r="B4730"/>
      <c r="C4730"/>
      <c r="D4730"/>
      <c r="E4730"/>
      <c r="F4730"/>
      <c r="G4730"/>
      <c r="U4730"/>
      <c r="V4730"/>
      <c r="W4730"/>
      <c r="X4730"/>
      <c r="Y4730"/>
      <c r="Z4730"/>
      <c r="AA4730"/>
      <c r="AB4730"/>
      <c r="AL4730"/>
      <c r="AM4730"/>
      <c r="AN4730"/>
      <c r="AO4730"/>
    </row>
    <row r="4731" spans="1:41" s="2" customFormat="1" x14ac:dyDescent="0.2">
      <c r="A4731"/>
      <c r="B4731"/>
      <c r="C4731"/>
      <c r="D4731"/>
      <c r="E4731"/>
      <c r="F4731"/>
      <c r="G4731"/>
      <c r="U4731"/>
      <c r="V4731"/>
      <c r="W4731"/>
      <c r="X4731"/>
      <c r="Y4731"/>
      <c r="Z4731"/>
      <c r="AA4731"/>
      <c r="AB4731"/>
      <c r="AL4731"/>
      <c r="AM4731"/>
      <c r="AN4731"/>
      <c r="AO4731"/>
    </row>
    <row r="4732" spans="1:41" s="2" customFormat="1" x14ac:dyDescent="0.2">
      <c r="A4732"/>
      <c r="B4732"/>
      <c r="C4732"/>
      <c r="D4732"/>
      <c r="E4732"/>
      <c r="F4732"/>
      <c r="G4732"/>
      <c r="U4732"/>
      <c r="V4732"/>
      <c r="W4732"/>
      <c r="X4732"/>
      <c r="Y4732"/>
      <c r="Z4732"/>
      <c r="AA4732"/>
      <c r="AB4732"/>
      <c r="AL4732"/>
      <c r="AM4732"/>
      <c r="AN4732"/>
      <c r="AO4732"/>
    </row>
    <row r="4733" spans="1:41" s="2" customFormat="1" x14ac:dyDescent="0.2">
      <c r="A4733"/>
      <c r="B4733"/>
      <c r="C4733"/>
      <c r="D4733"/>
      <c r="E4733"/>
      <c r="F4733"/>
      <c r="G4733"/>
      <c r="U4733"/>
      <c r="V4733"/>
      <c r="W4733"/>
      <c r="X4733"/>
      <c r="Y4733"/>
      <c r="Z4733"/>
      <c r="AA4733"/>
      <c r="AB4733"/>
      <c r="AL4733"/>
      <c r="AM4733"/>
      <c r="AN4733"/>
      <c r="AO4733"/>
    </row>
    <row r="4734" spans="1:41" s="2" customFormat="1" x14ac:dyDescent="0.2">
      <c r="A4734"/>
      <c r="B4734"/>
      <c r="C4734"/>
      <c r="D4734"/>
      <c r="E4734"/>
      <c r="F4734"/>
      <c r="G4734"/>
      <c r="U4734"/>
      <c r="V4734"/>
      <c r="W4734"/>
      <c r="X4734"/>
      <c r="Y4734"/>
      <c r="Z4734"/>
      <c r="AA4734"/>
      <c r="AB4734"/>
      <c r="AL4734"/>
      <c r="AM4734"/>
      <c r="AN4734"/>
      <c r="AO4734"/>
    </row>
    <row r="4735" spans="1:41" s="2" customFormat="1" x14ac:dyDescent="0.2">
      <c r="A4735"/>
      <c r="B4735"/>
      <c r="C4735"/>
      <c r="D4735"/>
      <c r="E4735"/>
      <c r="F4735"/>
      <c r="G4735"/>
      <c r="U4735"/>
      <c r="V4735"/>
      <c r="W4735"/>
      <c r="X4735"/>
      <c r="Y4735"/>
      <c r="Z4735"/>
      <c r="AA4735"/>
      <c r="AB4735"/>
      <c r="AL4735"/>
      <c r="AM4735"/>
      <c r="AN4735"/>
      <c r="AO4735"/>
    </row>
    <row r="4736" spans="1:41" s="2" customFormat="1" x14ac:dyDescent="0.2">
      <c r="A4736"/>
      <c r="B4736"/>
      <c r="C4736"/>
      <c r="D4736"/>
      <c r="E4736"/>
      <c r="F4736"/>
      <c r="G4736"/>
      <c r="U4736"/>
      <c r="V4736"/>
      <c r="W4736"/>
      <c r="X4736"/>
      <c r="Y4736"/>
      <c r="Z4736"/>
      <c r="AA4736"/>
      <c r="AB4736"/>
      <c r="AL4736"/>
      <c r="AM4736"/>
      <c r="AN4736"/>
      <c r="AO4736"/>
    </row>
    <row r="4737" spans="1:41" s="2" customFormat="1" x14ac:dyDescent="0.2">
      <c r="A4737"/>
      <c r="B4737"/>
      <c r="C4737"/>
      <c r="D4737"/>
      <c r="E4737"/>
      <c r="F4737"/>
      <c r="G4737"/>
      <c r="U4737"/>
      <c r="V4737"/>
      <c r="W4737"/>
      <c r="X4737"/>
      <c r="Y4737"/>
      <c r="Z4737"/>
      <c r="AA4737"/>
      <c r="AB4737"/>
      <c r="AL4737"/>
      <c r="AM4737"/>
      <c r="AN4737"/>
      <c r="AO4737"/>
    </row>
    <row r="4738" spans="1:41" s="2" customFormat="1" x14ac:dyDescent="0.2">
      <c r="A4738"/>
      <c r="B4738"/>
      <c r="C4738"/>
      <c r="D4738"/>
      <c r="E4738"/>
      <c r="F4738"/>
      <c r="G4738"/>
      <c r="U4738"/>
      <c r="V4738"/>
      <c r="W4738"/>
      <c r="X4738"/>
      <c r="Y4738"/>
      <c r="Z4738"/>
      <c r="AA4738"/>
      <c r="AB4738"/>
      <c r="AL4738"/>
      <c r="AM4738"/>
      <c r="AN4738"/>
      <c r="AO4738"/>
    </row>
    <row r="4739" spans="1:41" s="2" customFormat="1" x14ac:dyDescent="0.2">
      <c r="A4739"/>
      <c r="B4739"/>
      <c r="C4739"/>
      <c r="D4739"/>
      <c r="E4739"/>
      <c r="F4739"/>
      <c r="G4739"/>
      <c r="U4739"/>
      <c r="V4739"/>
      <c r="W4739"/>
      <c r="X4739"/>
      <c r="Y4739"/>
      <c r="Z4739"/>
      <c r="AA4739"/>
      <c r="AB4739"/>
      <c r="AL4739"/>
      <c r="AM4739"/>
      <c r="AN4739"/>
      <c r="AO4739"/>
    </row>
    <row r="4740" spans="1:41" s="2" customFormat="1" x14ac:dyDescent="0.2">
      <c r="A4740"/>
      <c r="B4740"/>
      <c r="C4740"/>
      <c r="D4740"/>
      <c r="E4740"/>
      <c r="F4740"/>
      <c r="G4740"/>
      <c r="U4740"/>
      <c r="V4740"/>
      <c r="W4740"/>
      <c r="X4740"/>
      <c r="Y4740"/>
      <c r="Z4740"/>
      <c r="AA4740"/>
      <c r="AB4740"/>
      <c r="AL4740"/>
      <c r="AM4740"/>
      <c r="AN4740"/>
      <c r="AO4740"/>
    </row>
    <row r="4741" spans="1:41" s="2" customFormat="1" x14ac:dyDescent="0.2">
      <c r="A4741"/>
      <c r="B4741"/>
      <c r="C4741"/>
      <c r="D4741"/>
      <c r="E4741"/>
      <c r="F4741"/>
      <c r="G4741"/>
      <c r="U4741"/>
      <c r="V4741"/>
      <c r="W4741"/>
      <c r="X4741"/>
      <c r="Y4741"/>
      <c r="Z4741"/>
      <c r="AA4741"/>
      <c r="AB4741"/>
      <c r="AL4741"/>
      <c r="AM4741"/>
      <c r="AN4741"/>
      <c r="AO4741"/>
    </row>
    <row r="4742" spans="1:41" s="2" customFormat="1" x14ac:dyDescent="0.2">
      <c r="A4742"/>
      <c r="B4742"/>
      <c r="C4742"/>
      <c r="D4742"/>
      <c r="E4742"/>
      <c r="F4742"/>
      <c r="G4742"/>
      <c r="U4742"/>
      <c r="V4742"/>
      <c r="W4742"/>
      <c r="X4742"/>
      <c r="Y4742"/>
      <c r="Z4742"/>
      <c r="AA4742"/>
      <c r="AB4742"/>
      <c r="AL4742"/>
      <c r="AM4742"/>
      <c r="AN4742"/>
      <c r="AO4742"/>
    </row>
    <row r="4743" spans="1:41" s="2" customFormat="1" x14ac:dyDescent="0.2">
      <c r="A4743"/>
      <c r="B4743"/>
      <c r="C4743"/>
      <c r="D4743"/>
      <c r="E4743"/>
      <c r="F4743"/>
      <c r="G4743"/>
      <c r="U4743"/>
      <c r="V4743"/>
      <c r="W4743"/>
      <c r="X4743"/>
      <c r="Y4743"/>
      <c r="Z4743"/>
      <c r="AA4743"/>
      <c r="AB4743"/>
      <c r="AL4743"/>
      <c r="AM4743"/>
      <c r="AN4743"/>
      <c r="AO4743"/>
    </row>
    <row r="4744" spans="1:41" s="2" customFormat="1" x14ac:dyDescent="0.2">
      <c r="A4744"/>
      <c r="B4744"/>
      <c r="C4744"/>
      <c r="D4744"/>
      <c r="E4744"/>
      <c r="F4744"/>
      <c r="G4744"/>
      <c r="U4744"/>
      <c r="V4744"/>
      <c r="W4744"/>
      <c r="X4744"/>
      <c r="Y4744"/>
      <c r="Z4744"/>
      <c r="AA4744"/>
      <c r="AB4744"/>
      <c r="AL4744"/>
      <c r="AM4744"/>
      <c r="AN4744"/>
      <c r="AO4744"/>
    </row>
    <row r="4745" spans="1:41" s="2" customFormat="1" x14ac:dyDescent="0.2">
      <c r="A4745"/>
      <c r="B4745"/>
      <c r="C4745"/>
      <c r="D4745"/>
      <c r="E4745"/>
      <c r="F4745"/>
      <c r="G4745"/>
      <c r="U4745"/>
      <c r="V4745"/>
      <c r="W4745"/>
      <c r="X4745"/>
      <c r="Y4745"/>
      <c r="Z4745"/>
      <c r="AA4745"/>
      <c r="AB4745"/>
      <c r="AL4745"/>
      <c r="AM4745"/>
      <c r="AN4745"/>
      <c r="AO4745"/>
    </row>
    <row r="4746" spans="1:41" s="2" customFormat="1" x14ac:dyDescent="0.2">
      <c r="A4746"/>
      <c r="B4746"/>
      <c r="C4746"/>
      <c r="D4746"/>
      <c r="E4746"/>
      <c r="F4746"/>
      <c r="G4746"/>
      <c r="U4746"/>
      <c r="V4746"/>
      <c r="W4746"/>
      <c r="X4746"/>
      <c r="Y4746"/>
      <c r="Z4746"/>
      <c r="AA4746"/>
      <c r="AB4746"/>
      <c r="AL4746"/>
      <c r="AM4746"/>
      <c r="AN4746"/>
      <c r="AO4746"/>
    </row>
    <row r="4747" spans="1:41" s="2" customFormat="1" x14ac:dyDescent="0.2">
      <c r="A4747"/>
      <c r="B4747"/>
      <c r="C4747"/>
      <c r="D4747"/>
      <c r="E4747"/>
      <c r="F4747"/>
      <c r="G4747"/>
      <c r="U4747"/>
      <c r="V4747"/>
      <c r="W4747"/>
      <c r="X4747"/>
      <c r="Y4747"/>
      <c r="Z4747"/>
      <c r="AA4747"/>
      <c r="AB4747"/>
      <c r="AL4747"/>
      <c r="AM4747"/>
      <c r="AN4747"/>
      <c r="AO4747"/>
    </row>
    <row r="4748" spans="1:41" s="2" customFormat="1" x14ac:dyDescent="0.2">
      <c r="A4748"/>
      <c r="B4748"/>
      <c r="C4748"/>
      <c r="D4748"/>
      <c r="E4748"/>
      <c r="F4748"/>
      <c r="G4748"/>
      <c r="U4748"/>
      <c r="V4748"/>
      <c r="W4748"/>
      <c r="X4748"/>
      <c r="Y4748"/>
      <c r="Z4748"/>
      <c r="AA4748"/>
      <c r="AB4748"/>
      <c r="AL4748"/>
      <c r="AM4748"/>
      <c r="AN4748"/>
      <c r="AO4748"/>
    </row>
    <row r="4749" spans="1:41" s="2" customFormat="1" x14ac:dyDescent="0.2">
      <c r="A4749"/>
      <c r="B4749"/>
      <c r="C4749"/>
      <c r="D4749"/>
      <c r="E4749"/>
      <c r="F4749"/>
      <c r="G4749"/>
      <c r="U4749"/>
      <c r="V4749"/>
      <c r="W4749"/>
      <c r="X4749"/>
      <c r="Y4749"/>
      <c r="Z4749"/>
      <c r="AA4749"/>
      <c r="AB4749"/>
      <c r="AL4749"/>
      <c r="AM4749"/>
      <c r="AN4749"/>
      <c r="AO4749"/>
    </row>
    <row r="4750" spans="1:41" s="2" customFormat="1" x14ac:dyDescent="0.2">
      <c r="A4750"/>
      <c r="B4750"/>
      <c r="C4750"/>
      <c r="D4750"/>
      <c r="E4750"/>
      <c r="F4750"/>
      <c r="G4750"/>
      <c r="U4750"/>
      <c r="V4750"/>
      <c r="W4750"/>
      <c r="X4750"/>
      <c r="Y4750"/>
      <c r="Z4750"/>
      <c r="AA4750"/>
      <c r="AB4750"/>
      <c r="AL4750"/>
      <c r="AM4750"/>
      <c r="AN4750"/>
      <c r="AO4750"/>
    </row>
    <row r="4751" spans="1:41" s="2" customFormat="1" x14ac:dyDescent="0.2">
      <c r="A4751"/>
      <c r="B4751"/>
      <c r="C4751"/>
      <c r="D4751"/>
      <c r="E4751"/>
      <c r="F4751"/>
      <c r="G4751"/>
      <c r="U4751"/>
      <c r="V4751"/>
      <c r="W4751"/>
      <c r="X4751"/>
      <c r="Y4751"/>
      <c r="Z4751"/>
      <c r="AA4751"/>
      <c r="AB4751"/>
      <c r="AL4751"/>
      <c r="AM4751"/>
      <c r="AN4751"/>
      <c r="AO4751"/>
    </row>
    <row r="4752" spans="1:41" s="2" customFormat="1" x14ac:dyDescent="0.2">
      <c r="A4752"/>
      <c r="B4752"/>
      <c r="C4752"/>
      <c r="D4752"/>
      <c r="E4752"/>
      <c r="F4752"/>
      <c r="G4752"/>
      <c r="U4752"/>
      <c r="V4752"/>
      <c r="W4752"/>
      <c r="X4752"/>
      <c r="Y4752"/>
      <c r="Z4752"/>
      <c r="AA4752"/>
      <c r="AB4752"/>
      <c r="AL4752"/>
      <c r="AM4752"/>
      <c r="AN4752"/>
      <c r="AO4752"/>
    </row>
    <row r="4753" spans="1:41" s="2" customFormat="1" x14ac:dyDescent="0.2">
      <c r="A4753"/>
      <c r="B4753"/>
      <c r="C4753"/>
      <c r="D4753"/>
      <c r="E4753"/>
      <c r="F4753"/>
      <c r="G4753"/>
      <c r="U4753"/>
      <c r="V4753"/>
      <c r="W4753"/>
      <c r="X4753"/>
      <c r="Y4753"/>
      <c r="Z4753"/>
      <c r="AA4753"/>
      <c r="AB4753"/>
      <c r="AL4753"/>
      <c r="AM4753"/>
      <c r="AN4753"/>
      <c r="AO4753"/>
    </row>
    <row r="4754" spans="1:41" s="2" customFormat="1" x14ac:dyDescent="0.2">
      <c r="A4754"/>
      <c r="B4754"/>
      <c r="C4754"/>
      <c r="D4754"/>
      <c r="E4754"/>
      <c r="F4754"/>
      <c r="G4754"/>
      <c r="U4754"/>
      <c r="V4754"/>
      <c r="W4754"/>
      <c r="X4754"/>
      <c r="Y4754"/>
      <c r="Z4754"/>
      <c r="AA4754"/>
      <c r="AB4754"/>
      <c r="AL4754"/>
      <c r="AM4754"/>
      <c r="AN4754"/>
      <c r="AO4754"/>
    </row>
    <row r="4755" spans="1:41" s="2" customFormat="1" x14ac:dyDescent="0.2">
      <c r="A4755"/>
      <c r="B4755"/>
      <c r="C4755"/>
      <c r="D4755"/>
      <c r="E4755"/>
      <c r="F4755"/>
      <c r="G4755"/>
      <c r="U4755"/>
      <c r="V4755"/>
      <c r="W4755"/>
      <c r="X4755"/>
      <c r="Y4755"/>
      <c r="Z4755"/>
      <c r="AA4755"/>
      <c r="AB4755"/>
      <c r="AL4755"/>
      <c r="AM4755"/>
      <c r="AN4755"/>
      <c r="AO4755"/>
    </row>
    <row r="4756" spans="1:41" s="2" customFormat="1" x14ac:dyDescent="0.2">
      <c r="A4756"/>
      <c r="B4756"/>
      <c r="C4756"/>
      <c r="D4756"/>
      <c r="E4756"/>
      <c r="F4756"/>
      <c r="G4756"/>
      <c r="U4756"/>
      <c r="V4756"/>
      <c r="W4756"/>
      <c r="X4756"/>
      <c r="Y4756"/>
      <c r="Z4756"/>
      <c r="AA4756"/>
      <c r="AB4756"/>
      <c r="AL4756"/>
      <c r="AM4756"/>
      <c r="AN4756"/>
      <c r="AO4756"/>
    </row>
    <row r="4757" spans="1:41" s="2" customFormat="1" x14ac:dyDescent="0.2">
      <c r="A4757"/>
      <c r="B4757"/>
      <c r="C4757"/>
      <c r="D4757"/>
      <c r="E4757"/>
      <c r="F4757"/>
      <c r="G4757"/>
      <c r="U4757"/>
      <c r="V4757"/>
      <c r="W4757"/>
      <c r="X4757"/>
      <c r="Y4757"/>
      <c r="Z4757"/>
      <c r="AA4757"/>
      <c r="AB4757"/>
      <c r="AL4757"/>
      <c r="AM4757"/>
      <c r="AN4757"/>
      <c r="AO4757"/>
    </row>
    <row r="4758" spans="1:41" s="2" customFormat="1" x14ac:dyDescent="0.2">
      <c r="A4758"/>
      <c r="B4758"/>
      <c r="C4758"/>
      <c r="D4758"/>
      <c r="E4758"/>
      <c r="F4758"/>
      <c r="G4758"/>
      <c r="U4758"/>
      <c r="V4758"/>
      <c r="W4758"/>
      <c r="X4758"/>
      <c r="Y4758"/>
      <c r="Z4758"/>
      <c r="AA4758"/>
      <c r="AB4758"/>
      <c r="AL4758"/>
      <c r="AM4758"/>
      <c r="AN4758"/>
      <c r="AO4758"/>
    </row>
    <row r="4759" spans="1:41" s="2" customFormat="1" x14ac:dyDescent="0.2">
      <c r="A4759"/>
      <c r="B4759"/>
      <c r="C4759"/>
      <c r="D4759"/>
      <c r="E4759"/>
      <c r="F4759"/>
      <c r="G4759"/>
      <c r="U4759"/>
      <c r="V4759"/>
      <c r="W4759"/>
      <c r="X4759"/>
      <c r="Y4759"/>
      <c r="Z4759"/>
      <c r="AA4759"/>
      <c r="AB4759"/>
      <c r="AL4759"/>
      <c r="AM4759"/>
      <c r="AN4759"/>
      <c r="AO4759"/>
    </row>
    <row r="4760" spans="1:41" s="2" customFormat="1" x14ac:dyDescent="0.2">
      <c r="A4760"/>
      <c r="B4760"/>
      <c r="C4760"/>
      <c r="D4760"/>
      <c r="E4760"/>
      <c r="F4760"/>
      <c r="G4760"/>
      <c r="U4760"/>
      <c r="V4760"/>
      <c r="W4760"/>
      <c r="X4760"/>
      <c r="Y4760"/>
      <c r="Z4760"/>
      <c r="AA4760"/>
      <c r="AB4760"/>
      <c r="AL4760"/>
      <c r="AM4760"/>
      <c r="AN4760"/>
      <c r="AO4760"/>
    </row>
    <row r="4761" spans="1:41" s="2" customFormat="1" x14ac:dyDescent="0.2">
      <c r="A4761"/>
      <c r="B4761"/>
      <c r="C4761"/>
      <c r="D4761"/>
      <c r="E4761"/>
      <c r="F4761"/>
      <c r="G4761"/>
      <c r="U4761"/>
      <c r="V4761"/>
      <c r="W4761"/>
      <c r="X4761"/>
      <c r="Y4761"/>
      <c r="Z4761"/>
      <c r="AA4761"/>
      <c r="AB4761"/>
      <c r="AL4761"/>
      <c r="AM4761"/>
      <c r="AN4761"/>
      <c r="AO4761"/>
    </row>
    <row r="4762" spans="1:41" s="2" customFormat="1" x14ac:dyDescent="0.2">
      <c r="A4762"/>
      <c r="B4762"/>
      <c r="C4762"/>
      <c r="D4762"/>
      <c r="E4762"/>
      <c r="F4762"/>
      <c r="G4762"/>
      <c r="U4762"/>
      <c r="V4762"/>
      <c r="W4762"/>
      <c r="X4762"/>
      <c r="Y4762"/>
      <c r="Z4762"/>
      <c r="AA4762"/>
      <c r="AB4762"/>
      <c r="AL4762"/>
      <c r="AM4762"/>
      <c r="AN4762"/>
      <c r="AO4762"/>
    </row>
    <row r="4763" spans="1:41" s="2" customFormat="1" x14ac:dyDescent="0.2">
      <c r="A4763"/>
      <c r="B4763"/>
      <c r="C4763"/>
      <c r="D4763"/>
      <c r="E4763"/>
      <c r="F4763"/>
      <c r="G4763"/>
      <c r="U4763"/>
      <c r="V4763"/>
      <c r="W4763"/>
      <c r="X4763"/>
      <c r="Y4763"/>
      <c r="Z4763"/>
      <c r="AA4763"/>
      <c r="AB4763"/>
      <c r="AL4763"/>
      <c r="AM4763"/>
      <c r="AN4763"/>
      <c r="AO4763"/>
    </row>
    <row r="4764" spans="1:41" s="2" customFormat="1" x14ac:dyDescent="0.2">
      <c r="A4764"/>
      <c r="B4764"/>
      <c r="C4764"/>
      <c r="D4764"/>
      <c r="E4764"/>
      <c r="F4764"/>
      <c r="G4764"/>
      <c r="U4764"/>
      <c r="V4764"/>
      <c r="W4764"/>
      <c r="X4764"/>
      <c r="Y4764"/>
      <c r="Z4764"/>
      <c r="AA4764"/>
      <c r="AB4764"/>
      <c r="AL4764"/>
      <c r="AM4764"/>
      <c r="AN4764"/>
      <c r="AO4764"/>
    </row>
    <row r="4765" spans="1:41" s="2" customFormat="1" x14ac:dyDescent="0.2">
      <c r="A4765"/>
      <c r="B4765"/>
      <c r="C4765"/>
      <c r="D4765"/>
      <c r="E4765"/>
      <c r="F4765"/>
      <c r="G4765"/>
      <c r="U4765"/>
      <c r="V4765"/>
      <c r="W4765"/>
      <c r="X4765"/>
      <c r="Y4765"/>
      <c r="Z4765"/>
      <c r="AA4765"/>
      <c r="AB4765"/>
      <c r="AL4765"/>
      <c r="AM4765"/>
      <c r="AN4765"/>
      <c r="AO4765"/>
    </row>
    <row r="4766" spans="1:41" s="2" customFormat="1" x14ac:dyDescent="0.2">
      <c r="A4766"/>
      <c r="B4766"/>
      <c r="C4766"/>
      <c r="D4766"/>
      <c r="E4766"/>
      <c r="F4766"/>
      <c r="G4766"/>
      <c r="U4766"/>
      <c r="V4766"/>
      <c r="W4766"/>
      <c r="X4766"/>
      <c r="Y4766"/>
      <c r="Z4766"/>
      <c r="AA4766"/>
      <c r="AB4766"/>
      <c r="AL4766"/>
      <c r="AM4766"/>
      <c r="AN4766"/>
      <c r="AO4766"/>
    </row>
    <row r="4767" spans="1:41" s="2" customFormat="1" x14ac:dyDescent="0.2">
      <c r="A4767"/>
      <c r="B4767"/>
      <c r="C4767"/>
      <c r="D4767"/>
      <c r="E4767"/>
      <c r="F4767"/>
      <c r="G4767"/>
      <c r="U4767"/>
      <c r="V4767"/>
      <c r="W4767"/>
      <c r="X4767"/>
      <c r="Y4767"/>
      <c r="Z4767"/>
      <c r="AA4767"/>
      <c r="AB4767"/>
      <c r="AL4767"/>
      <c r="AM4767"/>
      <c r="AN4767"/>
      <c r="AO4767"/>
    </row>
    <row r="4768" spans="1:41" s="2" customFormat="1" x14ac:dyDescent="0.2">
      <c r="A4768"/>
      <c r="B4768"/>
      <c r="C4768"/>
      <c r="D4768"/>
      <c r="E4768"/>
      <c r="F4768"/>
      <c r="G4768"/>
      <c r="U4768"/>
      <c r="V4768"/>
      <c r="W4768"/>
      <c r="X4768"/>
      <c r="Y4768"/>
      <c r="Z4768"/>
      <c r="AA4768"/>
      <c r="AB4768"/>
      <c r="AL4768"/>
      <c r="AM4768"/>
      <c r="AN4768"/>
      <c r="AO4768"/>
    </row>
    <row r="4769" spans="1:41" s="2" customFormat="1" x14ac:dyDescent="0.2">
      <c r="A4769"/>
      <c r="B4769"/>
      <c r="C4769"/>
      <c r="D4769"/>
      <c r="E4769"/>
      <c r="F4769"/>
      <c r="G4769"/>
      <c r="U4769"/>
      <c r="V4769"/>
      <c r="W4769"/>
      <c r="X4769"/>
      <c r="Y4769"/>
      <c r="Z4769"/>
      <c r="AA4769"/>
      <c r="AB4769"/>
      <c r="AL4769"/>
      <c r="AM4769"/>
      <c r="AN4769"/>
      <c r="AO4769"/>
    </row>
    <row r="4770" spans="1:41" s="2" customFormat="1" x14ac:dyDescent="0.2">
      <c r="A4770"/>
      <c r="B4770"/>
      <c r="C4770"/>
      <c r="D4770"/>
      <c r="E4770"/>
      <c r="F4770"/>
      <c r="G4770"/>
      <c r="U4770"/>
      <c r="V4770"/>
      <c r="W4770"/>
      <c r="X4770"/>
      <c r="Y4770"/>
      <c r="Z4770"/>
      <c r="AA4770"/>
      <c r="AB4770"/>
      <c r="AL4770"/>
      <c r="AM4770"/>
      <c r="AN4770"/>
      <c r="AO4770"/>
    </row>
    <row r="4771" spans="1:41" s="2" customFormat="1" x14ac:dyDescent="0.2">
      <c r="A4771"/>
      <c r="B4771"/>
      <c r="C4771"/>
      <c r="D4771"/>
      <c r="E4771"/>
      <c r="F4771"/>
      <c r="G4771"/>
      <c r="U4771"/>
      <c r="V4771"/>
      <c r="W4771"/>
      <c r="X4771"/>
      <c r="Y4771"/>
      <c r="Z4771"/>
      <c r="AA4771"/>
      <c r="AB4771"/>
      <c r="AL4771"/>
      <c r="AM4771"/>
      <c r="AN4771"/>
      <c r="AO4771"/>
    </row>
    <row r="4772" spans="1:41" s="2" customFormat="1" x14ac:dyDescent="0.2">
      <c r="A4772"/>
      <c r="B4772"/>
      <c r="C4772"/>
      <c r="D4772"/>
      <c r="E4772"/>
      <c r="F4772"/>
      <c r="G4772"/>
      <c r="U4772"/>
      <c r="V4772"/>
      <c r="W4772"/>
      <c r="X4772"/>
      <c r="Y4772"/>
      <c r="Z4772"/>
      <c r="AA4772"/>
      <c r="AB4772"/>
      <c r="AL4772"/>
      <c r="AM4772"/>
      <c r="AN4772"/>
      <c r="AO4772"/>
    </row>
    <row r="4773" spans="1:41" s="2" customFormat="1" x14ac:dyDescent="0.2">
      <c r="A4773"/>
      <c r="B4773"/>
      <c r="C4773"/>
      <c r="D4773"/>
      <c r="E4773"/>
      <c r="F4773"/>
      <c r="G4773"/>
      <c r="U4773"/>
      <c r="V4773"/>
      <c r="W4773"/>
      <c r="X4773"/>
      <c r="Y4773"/>
      <c r="Z4773"/>
      <c r="AA4773"/>
      <c r="AB4773"/>
      <c r="AL4773"/>
      <c r="AM4773"/>
      <c r="AN4773"/>
      <c r="AO4773"/>
    </row>
    <row r="4774" spans="1:41" s="2" customFormat="1" x14ac:dyDescent="0.2">
      <c r="A4774"/>
      <c r="B4774"/>
      <c r="C4774"/>
      <c r="D4774"/>
      <c r="E4774"/>
      <c r="F4774"/>
      <c r="G4774"/>
      <c r="U4774"/>
      <c r="V4774"/>
      <c r="W4774"/>
      <c r="X4774"/>
      <c r="Y4774"/>
      <c r="Z4774"/>
      <c r="AA4774"/>
      <c r="AB4774"/>
      <c r="AL4774"/>
      <c r="AM4774"/>
      <c r="AN4774"/>
      <c r="AO4774"/>
    </row>
    <row r="4775" spans="1:41" s="2" customFormat="1" x14ac:dyDescent="0.2">
      <c r="A4775"/>
      <c r="B4775"/>
      <c r="C4775"/>
      <c r="D4775"/>
      <c r="E4775"/>
      <c r="F4775"/>
      <c r="G4775"/>
      <c r="U4775"/>
      <c r="V4775"/>
      <c r="W4775"/>
      <c r="X4775"/>
      <c r="Y4775"/>
      <c r="Z4775"/>
      <c r="AA4775"/>
      <c r="AB4775"/>
      <c r="AL4775"/>
      <c r="AM4775"/>
      <c r="AN4775"/>
      <c r="AO4775"/>
    </row>
    <row r="4776" spans="1:41" s="2" customFormat="1" x14ac:dyDescent="0.2">
      <c r="A4776"/>
      <c r="B4776"/>
      <c r="C4776"/>
      <c r="D4776"/>
      <c r="E4776"/>
      <c r="F4776"/>
      <c r="G4776"/>
      <c r="U4776"/>
      <c r="V4776"/>
      <c r="W4776"/>
      <c r="X4776"/>
      <c r="Y4776"/>
      <c r="Z4776"/>
      <c r="AA4776"/>
      <c r="AB4776"/>
      <c r="AL4776"/>
      <c r="AM4776"/>
      <c r="AN4776"/>
      <c r="AO4776"/>
    </row>
    <row r="4777" spans="1:41" s="2" customFormat="1" x14ac:dyDescent="0.2">
      <c r="A4777"/>
      <c r="B4777"/>
      <c r="C4777"/>
      <c r="D4777"/>
      <c r="E4777"/>
      <c r="F4777"/>
      <c r="G4777"/>
      <c r="U4777"/>
      <c r="V4777"/>
      <c r="W4777"/>
      <c r="X4777"/>
      <c r="Y4777"/>
      <c r="Z4777"/>
      <c r="AA4777"/>
      <c r="AB4777"/>
      <c r="AL4777"/>
      <c r="AM4777"/>
      <c r="AN4777"/>
      <c r="AO4777"/>
    </row>
    <row r="4778" spans="1:41" s="2" customFormat="1" x14ac:dyDescent="0.2">
      <c r="A4778"/>
      <c r="B4778"/>
      <c r="C4778"/>
      <c r="D4778"/>
      <c r="E4778"/>
      <c r="F4778"/>
      <c r="G4778"/>
      <c r="U4778"/>
      <c r="V4778"/>
      <c r="W4778"/>
      <c r="X4778"/>
      <c r="Y4778"/>
      <c r="Z4778"/>
      <c r="AA4778"/>
      <c r="AB4778"/>
      <c r="AL4778"/>
      <c r="AM4778"/>
      <c r="AN4778"/>
      <c r="AO4778"/>
    </row>
    <row r="4779" spans="1:41" s="2" customFormat="1" x14ac:dyDescent="0.2">
      <c r="A4779"/>
      <c r="B4779"/>
      <c r="C4779"/>
      <c r="D4779"/>
      <c r="E4779"/>
      <c r="F4779"/>
      <c r="G4779"/>
      <c r="U4779"/>
      <c r="V4779"/>
      <c r="W4779"/>
      <c r="X4779"/>
      <c r="Y4779"/>
      <c r="Z4779"/>
      <c r="AA4779"/>
      <c r="AB4779"/>
      <c r="AL4779"/>
      <c r="AM4779"/>
      <c r="AN4779"/>
      <c r="AO4779"/>
    </row>
    <row r="4780" spans="1:41" s="2" customFormat="1" x14ac:dyDescent="0.2">
      <c r="A4780"/>
      <c r="B4780"/>
      <c r="C4780"/>
      <c r="D4780"/>
      <c r="E4780"/>
      <c r="F4780"/>
      <c r="G4780"/>
      <c r="U4780"/>
      <c r="V4780"/>
      <c r="W4780"/>
      <c r="X4780"/>
      <c r="Y4780"/>
      <c r="Z4780"/>
      <c r="AA4780"/>
      <c r="AB4780"/>
      <c r="AL4780"/>
      <c r="AM4780"/>
      <c r="AN4780"/>
      <c r="AO4780"/>
    </row>
    <row r="4781" spans="1:41" s="2" customFormat="1" x14ac:dyDescent="0.2">
      <c r="A4781"/>
      <c r="B4781"/>
      <c r="C4781"/>
      <c r="D4781"/>
      <c r="E4781"/>
      <c r="F4781"/>
      <c r="G4781"/>
      <c r="U4781"/>
      <c r="V4781"/>
      <c r="W4781"/>
      <c r="X4781"/>
      <c r="Y4781"/>
      <c r="Z4781"/>
      <c r="AA4781"/>
      <c r="AB4781"/>
      <c r="AL4781"/>
      <c r="AM4781"/>
      <c r="AN4781"/>
      <c r="AO4781"/>
    </row>
    <row r="4782" spans="1:41" s="2" customFormat="1" x14ac:dyDescent="0.2">
      <c r="A4782"/>
      <c r="B4782"/>
      <c r="C4782"/>
      <c r="D4782"/>
      <c r="E4782"/>
      <c r="F4782"/>
      <c r="G4782"/>
      <c r="U4782"/>
      <c r="V4782"/>
      <c r="W4782"/>
      <c r="X4782"/>
      <c r="Y4782"/>
      <c r="Z4782"/>
      <c r="AA4782"/>
      <c r="AB4782"/>
      <c r="AL4782"/>
      <c r="AM4782"/>
      <c r="AN4782"/>
      <c r="AO4782"/>
    </row>
    <row r="4783" spans="1:41" s="2" customFormat="1" x14ac:dyDescent="0.2">
      <c r="A4783"/>
      <c r="B4783"/>
      <c r="C4783"/>
      <c r="D4783"/>
      <c r="E4783"/>
      <c r="F4783"/>
      <c r="G4783"/>
      <c r="U4783"/>
      <c r="V4783"/>
      <c r="W4783"/>
      <c r="X4783"/>
      <c r="Y4783"/>
      <c r="Z4783"/>
      <c r="AA4783"/>
      <c r="AB4783"/>
      <c r="AL4783"/>
      <c r="AM4783"/>
      <c r="AN4783"/>
      <c r="AO4783"/>
    </row>
    <row r="4784" spans="1:41" s="2" customFormat="1" x14ac:dyDescent="0.2">
      <c r="A4784"/>
      <c r="B4784"/>
      <c r="C4784"/>
      <c r="D4784"/>
      <c r="E4784"/>
      <c r="F4784"/>
      <c r="G4784"/>
      <c r="U4784"/>
      <c r="V4784"/>
      <c r="W4784"/>
      <c r="X4784"/>
      <c r="Y4784"/>
      <c r="Z4784"/>
      <c r="AA4784"/>
      <c r="AB4784"/>
      <c r="AL4784"/>
      <c r="AM4784"/>
      <c r="AN4784"/>
      <c r="AO4784"/>
    </row>
    <row r="4785" spans="1:41" s="2" customFormat="1" x14ac:dyDescent="0.2">
      <c r="A4785"/>
      <c r="B4785"/>
      <c r="C4785"/>
      <c r="D4785"/>
      <c r="E4785"/>
      <c r="F4785"/>
      <c r="G4785"/>
      <c r="U4785"/>
      <c r="V4785"/>
      <c r="W4785"/>
      <c r="X4785"/>
      <c r="Y4785"/>
      <c r="Z4785"/>
      <c r="AA4785"/>
      <c r="AB4785"/>
      <c r="AL4785"/>
      <c r="AM4785"/>
      <c r="AN4785"/>
      <c r="AO4785"/>
    </row>
    <row r="4786" spans="1:41" s="2" customFormat="1" x14ac:dyDescent="0.2">
      <c r="A4786"/>
      <c r="B4786"/>
      <c r="C4786"/>
      <c r="D4786"/>
      <c r="E4786"/>
      <c r="F4786"/>
      <c r="G4786"/>
      <c r="U4786"/>
      <c r="V4786"/>
      <c r="W4786"/>
      <c r="X4786"/>
      <c r="Y4786"/>
      <c r="Z4786"/>
      <c r="AA4786"/>
      <c r="AB4786"/>
      <c r="AL4786"/>
      <c r="AM4786"/>
      <c r="AN4786"/>
      <c r="AO4786"/>
    </row>
    <row r="4787" spans="1:41" s="2" customFormat="1" x14ac:dyDescent="0.2">
      <c r="A4787"/>
      <c r="B4787"/>
      <c r="C4787"/>
      <c r="D4787"/>
      <c r="E4787"/>
      <c r="F4787"/>
      <c r="G4787"/>
      <c r="U4787"/>
      <c r="V4787"/>
      <c r="W4787"/>
      <c r="X4787"/>
      <c r="Y4787"/>
      <c r="Z4787"/>
      <c r="AA4787"/>
      <c r="AB4787"/>
      <c r="AL4787"/>
      <c r="AM4787"/>
      <c r="AN4787"/>
      <c r="AO4787"/>
    </row>
    <row r="4788" spans="1:41" s="2" customFormat="1" x14ac:dyDescent="0.2">
      <c r="A4788"/>
      <c r="B4788"/>
      <c r="C4788"/>
      <c r="D4788"/>
      <c r="E4788"/>
      <c r="F4788"/>
      <c r="G4788"/>
      <c r="U4788"/>
      <c r="V4788"/>
      <c r="W4788"/>
      <c r="X4788"/>
      <c r="Y4788"/>
      <c r="Z4788"/>
      <c r="AA4788"/>
      <c r="AB4788"/>
      <c r="AL4788"/>
      <c r="AM4788"/>
      <c r="AN4788"/>
      <c r="AO4788"/>
    </row>
    <row r="4789" spans="1:41" s="2" customFormat="1" x14ac:dyDescent="0.2">
      <c r="A4789"/>
      <c r="B4789"/>
      <c r="C4789"/>
      <c r="D4789"/>
      <c r="E4789"/>
      <c r="F4789"/>
      <c r="G4789"/>
      <c r="U4789"/>
      <c r="V4789"/>
      <c r="W4789"/>
      <c r="X4789"/>
      <c r="Y4789"/>
      <c r="Z4789"/>
      <c r="AA4789"/>
      <c r="AB4789"/>
      <c r="AL4789"/>
      <c r="AM4789"/>
      <c r="AN4789"/>
      <c r="AO4789"/>
    </row>
    <row r="4790" spans="1:41" s="2" customFormat="1" x14ac:dyDescent="0.2">
      <c r="A4790"/>
      <c r="B4790"/>
      <c r="C4790"/>
      <c r="D4790"/>
      <c r="E4790"/>
      <c r="F4790"/>
      <c r="G4790"/>
      <c r="U4790"/>
      <c r="V4790"/>
      <c r="W4790"/>
      <c r="X4790"/>
      <c r="Y4790"/>
      <c r="Z4790"/>
      <c r="AA4790"/>
      <c r="AB4790"/>
      <c r="AL4790"/>
      <c r="AM4790"/>
      <c r="AN4790"/>
      <c r="AO4790"/>
    </row>
    <row r="4791" spans="1:41" s="2" customFormat="1" x14ac:dyDescent="0.2">
      <c r="A4791"/>
      <c r="B4791"/>
      <c r="C4791"/>
      <c r="D4791"/>
      <c r="E4791"/>
      <c r="F4791"/>
      <c r="G4791"/>
      <c r="U4791"/>
      <c r="V4791"/>
      <c r="W4791"/>
      <c r="X4791"/>
      <c r="Y4791"/>
      <c r="Z4791"/>
      <c r="AA4791"/>
      <c r="AB4791"/>
      <c r="AL4791"/>
      <c r="AM4791"/>
      <c r="AN4791"/>
      <c r="AO4791"/>
    </row>
    <row r="4792" spans="1:41" s="2" customFormat="1" x14ac:dyDescent="0.2">
      <c r="A4792"/>
      <c r="B4792"/>
      <c r="C4792"/>
      <c r="D4792"/>
      <c r="E4792"/>
      <c r="F4792"/>
      <c r="G4792"/>
      <c r="U4792"/>
      <c r="V4792"/>
      <c r="W4792"/>
      <c r="X4792"/>
      <c r="Y4792"/>
      <c r="Z4792"/>
      <c r="AA4792"/>
      <c r="AB4792"/>
      <c r="AL4792"/>
      <c r="AM4792"/>
      <c r="AN4792"/>
      <c r="AO4792"/>
    </row>
    <row r="4793" spans="1:41" s="2" customFormat="1" x14ac:dyDescent="0.2">
      <c r="A4793"/>
      <c r="B4793"/>
      <c r="C4793"/>
      <c r="D4793"/>
      <c r="E4793"/>
      <c r="F4793"/>
      <c r="G4793"/>
      <c r="U4793"/>
      <c r="V4793"/>
      <c r="W4793"/>
      <c r="X4793"/>
      <c r="Y4793"/>
      <c r="Z4793"/>
      <c r="AA4793"/>
      <c r="AB4793"/>
      <c r="AL4793"/>
      <c r="AM4793"/>
      <c r="AN4793"/>
      <c r="AO4793"/>
    </row>
    <row r="4794" spans="1:41" s="2" customFormat="1" x14ac:dyDescent="0.2">
      <c r="A4794"/>
      <c r="B4794"/>
      <c r="C4794"/>
      <c r="D4794"/>
      <c r="E4794"/>
      <c r="F4794"/>
      <c r="G4794"/>
      <c r="U4794"/>
      <c r="V4794"/>
      <c r="W4794"/>
      <c r="X4794"/>
      <c r="Y4794"/>
      <c r="Z4794"/>
      <c r="AA4794"/>
      <c r="AB4794"/>
      <c r="AL4794"/>
      <c r="AM4794"/>
      <c r="AN4794"/>
      <c r="AO4794"/>
    </row>
    <row r="4795" spans="1:41" s="2" customFormat="1" x14ac:dyDescent="0.2">
      <c r="A4795"/>
      <c r="B4795"/>
      <c r="C4795"/>
      <c r="D4795"/>
      <c r="E4795"/>
      <c r="F4795"/>
      <c r="G4795"/>
      <c r="U4795"/>
      <c r="V4795"/>
      <c r="W4795"/>
      <c r="X4795"/>
      <c r="Y4795"/>
      <c r="Z4795"/>
      <c r="AA4795"/>
      <c r="AB4795"/>
      <c r="AL4795"/>
      <c r="AM4795"/>
      <c r="AN4795"/>
      <c r="AO4795"/>
    </row>
    <row r="4796" spans="1:41" s="2" customFormat="1" x14ac:dyDescent="0.2">
      <c r="A4796"/>
      <c r="B4796"/>
      <c r="C4796"/>
      <c r="D4796"/>
      <c r="E4796"/>
      <c r="F4796"/>
      <c r="G4796"/>
      <c r="U4796"/>
      <c r="V4796"/>
      <c r="W4796"/>
      <c r="X4796"/>
      <c r="Y4796"/>
      <c r="Z4796"/>
      <c r="AA4796"/>
      <c r="AB4796"/>
      <c r="AL4796"/>
      <c r="AM4796"/>
      <c r="AN4796"/>
      <c r="AO4796"/>
    </row>
    <row r="4797" spans="1:41" s="2" customFormat="1" x14ac:dyDescent="0.2">
      <c r="A4797"/>
      <c r="B4797"/>
      <c r="C4797"/>
      <c r="D4797"/>
      <c r="E4797"/>
      <c r="F4797"/>
      <c r="G4797"/>
      <c r="U4797"/>
      <c r="V4797"/>
      <c r="W4797"/>
      <c r="X4797"/>
      <c r="Y4797"/>
      <c r="Z4797"/>
      <c r="AA4797"/>
      <c r="AB4797"/>
      <c r="AL4797"/>
      <c r="AM4797"/>
      <c r="AN4797"/>
      <c r="AO4797"/>
    </row>
    <row r="4798" spans="1:41" s="2" customFormat="1" x14ac:dyDescent="0.2">
      <c r="A4798"/>
      <c r="B4798"/>
      <c r="C4798"/>
      <c r="D4798"/>
      <c r="E4798"/>
      <c r="F4798"/>
      <c r="G4798"/>
      <c r="U4798"/>
      <c r="V4798"/>
      <c r="W4798"/>
      <c r="X4798"/>
      <c r="Y4798"/>
      <c r="Z4798"/>
      <c r="AA4798"/>
      <c r="AB4798"/>
      <c r="AL4798"/>
      <c r="AM4798"/>
      <c r="AN4798"/>
      <c r="AO4798"/>
    </row>
    <row r="4799" spans="1:41" s="2" customFormat="1" x14ac:dyDescent="0.2">
      <c r="A4799"/>
      <c r="B4799"/>
      <c r="C4799"/>
      <c r="D4799"/>
      <c r="E4799"/>
      <c r="F4799"/>
      <c r="G4799"/>
      <c r="U4799"/>
      <c r="V4799"/>
      <c r="W4799"/>
      <c r="X4799"/>
      <c r="Y4799"/>
      <c r="Z4799"/>
      <c r="AA4799"/>
      <c r="AB4799"/>
      <c r="AL4799"/>
      <c r="AM4799"/>
      <c r="AN4799"/>
      <c r="AO4799"/>
    </row>
    <row r="4800" spans="1:41" s="2" customFormat="1" x14ac:dyDescent="0.2">
      <c r="A4800"/>
      <c r="B4800"/>
      <c r="C4800"/>
      <c r="D4800"/>
      <c r="E4800"/>
      <c r="F4800"/>
      <c r="G4800"/>
      <c r="U4800"/>
      <c r="V4800"/>
      <c r="W4800"/>
      <c r="X4800"/>
      <c r="Y4800"/>
      <c r="Z4800"/>
      <c r="AA4800"/>
      <c r="AB4800"/>
      <c r="AL4800"/>
      <c r="AM4800"/>
      <c r="AN4800"/>
      <c r="AO4800"/>
    </row>
    <row r="4801" spans="1:41" s="2" customFormat="1" x14ac:dyDescent="0.2">
      <c r="A4801"/>
      <c r="B4801"/>
      <c r="C4801"/>
      <c r="D4801"/>
      <c r="E4801"/>
      <c r="F4801"/>
      <c r="G4801"/>
      <c r="U4801"/>
      <c r="V4801"/>
      <c r="W4801"/>
      <c r="X4801"/>
      <c r="Y4801"/>
      <c r="Z4801"/>
      <c r="AA4801"/>
      <c r="AB4801"/>
      <c r="AL4801"/>
      <c r="AM4801"/>
      <c r="AN4801"/>
      <c r="AO4801"/>
    </row>
    <row r="4802" spans="1:41" s="2" customFormat="1" x14ac:dyDescent="0.2">
      <c r="A4802"/>
      <c r="B4802"/>
      <c r="C4802"/>
      <c r="D4802"/>
      <c r="E4802"/>
      <c r="F4802"/>
      <c r="G4802"/>
      <c r="U4802"/>
      <c r="V4802"/>
      <c r="W4802"/>
      <c r="X4802"/>
      <c r="Y4802"/>
      <c r="Z4802"/>
      <c r="AA4802"/>
      <c r="AB4802"/>
      <c r="AL4802"/>
      <c r="AM4802"/>
      <c r="AN4802"/>
      <c r="AO4802"/>
    </row>
    <row r="4803" spans="1:41" s="2" customFormat="1" x14ac:dyDescent="0.2">
      <c r="A4803"/>
      <c r="B4803"/>
      <c r="C4803"/>
      <c r="D4803"/>
      <c r="E4803"/>
      <c r="F4803"/>
      <c r="G4803"/>
      <c r="U4803"/>
      <c r="V4803"/>
      <c r="W4803"/>
      <c r="X4803"/>
      <c r="Y4803"/>
      <c r="Z4803"/>
      <c r="AA4803"/>
      <c r="AB4803"/>
      <c r="AL4803"/>
      <c r="AM4803"/>
      <c r="AN4803"/>
      <c r="AO4803"/>
    </row>
    <row r="4804" spans="1:41" s="2" customFormat="1" x14ac:dyDescent="0.2">
      <c r="A4804"/>
      <c r="B4804"/>
      <c r="C4804"/>
      <c r="D4804"/>
      <c r="E4804"/>
      <c r="F4804"/>
      <c r="G4804"/>
      <c r="U4804"/>
      <c r="V4804"/>
      <c r="W4804"/>
      <c r="X4804"/>
      <c r="Y4804"/>
      <c r="Z4804"/>
      <c r="AA4804"/>
      <c r="AB4804"/>
      <c r="AL4804"/>
      <c r="AM4804"/>
      <c r="AN4804"/>
      <c r="AO4804"/>
    </row>
    <row r="4805" spans="1:41" s="2" customFormat="1" x14ac:dyDescent="0.2">
      <c r="A4805"/>
      <c r="B4805"/>
      <c r="C4805"/>
      <c r="D4805"/>
      <c r="E4805"/>
      <c r="F4805"/>
      <c r="G4805"/>
      <c r="U4805"/>
      <c r="V4805"/>
      <c r="W4805"/>
      <c r="X4805"/>
      <c r="Y4805"/>
      <c r="Z4805"/>
      <c r="AA4805"/>
      <c r="AB4805"/>
      <c r="AL4805"/>
      <c r="AM4805"/>
      <c r="AN4805"/>
      <c r="AO4805"/>
    </row>
    <row r="4806" spans="1:41" s="2" customFormat="1" x14ac:dyDescent="0.2">
      <c r="A4806"/>
      <c r="B4806"/>
      <c r="C4806"/>
      <c r="D4806"/>
      <c r="E4806"/>
      <c r="F4806"/>
      <c r="G4806"/>
      <c r="U4806"/>
      <c r="V4806"/>
      <c r="W4806"/>
      <c r="X4806"/>
      <c r="Y4806"/>
      <c r="Z4806"/>
      <c r="AA4806"/>
      <c r="AB4806"/>
      <c r="AL4806"/>
      <c r="AM4806"/>
      <c r="AN4806"/>
      <c r="AO4806"/>
    </row>
    <row r="4807" spans="1:41" s="2" customFormat="1" x14ac:dyDescent="0.2">
      <c r="A4807"/>
      <c r="B4807"/>
      <c r="C4807"/>
      <c r="D4807"/>
      <c r="E4807"/>
      <c r="F4807"/>
      <c r="G4807"/>
      <c r="U4807"/>
      <c r="V4807"/>
      <c r="W4807"/>
      <c r="X4807"/>
      <c r="Y4807"/>
      <c r="Z4807"/>
      <c r="AA4807"/>
      <c r="AB4807"/>
      <c r="AL4807"/>
      <c r="AM4807"/>
      <c r="AN4807"/>
      <c r="AO4807"/>
    </row>
    <row r="4808" spans="1:41" s="2" customFormat="1" x14ac:dyDescent="0.2">
      <c r="A4808"/>
      <c r="B4808"/>
      <c r="C4808"/>
      <c r="D4808"/>
      <c r="E4808"/>
      <c r="F4808"/>
      <c r="G4808"/>
      <c r="U4808"/>
      <c r="V4808"/>
      <c r="W4808"/>
      <c r="X4808"/>
      <c r="Y4808"/>
      <c r="Z4808"/>
      <c r="AA4808"/>
      <c r="AB4808"/>
      <c r="AL4808"/>
      <c r="AM4808"/>
      <c r="AN4808"/>
      <c r="AO4808"/>
    </row>
    <row r="4809" spans="1:41" s="2" customFormat="1" x14ac:dyDescent="0.2">
      <c r="A4809"/>
      <c r="B4809"/>
      <c r="C4809"/>
      <c r="D4809"/>
      <c r="E4809"/>
      <c r="F4809"/>
      <c r="G4809"/>
      <c r="U4809"/>
      <c r="V4809"/>
      <c r="W4809"/>
      <c r="X4809"/>
      <c r="Y4809"/>
      <c r="Z4809"/>
      <c r="AA4809"/>
      <c r="AB4809"/>
      <c r="AL4809"/>
      <c r="AM4809"/>
      <c r="AN4809"/>
      <c r="AO4809"/>
    </row>
    <row r="4810" spans="1:41" s="2" customFormat="1" x14ac:dyDescent="0.2">
      <c r="A4810"/>
      <c r="B4810"/>
      <c r="C4810"/>
      <c r="D4810"/>
      <c r="E4810"/>
      <c r="F4810"/>
      <c r="G4810"/>
      <c r="U4810"/>
      <c r="V4810"/>
      <c r="W4810"/>
      <c r="X4810"/>
      <c r="Y4810"/>
      <c r="Z4810"/>
      <c r="AA4810"/>
      <c r="AB4810"/>
      <c r="AL4810"/>
      <c r="AM4810"/>
      <c r="AN4810"/>
      <c r="AO4810"/>
    </row>
    <row r="4811" spans="1:41" s="2" customFormat="1" x14ac:dyDescent="0.2">
      <c r="A4811"/>
      <c r="B4811"/>
      <c r="C4811"/>
      <c r="D4811"/>
      <c r="E4811"/>
      <c r="F4811"/>
      <c r="G4811"/>
      <c r="U4811"/>
      <c r="V4811"/>
      <c r="W4811"/>
      <c r="X4811"/>
      <c r="Y4811"/>
      <c r="Z4811"/>
      <c r="AA4811"/>
      <c r="AB4811"/>
      <c r="AL4811"/>
      <c r="AM4811"/>
      <c r="AN4811"/>
      <c r="AO4811"/>
    </row>
    <row r="4812" spans="1:41" s="2" customFormat="1" x14ac:dyDescent="0.2">
      <c r="A4812"/>
      <c r="B4812"/>
      <c r="C4812"/>
      <c r="D4812"/>
      <c r="E4812"/>
      <c r="F4812"/>
      <c r="G4812"/>
      <c r="U4812"/>
      <c r="V4812"/>
      <c r="W4812"/>
      <c r="X4812"/>
      <c r="Y4812"/>
      <c r="Z4812"/>
      <c r="AA4812"/>
      <c r="AB4812"/>
      <c r="AL4812"/>
      <c r="AM4812"/>
      <c r="AN4812"/>
      <c r="AO4812"/>
    </row>
    <row r="4813" spans="1:41" s="2" customFormat="1" x14ac:dyDescent="0.2">
      <c r="A4813"/>
      <c r="B4813"/>
      <c r="C4813"/>
      <c r="D4813"/>
      <c r="E4813"/>
      <c r="F4813"/>
      <c r="G4813"/>
      <c r="U4813"/>
      <c r="V4813"/>
      <c r="W4813"/>
      <c r="X4813"/>
      <c r="Y4813"/>
      <c r="Z4813"/>
      <c r="AA4813"/>
      <c r="AB4813"/>
      <c r="AL4813"/>
      <c r="AM4813"/>
      <c r="AN4813"/>
      <c r="AO4813"/>
    </row>
    <row r="4814" spans="1:41" s="2" customFormat="1" x14ac:dyDescent="0.2">
      <c r="A4814"/>
      <c r="B4814"/>
      <c r="C4814"/>
      <c r="D4814"/>
      <c r="E4814"/>
      <c r="F4814"/>
      <c r="G4814"/>
      <c r="U4814"/>
      <c r="V4814"/>
      <c r="W4814"/>
      <c r="X4814"/>
      <c r="Y4814"/>
      <c r="Z4814"/>
      <c r="AA4814"/>
      <c r="AB4814"/>
      <c r="AL4814"/>
      <c r="AM4814"/>
      <c r="AN4814"/>
      <c r="AO4814"/>
    </row>
    <row r="4815" spans="1:41" s="2" customFormat="1" x14ac:dyDescent="0.2">
      <c r="A4815"/>
      <c r="B4815"/>
      <c r="C4815"/>
      <c r="D4815"/>
      <c r="E4815"/>
      <c r="F4815"/>
      <c r="G4815"/>
      <c r="U4815"/>
      <c r="V4815"/>
      <c r="W4815"/>
      <c r="X4815"/>
      <c r="Y4815"/>
      <c r="Z4815"/>
      <c r="AA4815"/>
      <c r="AB4815"/>
      <c r="AL4815"/>
      <c r="AM4815"/>
      <c r="AN4815"/>
      <c r="AO4815"/>
    </row>
    <row r="4816" spans="1:41" s="2" customFormat="1" x14ac:dyDescent="0.2">
      <c r="A4816"/>
      <c r="B4816"/>
      <c r="C4816"/>
      <c r="D4816"/>
      <c r="E4816"/>
      <c r="F4816"/>
      <c r="G4816"/>
      <c r="U4816"/>
      <c r="V4816"/>
      <c r="W4816"/>
      <c r="X4816"/>
      <c r="Y4816"/>
      <c r="Z4816"/>
      <c r="AA4816"/>
      <c r="AB4816"/>
      <c r="AL4816"/>
      <c r="AM4816"/>
      <c r="AN4816"/>
      <c r="AO4816"/>
    </row>
    <row r="4817" spans="1:41" s="2" customFormat="1" x14ac:dyDescent="0.2">
      <c r="A4817"/>
      <c r="B4817"/>
      <c r="C4817"/>
      <c r="D4817"/>
      <c r="E4817"/>
      <c r="F4817"/>
      <c r="G4817"/>
      <c r="U4817"/>
      <c r="V4817"/>
      <c r="W4817"/>
      <c r="X4817"/>
      <c r="Y4817"/>
      <c r="Z4817"/>
      <c r="AA4817"/>
      <c r="AB4817"/>
      <c r="AL4817"/>
      <c r="AM4817"/>
      <c r="AN4817"/>
      <c r="AO4817"/>
    </row>
    <row r="4818" spans="1:41" s="2" customFormat="1" x14ac:dyDescent="0.2">
      <c r="A4818"/>
      <c r="B4818"/>
      <c r="C4818"/>
      <c r="D4818"/>
      <c r="E4818"/>
      <c r="F4818"/>
      <c r="G4818"/>
      <c r="U4818"/>
      <c r="V4818"/>
      <c r="W4818"/>
      <c r="X4818"/>
      <c r="Y4818"/>
      <c r="Z4818"/>
      <c r="AA4818"/>
      <c r="AB4818"/>
      <c r="AL4818"/>
      <c r="AM4818"/>
      <c r="AN4818"/>
      <c r="AO4818"/>
    </row>
    <row r="4819" spans="1:41" s="2" customFormat="1" x14ac:dyDescent="0.2">
      <c r="A4819"/>
      <c r="B4819"/>
      <c r="C4819"/>
      <c r="D4819"/>
      <c r="E4819"/>
      <c r="F4819"/>
      <c r="G4819"/>
      <c r="U4819"/>
      <c r="V4819"/>
      <c r="W4819"/>
      <c r="X4819"/>
      <c r="Y4819"/>
      <c r="Z4819"/>
      <c r="AA4819"/>
      <c r="AB4819"/>
      <c r="AL4819"/>
      <c r="AM4819"/>
      <c r="AN4819"/>
      <c r="AO4819"/>
    </row>
    <row r="4820" spans="1:41" s="2" customFormat="1" x14ac:dyDescent="0.2">
      <c r="A4820"/>
      <c r="B4820"/>
      <c r="C4820"/>
      <c r="D4820"/>
      <c r="E4820"/>
      <c r="F4820"/>
      <c r="G4820"/>
      <c r="U4820"/>
      <c r="V4820"/>
      <c r="W4820"/>
      <c r="X4820"/>
      <c r="Y4820"/>
      <c r="Z4820"/>
      <c r="AA4820"/>
      <c r="AB4820"/>
      <c r="AL4820"/>
      <c r="AM4820"/>
      <c r="AN4820"/>
      <c r="AO4820"/>
    </row>
    <row r="4821" spans="1:41" s="2" customFormat="1" x14ac:dyDescent="0.2">
      <c r="A4821"/>
      <c r="B4821"/>
      <c r="C4821"/>
      <c r="D4821"/>
      <c r="E4821"/>
      <c r="F4821"/>
      <c r="G4821"/>
      <c r="U4821"/>
      <c r="V4821"/>
      <c r="W4821"/>
      <c r="X4821"/>
      <c r="Y4821"/>
      <c r="Z4821"/>
      <c r="AA4821"/>
      <c r="AB4821"/>
      <c r="AL4821"/>
      <c r="AM4821"/>
      <c r="AN4821"/>
      <c r="AO4821"/>
    </row>
    <row r="4822" spans="1:41" s="2" customFormat="1" x14ac:dyDescent="0.2">
      <c r="A4822"/>
      <c r="B4822"/>
      <c r="C4822"/>
      <c r="D4822"/>
      <c r="E4822"/>
      <c r="F4822"/>
      <c r="G4822"/>
      <c r="U4822"/>
      <c r="V4822"/>
      <c r="W4822"/>
      <c r="X4822"/>
      <c r="Y4822"/>
      <c r="Z4822"/>
      <c r="AA4822"/>
      <c r="AB4822"/>
      <c r="AL4822"/>
      <c r="AM4822"/>
      <c r="AN4822"/>
      <c r="AO4822"/>
    </row>
    <row r="4823" spans="1:41" s="2" customFormat="1" x14ac:dyDescent="0.2">
      <c r="A4823"/>
      <c r="B4823"/>
      <c r="C4823"/>
      <c r="D4823"/>
      <c r="E4823"/>
      <c r="F4823"/>
      <c r="G4823"/>
      <c r="U4823"/>
      <c r="V4823"/>
      <c r="W4823"/>
      <c r="X4823"/>
      <c r="Y4823"/>
      <c r="Z4823"/>
      <c r="AA4823"/>
      <c r="AB4823"/>
      <c r="AL4823"/>
      <c r="AM4823"/>
      <c r="AN4823"/>
      <c r="AO4823"/>
    </row>
    <row r="4824" spans="1:41" s="2" customFormat="1" x14ac:dyDescent="0.2">
      <c r="A4824"/>
      <c r="B4824"/>
      <c r="C4824"/>
      <c r="D4824"/>
      <c r="E4824"/>
      <c r="F4824"/>
      <c r="G4824"/>
      <c r="U4824"/>
      <c r="V4824"/>
      <c r="W4824"/>
      <c r="X4824"/>
      <c r="Y4824"/>
      <c r="Z4824"/>
      <c r="AA4824"/>
      <c r="AB4824"/>
      <c r="AL4824"/>
      <c r="AM4824"/>
      <c r="AN4824"/>
      <c r="AO4824"/>
    </row>
    <row r="4825" spans="1:41" s="2" customFormat="1" x14ac:dyDescent="0.2">
      <c r="A4825"/>
      <c r="B4825"/>
      <c r="C4825"/>
      <c r="D4825"/>
      <c r="E4825"/>
      <c r="F4825"/>
      <c r="G4825"/>
      <c r="U4825"/>
      <c r="V4825"/>
      <c r="W4825"/>
      <c r="X4825"/>
      <c r="Y4825"/>
      <c r="Z4825"/>
      <c r="AA4825"/>
      <c r="AB4825"/>
      <c r="AL4825"/>
      <c r="AM4825"/>
      <c r="AN4825"/>
      <c r="AO4825"/>
    </row>
    <row r="4826" spans="1:41" s="2" customFormat="1" x14ac:dyDescent="0.2">
      <c r="A4826"/>
      <c r="B4826"/>
      <c r="C4826"/>
      <c r="D4826"/>
      <c r="E4826"/>
      <c r="F4826"/>
      <c r="G4826"/>
      <c r="U4826"/>
      <c r="V4826"/>
      <c r="W4826"/>
      <c r="X4826"/>
      <c r="Y4826"/>
      <c r="Z4826"/>
      <c r="AA4826"/>
      <c r="AB4826"/>
      <c r="AL4826"/>
      <c r="AM4826"/>
      <c r="AN4826"/>
      <c r="AO4826"/>
    </row>
    <row r="4827" spans="1:41" s="2" customFormat="1" x14ac:dyDescent="0.2">
      <c r="A4827"/>
      <c r="B4827"/>
      <c r="C4827"/>
      <c r="D4827"/>
      <c r="E4827"/>
      <c r="F4827"/>
      <c r="G4827"/>
      <c r="U4827"/>
      <c r="V4827"/>
      <c r="W4827"/>
      <c r="X4827"/>
      <c r="Y4827"/>
      <c r="Z4827"/>
      <c r="AA4827"/>
      <c r="AB4827"/>
      <c r="AL4827"/>
      <c r="AM4827"/>
      <c r="AN4827"/>
      <c r="AO4827"/>
    </row>
    <row r="4828" spans="1:41" s="2" customFormat="1" x14ac:dyDescent="0.2">
      <c r="A4828"/>
      <c r="B4828"/>
      <c r="C4828"/>
      <c r="D4828"/>
      <c r="E4828"/>
      <c r="F4828"/>
      <c r="G4828"/>
      <c r="U4828"/>
      <c r="V4828"/>
      <c r="W4828"/>
      <c r="X4828"/>
      <c r="Y4828"/>
      <c r="Z4828"/>
      <c r="AA4828"/>
      <c r="AB4828"/>
      <c r="AL4828"/>
      <c r="AM4828"/>
      <c r="AN4828"/>
      <c r="AO4828"/>
    </row>
    <row r="4829" spans="1:41" s="2" customFormat="1" x14ac:dyDescent="0.2">
      <c r="A4829"/>
      <c r="B4829"/>
      <c r="C4829"/>
      <c r="D4829"/>
      <c r="E4829"/>
      <c r="F4829"/>
      <c r="G4829"/>
      <c r="U4829"/>
      <c r="V4829"/>
      <c r="W4829"/>
      <c r="X4829"/>
      <c r="Y4829"/>
      <c r="Z4829"/>
      <c r="AA4829"/>
      <c r="AB4829"/>
      <c r="AL4829"/>
      <c r="AM4829"/>
      <c r="AN4829"/>
      <c r="AO4829"/>
    </row>
    <row r="4830" spans="1:41" s="2" customFormat="1" x14ac:dyDescent="0.2">
      <c r="A4830"/>
      <c r="B4830"/>
      <c r="C4830"/>
      <c r="D4830"/>
      <c r="E4830"/>
      <c r="F4830"/>
      <c r="G4830"/>
      <c r="U4830"/>
      <c r="V4830"/>
      <c r="W4830"/>
      <c r="X4830"/>
      <c r="Y4830"/>
      <c r="Z4830"/>
      <c r="AA4830"/>
      <c r="AB4830"/>
      <c r="AL4830"/>
      <c r="AM4830"/>
      <c r="AN4830"/>
      <c r="AO4830"/>
    </row>
    <row r="4831" spans="1:41" s="2" customFormat="1" x14ac:dyDescent="0.2">
      <c r="A4831"/>
      <c r="B4831"/>
      <c r="C4831"/>
      <c r="D4831"/>
      <c r="E4831"/>
      <c r="F4831"/>
      <c r="G4831"/>
      <c r="U4831"/>
      <c r="V4831"/>
      <c r="W4831"/>
      <c r="X4831"/>
      <c r="Y4831"/>
      <c r="Z4831"/>
      <c r="AA4831"/>
      <c r="AB4831"/>
      <c r="AL4831"/>
      <c r="AM4831"/>
      <c r="AN4831"/>
      <c r="AO4831"/>
    </row>
    <row r="4832" spans="1:41" s="2" customFormat="1" x14ac:dyDescent="0.2">
      <c r="A4832"/>
      <c r="B4832"/>
      <c r="C4832"/>
      <c r="D4832"/>
      <c r="E4832"/>
      <c r="F4832"/>
      <c r="G4832"/>
      <c r="U4832"/>
      <c r="V4832"/>
      <c r="W4832"/>
      <c r="X4832"/>
      <c r="Y4832"/>
      <c r="Z4832"/>
      <c r="AA4832"/>
      <c r="AB4832"/>
      <c r="AL4832"/>
      <c r="AM4832"/>
      <c r="AN4832"/>
      <c r="AO4832"/>
    </row>
    <row r="4833" spans="1:41" s="2" customFormat="1" x14ac:dyDescent="0.2">
      <c r="A4833"/>
      <c r="B4833"/>
      <c r="C4833"/>
      <c r="D4833"/>
      <c r="E4833"/>
      <c r="F4833"/>
      <c r="G4833"/>
      <c r="U4833"/>
      <c r="V4833"/>
      <c r="W4833"/>
      <c r="X4833"/>
      <c r="Y4833"/>
      <c r="Z4833"/>
      <c r="AA4833"/>
      <c r="AB4833"/>
      <c r="AL4833"/>
      <c r="AM4833"/>
      <c r="AN4833"/>
      <c r="AO4833"/>
    </row>
    <row r="4834" spans="1:41" s="2" customFormat="1" x14ac:dyDescent="0.2">
      <c r="A4834"/>
      <c r="B4834"/>
      <c r="C4834"/>
      <c r="D4834"/>
      <c r="E4834"/>
      <c r="F4834"/>
      <c r="G4834"/>
      <c r="U4834"/>
      <c r="V4834"/>
      <c r="W4834"/>
      <c r="X4834"/>
      <c r="Y4834"/>
      <c r="Z4834"/>
      <c r="AA4834"/>
      <c r="AB4834"/>
      <c r="AL4834"/>
      <c r="AM4834"/>
      <c r="AN4834"/>
      <c r="AO4834"/>
    </row>
    <row r="4835" spans="1:41" s="2" customFormat="1" x14ac:dyDescent="0.2">
      <c r="A4835"/>
      <c r="B4835"/>
      <c r="C4835"/>
      <c r="D4835"/>
      <c r="E4835"/>
      <c r="F4835"/>
      <c r="G4835"/>
      <c r="U4835"/>
      <c r="V4835"/>
      <c r="W4835"/>
      <c r="X4835"/>
      <c r="Y4835"/>
      <c r="Z4835"/>
      <c r="AA4835"/>
      <c r="AB4835"/>
      <c r="AL4835"/>
      <c r="AM4835"/>
      <c r="AN4835"/>
      <c r="AO4835"/>
    </row>
    <row r="4836" spans="1:41" s="2" customFormat="1" x14ac:dyDescent="0.2">
      <c r="A4836"/>
      <c r="B4836"/>
      <c r="C4836"/>
      <c r="D4836"/>
      <c r="E4836"/>
      <c r="F4836"/>
      <c r="G4836"/>
      <c r="U4836"/>
      <c r="V4836"/>
      <c r="W4836"/>
      <c r="X4836"/>
      <c r="Y4836"/>
      <c r="Z4836"/>
      <c r="AA4836"/>
      <c r="AB4836"/>
      <c r="AL4836"/>
      <c r="AM4836"/>
      <c r="AN4836"/>
      <c r="AO4836"/>
    </row>
    <row r="4837" spans="1:41" s="2" customFormat="1" x14ac:dyDescent="0.2">
      <c r="A4837"/>
      <c r="B4837"/>
      <c r="C4837"/>
      <c r="D4837"/>
      <c r="E4837"/>
      <c r="F4837"/>
      <c r="G4837"/>
      <c r="U4837"/>
      <c r="V4837"/>
      <c r="W4837"/>
      <c r="X4837"/>
      <c r="Y4837"/>
      <c r="Z4837"/>
      <c r="AA4837"/>
      <c r="AB4837"/>
      <c r="AL4837"/>
      <c r="AM4837"/>
      <c r="AN4837"/>
      <c r="AO4837"/>
    </row>
    <row r="4838" spans="1:41" s="2" customFormat="1" x14ac:dyDescent="0.2">
      <c r="A4838"/>
      <c r="B4838"/>
      <c r="C4838"/>
      <c r="D4838"/>
      <c r="E4838"/>
      <c r="F4838"/>
      <c r="G4838"/>
      <c r="U4838"/>
      <c r="V4838"/>
      <c r="W4838"/>
      <c r="X4838"/>
      <c r="Y4838"/>
      <c r="Z4838"/>
      <c r="AA4838"/>
      <c r="AB4838"/>
      <c r="AL4838"/>
      <c r="AM4838"/>
      <c r="AN4838"/>
      <c r="AO4838"/>
    </row>
    <row r="4839" spans="1:41" s="2" customFormat="1" x14ac:dyDescent="0.2">
      <c r="A4839"/>
      <c r="B4839"/>
      <c r="C4839"/>
      <c r="D4839"/>
      <c r="E4839"/>
      <c r="F4839"/>
      <c r="G4839"/>
      <c r="U4839"/>
      <c r="V4839"/>
      <c r="W4839"/>
      <c r="X4839"/>
      <c r="Y4839"/>
      <c r="Z4839"/>
      <c r="AA4839"/>
      <c r="AB4839"/>
      <c r="AL4839"/>
      <c r="AM4839"/>
      <c r="AN4839"/>
      <c r="AO4839"/>
    </row>
    <row r="4840" spans="1:41" s="2" customFormat="1" x14ac:dyDescent="0.2">
      <c r="A4840"/>
      <c r="B4840"/>
      <c r="C4840"/>
      <c r="D4840"/>
      <c r="E4840"/>
      <c r="F4840"/>
      <c r="G4840"/>
      <c r="U4840"/>
      <c r="V4840"/>
      <c r="W4840"/>
      <c r="X4840"/>
      <c r="Y4840"/>
      <c r="Z4840"/>
      <c r="AA4840"/>
      <c r="AB4840"/>
      <c r="AL4840"/>
      <c r="AM4840"/>
      <c r="AN4840"/>
      <c r="AO4840"/>
    </row>
    <row r="4841" spans="1:41" s="2" customFormat="1" x14ac:dyDescent="0.2">
      <c r="A4841"/>
      <c r="B4841"/>
      <c r="C4841"/>
      <c r="D4841"/>
      <c r="E4841"/>
      <c r="F4841"/>
      <c r="G4841"/>
      <c r="U4841"/>
      <c r="V4841"/>
      <c r="W4841"/>
      <c r="X4841"/>
      <c r="Y4841"/>
      <c r="Z4841"/>
      <c r="AA4841"/>
      <c r="AB4841"/>
      <c r="AL4841"/>
      <c r="AM4841"/>
      <c r="AN4841"/>
      <c r="AO4841"/>
    </row>
    <row r="4842" spans="1:41" s="2" customFormat="1" x14ac:dyDescent="0.2">
      <c r="A4842"/>
      <c r="B4842"/>
      <c r="C4842"/>
      <c r="D4842"/>
      <c r="E4842"/>
      <c r="F4842"/>
      <c r="G4842"/>
      <c r="U4842"/>
      <c r="V4842"/>
      <c r="W4842"/>
      <c r="X4842"/>
      <c r="Y4842"/>
      <c r="Z4842"/>
      <c r="AA4842"/>
      <c r="AB4842"/>
      <c r="AL4842"/>
      <c r="AM4842"/>
      <c r="AN4842"/>
      <c r="AO4842"/>
    </row>
    <row r="4843" spans="1:41" s="2" customFormat="1" x14ac:dyDescent="0.2">
      <c r="A4843"/>
      <c r="B4843"/>
      <c r="C4843"/>
      <c r="D4843"/>
      <c r="E4843"/>
      <c r="F4843"/>
      <c r="G4843"/>
      <c r="U4843"/>
      <c r="V4843"/>
      <c r="W4843"/>
      <c r="X4843"/>
      <c r="Y4843"/>
      <c r="Z4843"/>
      <c r="AA4843"/>
      <c r="AB4843"/>
      <c r="AL4843"/>
      <c r="AM4843"/>
      <c r="AN4843"/>
      <c r="AO4843"/>
    </row>
    <row r="4844" spans="1:41" s="2" customFormat="1" x14ac:dyDescent="0.2">
      <c r="A4844"/>
      <c r="B4844"/>
      <c r="C4844"/>
      <c r="D4844"/>
      <c r="E4844"/>
      <c r="F4844"/>
      <c r="G4844"/>
      <c r="U4844"/>
      <c r="V4844"/>
      <c r="W4844"/>
      <c r="X4844"/>
      <c r="Y4844"/>
      <c r="Z4844"/>
      <c r="AA4844"/>
      <c r="AB4844"/>
      <c r="AL4844"/>
      <c r="AM4844"/>
      <c r="AN4844"/>
      <c r="AO4844"/>
    </row>
    <row r="4845" spans="1:41" s="2" customFormat="1" x14ac:dyDescent="0.2">
      <c r="A4845"/>
      <c r="B4845"/>
      <c r="C4845"/>
      <c r="D4845"/>
      <c r="E4845"/>
      <c r="F4845"/>
      <c r="G4845"/>
      <c r="U4845"/>
      <c r="V4845"/>
      <c r="W4845"/>
      <c r="X4845"/>
      <c r="Y4845"/>
      <c r="Z4845"/>
      <c r="AA4845"/>
      <c r="AB4845"/>
      <c r="AL4845"/>
      <c r="AM4845"/>
      <c r="AN4845"/>
      <c r="AO4845"/>
    </row>
    <row r="4846" spans="1:41" s="2" customFormat="1" x14ac:dyDescent="0.2">
      <c r="A4846"/>
      <c r="B4846"/>
      <c r="C4846"/>
      <c r="D4846"/>
      <c r="E4846"/>
      <c r="F4846"/>
      <c r="G4846"/>
      <c r="U4846"/>
      <c r="V4846"/>
      <c r="W4846"/>
      <c r="X4846"/>
      <c r="Y4846"/>
      <c r="Z4846"/>
      <c r="AA4846"/>
      <c r="AB4846"/>
      <c r="AL4846"/>
      <c r="AM4846"/>
      <c r="AN4846"/>
      <c r="AO4846"/>
    </row>
    <row r="4847" spans="1:41" s="2" customFormat="1" x14ac:dyDescent="0.2">
      <c r="A4847"/>
      <c r="B4847"/>
      <c r="C4847"/>
      <c r="D4847"/>
      <c r="E4847"/>
      <c r="F4847"/>
      <c r="G4847"/>
      <c r="U4847"/>
      <c r="V4847"/>
      <c r="W4847"/>
      <c r="X4847"/>
      <c r="Y4847"/>
      <c r="Z4847"/>
      <c r="AA4847"/>
      <c r="AB4847"/>
      <c r="AL4847"/>
      <c r="AM4847"/>
      <c r="AN4847"/>
      <c r="AO4847"/>
    </row>
    <row r="4848" spans="1:41" s="2" customFormat="1" x14ac:dyDescent="0.2">
      <c r="A4848"/>
      <c r="B4848"/>
      <c r="C4848"/>
      <c r="D4848"/>
      <c r="E4848"/>
      <c r="F4848"/>
      <c r="G4848"/>
      <c r="U4848"/>
      <c r="V4848"/>
      <c r="W4848"/>
      <c r="X4848"/>
      <c r="Y4848"/>
      <c r="Z4848"/>
      <c r="AA4848"/>
      <c r="AB4848"/>
      <c r="AL4848"/>
      <c r="AM4848"/>
      <c r="AN4848"/>
      <c r="AO4848"/>
    </row>
    <row r="4849" spans="1:41" s="2" customFormat="1" x14ac:dyDescent="0.2">
      <c r="A4849"/>
      <c r="B4849"/>
      <c r="C4849"/>
      <c r="D4849"/>
      <c r="E4849"/>
      <c r="F4849"/>
      <c r="G4849"/>
      <c r="U4849"/>
      <c r="V4849"/>
      <c r="W4849"/>
      <c r="X4849"/>
      <c r="Y4849"/>
      <c r="Z4849"/>
      <c r="AA4849"/>
      <c r="AB4849"/>
      <c r="AL4849"/>
      <c r="AM4849"/>
      <c r="AN4849"/>
      <c r="AO4849"/>
    </row>
    <row r="4850" spans="1:41" s="2" customFormat="1" x14ac:dyDescent="0.2">
      <c r="A4850"/>
      <c r="B4850"/>
      <c r="C4850"/>
      <c r="D4850"/>
      <c r="E4850"/>
      <c r="F4850"/>
      <c r="G4850"/>
      <c r="U4850"/>
      <c r="V4850"/>
      <c r="W4850"/>
      <c r="X4850"/>
      <c r="Y4850"/>
      <c r="Z4850"/>
      <c r="AA4850"/>
      <c r="AB4850"/>
      <c r="AL4850"/>
      <c r="AM4850"/>
      <c r="AN4850"/>
      <c r="AO4850"/>
    </row>
    <row r="4851" spans="1:41" s="2" customFormat="1" x14ac:dyDescent="0.2">
      <c r="A4851"/>
      <c r="B4851"/>
      <c r="C4851"/>
      <c r="D4851"/>
      <c r="E4851"/>
      <c r="F4851"/>
      <c r="G4851"/>
      <c r="U4851"/>
      <c r="V4851"/>
      <c r="W4851"/>
      <c r="X4851"/>
      <c r="Y4851"/>
      <c r="Z4851"/>
      <c r="AA4851"/>
      <c r="AB4851"/>
      <c r="AL4851"/>
      <c r="AM4851"/>
      <c r="AN4851"/>
      <c r="AO4851"/>
    </row>
    <row r="4852" spans="1:41" s="2" customFormat="1" x14ac:dyDescent="0.2">
      <c r="A4852"/>
      <c r="B4852"/>
      <c r="C4852"/>
      <c r="D4852"/>
      <c r="E4852"/>
      <c r="F4852"/>
      <c r="G4852"/>
      <c r="U4852"/>
      <c r="V4852"/>
      <c r="W4852"/>
      <c r="X4852"/>
      <c r="Y4852"/>
      <c r="Z4852"/>
      <c r="AA4852"/>
      <c r="AB4852"/>
      <c r="AL4852"/>
      <c r="AM4852"/>
      <c r="AN4852"/>
      <c r="AO4852"/>
    </row>
    <row r="4853" spans="1:41" s="2" customFormat="1" x14ac:dyDescent="0.2">
      <c r="A4853"/>
      <c r="B4853"/>
      <c r="C4853"/>
      <c r="D4853"/>
      <c r="E4853"/>
      <c r="F4853"/>
      <c r="G4853"/>
      <c r="U4853"/>
      <c r="V4853"/>
      <c r="W4853"/>
      <c r="X4853"/>
      <c r="Y4853"/>
      <c r="Z4853"/>
      <c r="AA4853"/>
      <c r="AB4853"/>
      <c r="AL4853"/>
      <c r="AM4853"/>
      <c r="AN4853"/>
      <c r="AO4853"/>
    </row>
    <row r="4854" spans="1:41" s="2" customFormat="1" x14ac:dyDescent="0.2">
      <c r="A4854"/>
      <c r="B4854"/>
      <c r="C4854"/>
      <c r="D4854"/>
      <c r="E4854"/>
      <c r="F4854"/>
      <c r="G4854"/>
      <c r="U4854"/>
      <c r="V4854"/>
      <c r="W4854"/>
      <c r="X4854"/>
      <c r="Y4854"/>
      <c r="Z4854"/>
      <c r="AA4854"/>
      <c r="AB4854"/>
      <c r="AL4854"/>
      <c r="AM4854"/>
      <c r="AN4854"/>
      <c r="AO4854"/>
    </row>
    <row r="4855" spans="1:41" s="2" customFormat="1" x14ac:dyDescent="0.2">
      <c r="A4855"/>
      <c r="B4855"/>
      <c r="C4855"/>
      <c r="D4855"/>
      <c r="E4855"/>
      <c r="F4855"/>
      <c r="G4855"/>
      <c r="U4855"/>
      <c r="V4855"/>
      <c r="W4855"/>
      <c r="X4855"/>
      <c r="Y4855"/>
      <c r="Z4855"/>
      <c r="AA4855"/>
      <c r="AB4855"/>
      <c r="AL4855"/>
      <c r="AM4855"/>
      <c r="AN4855"/>
      <c r="AO4855"/>
    </row>
    <row r="4856" spans="1:41" s="2" customFormat="1" x14ac:dyDescent="0.2">
      <c r="A4856"/>
      <c r="B4856"/>
      <c r="C4856"/>
      <c r="D4856"/>
      <c r="E4856"/>
      <c r="F4856"/>
      <c r="G4856"/>
      <c r="U4856"/>
      <c r="V4856"/>
      <c r="W4856"/>
      <c r="X4856"/>
      <c r="Y4856"/>
      <c r="Z4856"/>
      <c r="AA4856"/>
      <c r="AB4856"/>
      <c r="AL4856"/>
      <c r="AM4856"/>
      <c r="AN4856"/>
      <c r="AO4856"/>
    </row>
    <row r="4857" spans="1:41" s="2" customFormat="1" x14ac:dyDescent="0.2">
      <c r="A4857"/>
      <c r="B4857"/>
      <c r="C4857"/>
      <c r="D4857"/>
      <c r="E4857"/>
      <c r="F4857"/>
      <c r="G4857"/>
      <c r="U4857"/>
      <c r="V4857"/>
      <c r="W4857"/>
      <c r="X4857"/>
      <c r="Y4857"/>
      <c r="Z4857"/>
      <c r="AA4857"/>
      <c r="AB4857"/>
      <c r="AL4857"/>
      <c r="AM4857"/>
      <c r="AN4857"/>
      <c r="AO4857"/>
    </row>
    <row r="4858" spans="1:41" s="2" customFormat="1" x14ac:dyDescent="0.2">
      <c r="A4858"/>
      <c r="B4858"/>
      <c r="C4858"/>
      <c r="D4858"/>
      <c r="E4858"/>
      <c r="F4858"/>
      <c r="G4858"/>
      <c r="U4858"/>
      <c r="V4858"/>
      <c r="W4858"/>
      <c r="X4858"/>
      <c r="Y4858"/>
      <c r="Z4858"/>
      <c r="AA4858"/>
      <c r="AB4858"/>
      <c r="AL4858"/>
      <c r="AM4858"/>
      <c r="AN4858"/>
      <c r="AO4858"/>
    </row>
    <row r="4859" spans="1:41" s="2" customFormat="1" x14ac:dyDescent="0.2">
      <c r="A4859"/>
      <c r="B4859"/>
      <c r="C4859"/>
      <c r="D4859"/>
      <c r="E4859"/>
      <c r="F4859"/>
      <c r="G4859"/>
      <c r="U4859"/>
      <c r="V4859"/>
      <c r="W4859"/>
      <c r="X4859"/>
      <c r="Y4859"/>
      <c r="Z4859"/>
      <c r="AA4859"/>
      <c r="AB4859"/>
      <c r="AL4859"/>
      <c r="AM4859"/>
      <c r="AN4859"/>
      <c r="AO4859"/>
    </row>
    <row r="4860" spans="1:41" s="2" customFormat="1" x14ac:dyDescent="0.2">
      <c r="A4860"/>
      <c r="B4860"/>
      <c r="C4860"/>
      <c r="D4860"/>
      <c r="E4860"/>
      <c r="F4860"/>
      <c r="G4860"/>
      <c r="U4860"/>
      <c r="V4860"/>
      <c r="W4860"/>
      <c r="X4860"/>
      <c r="Y4860"/>
      <c r="Z4860"/>
      <c r="AA4860"/>
      <c r="AB4860"/>
      <c r="AL4860"/>
      <c r="AM4860"/>
      <c r="AN4860"/>
      <c r="AO4860"/>
    </row>
    <row r="4861" spans="1:41" s="2" customFormat="1" x14ac:dyDescent="0.2">
      <c r="A4861"/>
      <c r="B4861"/>
      <c r="C4861"/>
      <c r="D4861"/>
      <c r="E4861"/>
      <c r="F4861"/>
      <c r="G4861"/>
      <c r="U4861"/>
      <c r="V4861"/>
      <c r="W4861"/>
      <c r="X4861"/>
      <c r="Y4861"/>
      <c r="Z4861"/>
      <c r="AA4861"/>
      <c r="AB4861"/>
      <c r="AL4861"/>
      <c r="AM4861"/>
      <c r="AN4861"/>
      <c r="AO4861"/>
    </row>
    <row r="4862" spans="1:41" s="2" customFormat="1" x14ac:dyDescent="0.2">
      <c r="A4862"/>
      <c r="B4862"/>
      <c r="C4862"/>
      <c r="D4862"/>
      <c r="E4862"/>
      <c r="F4862"/>
      <c r="G4862"/>
      <c r="U4862"/>
      <c r="V4862"/>
      <c r="W4862"/>
      <c r="X4862"/>
      <c r="Y4862"/>
      <c r="Z4862"/>
      <c r="AA4862"/>
      <c r="AB4862"/>
      <c r="AL4862"/>
      <c r="AM4862"/>
      <c r="AN4862"/>
      <c r="AO4862"/>
    </row>
    <row r="4863" spans="1:41" s="2" customFormat="1" x14ac:dyDescent="0.2">
      <c r="A4863"/>
      <c r="B4863"/>
      <c r="C4863"/>
      <c r="D4863"/>
      <c r="E4863"/>
      <c r="F4863"/>
      <c r="G4863"/>
      <c r="U4863"/>
      <c r="V4863"/>
      <c r="W4863"/>
      <c r="X4863"/>
      <c r="Y4863"/>
      <c r="Z4863"/>
      <c r="AA4863"/>
      <c r="AB4863"/>
      <c r="AL4863"/>
      <c r="AM4863"/>
      <c r="AN4863"/>
      <c r="AO4863"/>
    </row>
    <row r="4864" spans="1:41" s="2" customFormat="1" x14ac:dyDescent="0.2">
      <c r="A4864"/>
      <c r="B4864"/>
      <c r="C4864"/>
      <c r="D4864"/>
      <c r="E4864"/>
      <c r="F4864"/>
      <c r="G4864"/>
      <c r="U4864"/>
      <c r="V4864"/>
      <c r="W4864"/>
      <c r="X4864"/>
      <c r="Y4864"/>
      <c r="Z4864"/>
      <c r="AA4864"/>
      <c r="AB4864"/>
      <c r="AL4864"/>
      <c r="AM4864"/>
      <c r="AN4864"/>
      <c r="AO4864"/>
    </row>
    <row r="4865" spans="1:41" s="2" customFormat="1" x14ac:dyDescent="0.2">
      <c r="A4865"/>
      <c r="B4865"/>
      <c r="C4865"/>
      <c r="D4865"/>
      <c r="E4865"/>
      <c r="F4865"/>
      <c r="G4865"/>
      <c r="U4865"/>
      <c r="V4865"/>
      <c r="W4865"/>
      <c r="X4865"/>
      <c r="Y4865"/>
      <c r="Z4865"/>
      <c r="AA4865"/>
      <c r="AB4865"/>
      <c r="AL4865"/>
      <c r="AM4865"/>
      <c r="AN4865"/>
      <c r="AO4865"/>
    </row>
    <row r="4866" spans="1:41" s="2" customFormat="1" x14ac:dyDescent="0.2">
      <c r="A4866"/>
      <c r="B4866"/>
      <c r="C4866"/>
      <c r="D4866"/>
      <c r="E4866"/>
      <c r="F4866"/>
      <c r="G4866"/>
      <c r="U4866"/>
      <c r="V4866"/>
      <c r="W4866"/>
      <c r="X4866"/>
      <c r="Y4866"/>
      <c r="Z4866"/>
      <c r="AA4866"/>
      <c r="AB4866"/>
      <c r="AL4866"/>
      <c r="AM4866"/>
      <c r="AN4866"/>
      <c r="AO4866"/>
    </row>
    <row r="4867" spans="1:41" s="2" customFormat="1" x14ac:dyDescent="0.2">
      <c r="A4867"/>
      <c r="B4867"/>
      <c r="C4867"/>
      <c r="D4867"/>
      <c r="E4867"/>
      <c r="F4867"/>
      <c r="G4867"/>
      <c r="U4867"/>
      <c r="V4867"/>
      <c r="W4867"/>
      <c r="X4867"/>
      <c r="Y4867"/>
      <c r="Z4867"/>
      <c r="AA4867"/>
      <c r="AB4867"/>
      <c r="AL4867"/>
      <c r="AM4867"/>
      <c r="AN4867"/>
      <c r="AO4867"/>
    </row>
    <row r="4868" spans="1:41" s="2" customFormat="1" x14ac:dyDescent="0.2">
      <c r="A4868"/>
      <c r="B4868"/>
      <c r="C4868"/>
      <c r="D4868"/>
      <c r="E4868"/>
      <c r="F4868"/>
      <c r="G4868"/>
      <c r="U4868"/>
      <c r="V4868"/>
      <c r="W4868"/>
      <c r="X4868"/>
      <c r="Y4868"/>
      <c r="Z4868"/>
      <c r="AA4868"/>
      <c r="AB4868"/>
      <c r="AL4868"/>
      <c r="AM4868"/>
      <c r="AN4868"/>
      <c r="AO4868"/>
    </row>
    <row r="4869" spans="1:41" s="2" customFormat="1" x14ac:dyDescent="0.2">
      <c r="A4869"/>
      <c r="B4869"/>
      <c r="C4869"/>
      <c r="D4869"/>
      <c r="E4869"/>
      <c r="F4869"/>
      <c r="G4869"/>
      <c r="U4869"/>
      <c r="V4869"/>
      <c r="W4869"/>
      <c r="X4869"/>
      <c r="Y4869"/>
      <c r="Z4869"/>
      <c r="AA4869"/>
      <c r="AB4869"/>
      <c r="AL4869"/>
      <c r="AM4869"/>
      <c r="AN4869"/>
      <c r="AO4869"/>
    </row>
    <row r="4870" spans="1:41" s="2" customFormat="1" x14ac:dyDescent="0.2">
      <c r="A4870"/>
      <c r="B4870"/>
      <c r="C4870"/>
      <c r="D4870"/>
      <c r="E4870"/>
      <c r="F4870"/>
      <c r="G4870"/>
      <c r="U4870"/>
      <c r="V4870"/>
      <c r="W4870"/>
      <c r="X4870"/>
      <c r="Y4870"/>
      <c r="Z4870"/>
      <c r="AA4870"/>
      <c r="AB4870"/>
      <c r="AL4870"/>
      <c r="AM4870"/>
      <c r="AN4870"/>
      <c r="AO4870"/>
    </row>
    <row r="4871" spans="1:41" s="2" customFormat="1" x14ac:dyDescent="0.2">
      <c r="A4871"/>
      <c r="B4871"/>
      <c r="C4871"/>
      <c r="D4871"/>
      <c r="E4871"/>
      <c r="F4871"/>
      <c r="G4871"/>
      <c r="U4871"/>
      <c r="V4871"/>
      <c r="W4871"/>
      <c r="X4871"/>
      <c r="Y4871"/>
      <c r="Z4871"/>
      <c r="AA4871"/>
      <c r="AB4871"/>
      <c r="AL4871"/>
      <c r="AM4871"/>
      <c r="AN4871"/>
      <c r="AO4871"/>
    </row>
    <row r="4872" spans="1:41" s="2" customFormat="1" x14ac:dyDescent="0.2">
      <c r="A4872"/>
      <c r="B4872"/>
      <c r="C4872"/>
      <c r="D4872"/>
      <c r="E4872"/>
      <c r="F4872"/>
      <c r="G4872"/>
      <c r="U4872"/>
      <c r="V4872"/>
      <c r="W4872"/>
      <c r="X4872"/>
      <c r="Y4872"/>
      <c r="Z4872"/>
      <c r="AA4872"/>
      <c r="AB4872"/>
      <c r="AL4872"/>
      <c r="AM4872"/>
      <c r="AN4872"/>
      <c r="AO4872"/>
    </row>
    <row r="4873" spans="1:41" s="2" customFormat="1" x14ac:dyDescent="0.2">
      <c r="A4873"/>
      <c r="B4873"/>
      <c r="C4873"/>
      <c r="D4873"/>
      <c r="E4873"/>
      <c r="F4873"/>
      <c r="G4873"/>
      <c r="U4873"/>
      <c r="V4873"/>
      <c r="W4873"/>
      <c r="X4873"/>
      <c r="Y4873"/>
      <c r="Z4873"/>
      <c r="AA4873"/>
      <c r="AB4873"/>
      <c r="AL4873"/>
      <c r="AM4873"/>
      <c r="AN4873"/>
      <c r="AO4873"/>
    </row>
    <row r="4874" spans="1:41" s="2" customFormat="1" x14ac:dyDescent="0.2">
      <c r="A4874"/>
      <c r="B4874"/>
      <c r="C4874"/>
      <c r="D4874"/>
      <c r="E4874"/>
      <c r="F4874"/>
      <c r="G4874"/>
      <c r="U4874"/>
      <c r="V4874"/>
      <c r="W4874"/>
      <c r="X4874"/>
      <c r="Y4874"/>
      <c r="Z4874"/>
      <c r="AA4874"/>
      <c r="AB4874"/>
      <c r="AL4874"/>
      <c r="AM4874"/>
      <c r="AN4874"/>
      <c r="AO4874"/>
    </row>
    <row r="4875" spans="1:41" s="2" customFormat="1" x14ac:dyDescent="0.2">
      <c r="A4875"/>
      <c r="B4875"/>
      <c r="C4875"/>
      <c r="D4875"/>
      <c r="E4875"/>
      <c r="F4875"/>
      <c r="G4875"/>
      <c r="U4875"/>
      <c r="V4875"/>
      <c r="W4875"/>
      <c r="X4875"/>
      <c r="Y4875"/>
      <c r="Z4875"/>
      <c r="AA4875"/>
      <c r="AB4875"/>
      <c r="AL4875"/>
      <c r="AM4875"/>
      <c r="AN4875"/>
      <c r="AO4875"/>
    </row>
    <row r="4876" spans="1:41" s="2" customFormat="1" x14ac:dyDescent="0.2">
      <c r="A4876"/>
      <c r="B4876"/>
      <c r="C4876"/>
      <c r="D4876"/>
      <c r="E4876"/>
      <c r="F4876"/>
      <c r="G4876"/>
      <c r="U4876"/>
      <c r="V4876"/>
      <c r="W4876"/>
      <c r="X4876"/>
      <c r="Y4876"/>
      <c r="Z4876"/>
      <c r="AA4876"/>
      <c r="AB4876"/>
      <c r="AL4876"/>
      <c r="AM4876"/>
      <c r="AN4876"/>
      <c r="AO4876"/>
    </row>
    <row r="4877" spans="1:41" s="2" customFormat="1" x14ac:dyDescent="0.2">
      <c r="A4877"/>
      <c r="B4877"/>
      <c r="C4877"/>
      <c r="D4877"/>
      <c r="E4877"/>
      <c r="F4877"/>
      <c r="G4877"/>
      <c r="U4877"/>
      <c r="V4877"/>
      <c r="W4877"/>
      <c r="X4877"/>
      <c r="Y4877"/>
      <c r="Z4877"/>
      <c r="AA4877"/>
      <c r="AB4877"/>
      <c r="AL4877"/>
      <c r="AM4877"/>
      <c r="AN4877"/>
      <c r="AO4877"/>
    </row>
    <row r="4878" spans="1:41" s="2" customFormat="1" x14ac:dyDescent="0.2">
      <c r="A4878"/>
      <c r="B4878"/>
      <c r="C4878"/>
      <c r="D4878"/>
      <c r="E4878"/>
      <c r="F4878"/>
      <c r="G4878"/>
      <c r="U4878"/>
      <c r="V4878"/>
      <c r="W4878"/>
      <c r="X4878"/>
      <c r="Y4878"/>
      <c r="Z4878"/>
      <c r="AA4878"/>
      <c r="AB4878"/>
      <c r="AL4878"/>
      <c r="AM4878"/>
      <c r="AN4878"/>
      <c r="AO4878"/>
    </row>
    <row r="4879" spans="1:41" s="2" customFormat="1" x14ac:dyDescent="0.2">
      <c r="A4879"/>
      <c r="B4879"/>
      <c r="C4879"/>
      <c r="D4879"/>
      <c r="E4879"/>
      <c r="F4879"/>
      <c r="G4879"/>
      <c r="U4879"/>
      <c r="V4879"/>
      <c r="W4879"/>
      <c r="X4879"/>
      <c r="Y4879"/>
      <c r="Z4879"/>
      <c r="AA4879"/>
      <c r="AB4879"/>
      <c r="AL4879"/>
      <c r="AM4879"/>
      <c r="AN4879"/>
      <c r="AO4879"/>
    </row>
    <row r="4880" spans="1:41" s="2" customFormat="1" x14ac:dyDescent="0.2">
      <c r="A4880"/>
      <c r="B4880"/>
      <c r="C4880"/>
      <c r="D4880"/>
      <c r="E4880"/>
      <c r="F4880"/>
      <c r="G4880"/>
      <c r="U4880"/>
      <c r="V4880"/>
      <c r="W4880"/>
      <c r="X4880"/>
      <c r="Y4880"/>
      <c r="Z4880"/>
      <c r="AA4880"/>
      <c r="AB4880"/>
      <c r="AL4880"/>
      <c r="AM4880"/>
      <c r="AN4880"/>
      <c r="AO4880"/>
    </row>
    <row r="4881" spans="1:41" s="2" customFormat="1" x14ac:dyDescent="0.2">
      <c r="A4881"/>
      <c r="B4881"/>
      <c r="C4881"/>
      <c r="D4881"/>
      <c r="E4881"/>
      <c r="F4881"/>
      <c r="G4881"/>
      <c r="U4881"/>
      <c r="V4881"/>
      <c r="W4881"/>
      <c r="X4881"/>
      <c r="Y4881"/>
      <c r="Z4881"/>
      <c r="AA4881"/>
      <c r="AB4881"/>
      <c r="AL4881"/>
      <c r="AM4881"/>
      <c r="AN4881"/>
      <c r="AO4881"/>
    </row>
    <row r="4882" spans="1:41" s="2" customFormat="1" x14ac:dyDescent="0.2">
      <c r="A4882"/>
      <c r="B4882"/>
      <c r="C4882"/>
      <c r="D4882"/>
      <c r="E4882"/>
      <c r="F4882"/>
      <c r="G4882"/>
      <c r="U4882"/>
      <c r="V4882"/>
      <c r="W4882"/>
      <c r="X4882"/>
      <c r="Y4882"/>
      <c r="Z4882"/>
      <c r="AA4882"/>
      <c r="AB4882"/>
      <c r="AL4882"/>
      <c r="AM4882"/>
      <c r="AN4882"/>
      <c r="AO4882"/>
    </row>
    <row r="4883" spans="1:41" s="2" customFormat="1" x14ac:dyDescent="0.2">
      <c r="A4883"/>
      <c r="B4883"/>
      <c r="C4883"/>
      <c r="D4883"/>
      <c r="E4883"/>
      <c r="F4883"/>
      <c r="G4883"/>
      <c r="U4883"/>
      <c r="V4883"/>
      <c r="W4883"/>
      <c r="X4883"/>
      <c r="Y4883"/>
      <c r="Z4883"/>
      <c r="AA4883"/>
      <c r="AB4883"/>
      <c r="AL4883"/>
      <c r="AM4883"/>
      <c r="AN4883"/>
      <c r="AO4883"/>
    </row>
    <row r="4884" spans="1:41" s="2" customFormat="1" x14ac:dyDescent="0.2">
      <c r="A4884"/>
      <c r="B4884"/>
      <c r="C4884"/>
      <c r="D4884"/>
      <c r="E4884"/>
      <c r="F4884"/>
      <c r="G4884"/>
      <c r="U4884"/>
      <c r="V4884"/>
      <c r="W4884"/>
      <c r="X4884"/>
      <c r="Y4884"/>
      <c r="Z4884"/>
      <c r="AA4884"/>
      <c r="AB4884"/>
      <c r="AL4884"/>
      <c r="AM4884"/>
      <c r="AN4884"/>
      <c r="AO4884"/>
    </row>
    <row r="4885" spans="1:41" s="2" customFormat="1" x14ac:dyDescent="0.2">
      <c r="A4885"/>
      <c r="B4885"/>
      <c r="C4885"/>
      <c r="D4885"/>
      <c r="E4885"/>
      <c r="F4885"/>
      <c r="G4885"/>
      <c r="U4885"/>
      <c r="V4885"/>
      <c r="W4885"/>
      <c r="X4885"/>
      <c r="Y4885"/>
      <c r="Z4885"/>
      <c r="AA4885"/>
      <c r="AB4885"/>
      <c r="AL4885"/>
      <c r="AM4885"/>
      <c r="AN4885"/>
      <c r="AO4885"/>
    </row>
    <row r="4886" spans="1:41" s="2" customFormat="1" x14ac:dyDescent="0.2">
      <c r="A4886"/>
      <c r="B4886"/>
      <c r="C4886"/>
      <c r="D4886"/>
      <c r="E4886"/>
      <c r="F4886"/>
      <c r="G4886"/>
      <c r="U4886"/>
      <c r="V4886"/>
      <c r="W4886"/>
      <c r="X4886"/>
      <c r="Y4886"/>
      <c r="Z4886"/>
      <c r="AA4886"/>
      <c r="AB4886"/>
      <c r="AL4886"/>
      <c r="AM4886"/>
      <c r="AN4886"/>
      <c r="AO4886"/>
    </row>
    <row r="4887" spans="1:41" s="2" customFormat="1" x14ac:dyDescent="0.2">
      <c r="A4887"/>
      <c r="B4887"/>
      <c r="C4887"/>
      <c r="D4887"/>
      <c r="E4887"/>
      <c r="F4887"/>
      <c r="G4887"/>
      <c r="U4887"/>
      <c r="V4887"/>
      <c r="W4887"/>
      <c r="X4887"/>
      <c r="Y4887"/>
      <c r="Z4887"/>
      <c r="AA4887"/>
      <c r="AB4887"/>
      <c r="AL4887"/>
      <c r="AM4887"/>
      <c r="AN4887"/>
      <c r="AO4887"/>
    </row>
    <row r="4888" spans="1:41" s="2" customFormat="1" x14ac:dyDescent="0.2">
      <c r="A4888"/>
      <c r="B4888"/>
      <c r="C4888"/>
      <c r="D4888"/>
      <c r="E4888"/>
      <c r="F4888"/>
      <c r="G4888"/>
      <c r="U4888"/>
      <c r="V4888"/>
      <c r="W4888"/>
      <c r="X4888"/>
      <c r="Y4888"/>
      <c r="Z4888"/>
      <c r="AA4888"/>
      <c r="AB4888"/>
      <c r="AL4888"/>
      <c r="AM4888"/>
      <c r="AN4888"/>
      <c r="AO4888"/>
    </row>
    <row r="4889" spans="1:41" s="2" customFormat="1" x14ac:dyDescent="0.2">
      <c r="A4889"/>
      <c r="B4889"/>
      <c r="C4889"/>
      <c r="D4889"/>
      <c r="E4889"/>
      <c r="F4889"/>
      <c r="G4889"/>
      <c r="U4889"/>
      <c r="V4889"/>
      <c r="W4889"/>
      <c r="X4889"/>
      <c r="Y4889"/>
      <c r="Z4889"/>
      <c r="AA4889"/>
      <c r="AB4889"/>
      <c r="AL4889"/>
      <c r="AM4889"/>
      <c r="AN4889"/>
      <c r="AO4889"/>
    </row>
    <row r="4890" spans="1:41" s="2" customFormat="1" x14ac:dyDescent="0.2">
      <c r="A4890"/>
      <c r="B4890"/>
      <c r="C4890"/>
      <c r="D4890"/>
      <c r="E4890"/>
      <c r="F4890"/>
      <c r="G4890"/>
      <c r="U4890"/>
      <c r="V4890"/>
      <c r="W4890"/>
      <c r="X4890"/>
      <c r="Y4890"/>
      <c r="Z4890"/>
      <c r="AA4890"/>
      <c r="AB4890"/>
      <c r="AL4890"/>
      <c r="AM4890"/>
      <c r="AN4890"/>
      <c r="AO4890"/>
    </row>
    <row r="4891" spans="1:41" s="2" customFormat="1" x14ac:dyDescent="0.2">
      <c r="A4891"/>
      <c r="B4891"/>
      <c r="C4891"/>
      <c r="D4891"/>
      <c r="E4891"/>
      <c r="F4891"/>
      <c r="G4891"/>
      <c r="U4891"/>
      <c r="V4891"/>
      <c r="W4891"/>
      <c r="X4891"/>
      <c r="Y4891"/>
      <c r="Z4891"/>
      <c r="AA4891"/>
      <c r="AB4891"/>
      <c r="AL4891"/>
      <c r="AM4891"/>
      <c r="AN4891"/>
      <c r="AO4891"/>
    </row>
    <row r="4892" spans="1:41" s="2" customFormat="1" x14ac:dyDescent="0.2">
      <c r="A4892"/>
      <c r="B4892"/>
      <c r="C4892"/>
      <c r="D4892"/>
      <c r="E4892"/>
      <c r="F4892"/>
      <c r="G4892"/>
      <c r="U4892"/>
      <c r="V4892"/>
      <c r="W4892"/>
      <c r="X4892"/>
      <c r="Y4892"/>
      <c r="Z4892"/>
      <c r="AA4892"/>
      <c r="AB4892"/>
      <c r="AL4892"/>
      <c r="AM4892"/>
      <c r="AN4892"/>
      <c r="AO4892"/>
    </row>
    <row r="4893" spans="1:41" s="2" customFormat="1" x14ac:dyDescent="0.2">
      <c r="A4893"/>
      <c r="B4893"/>
      <c r="C4893"/>
      <c r="D4893"/>
      <c r="E4893"/>
      <c r="F4893"/>
      <c r="G4893"/>
      <c r="U4893"/>
      <c r="V4893"/>
      <c r="W4893"/>
      <c r="X4893"/>
      <c r="Y4893"/>
      <c r="Z4893"/>
      <c r="AA4893"/>
      <c r="AB4893"/>
      <c r="AL4893"/>
      <c r="AM4893"/>
      <c r="AN4893"/>
      <c r="AO4893"/>
    </row>
    <row r="4894" spans="1:41" s="2" customFormat="1" x14ac:dyDescent="0.2">
      <c r="A4894"/>
      <c r="B4894"/>
      <c r="C4894"/>
      <c r="D4894"/>
      <c r="E4894"/>
      <c r="F4894"/>
      <c r="G4894"/>
      <c r="U4894"/>
      <c r="V4894"/>
      <c r="W4894"/>
      <c r="X4894"/>
      <c r="Y4894"/>
      <c r="Z4894"/>
      <c r="AA4894"/>
      <c r="AB4894"/>
      <c r="AL4894"/>
      <c r="AM4894"/>
      <c r="AN4894"/>
      <c r="AO4894"/>
    </row>
    <row r="4895" spans="1:41" s="2" customFormat="1" x14ac:dyDescent="0.2">
      <c r="A4895"/>
      <c r="B4895"/>
      <c r="C4895"/>
      <c r="D4895"/>
      <c r="E4895"/>
      <c r="F4895"/>
      <c r="G4895"/>
      <c r="U4895"/>
      <c r="V4895"/>
      <c r="W4895"/>
      <c r="X4895"/>
      <c r="Y4895"/>
      <c r="Z4895"/>
      <c r="AA4895"/>
      <c r="AB4895"/>
      <c r="AL4895"/>
      <c r="AM4895"/>
      <c r="AN4895"/>
      <c r="AO4895"/>
    </row>
    <row r="4896" spans="1:41" s="2" customFormat="1" x14ac:dyDescent="0.2">
      <c r="A4896"/>
      <c r="B4896"/>
      <c r="C4896"/>
      <c r="D4896"/>
      <c r="E4896"/>
      <c r="F4896"/>
      <c r="G4896"/>
      <c r="U4896"/>
      <c r="V4896"/>
      <c r="W4896"/>
      <c r="X4896"/>
      <c r="Y4896"/>
      <c r="Z4896"/>
      <c r="AA4896"/>
      <c r="AB4896"/>
      <c r="AL4896"/>
      <c r="AM4896"/>
      <c r="AN4896"/>
      <c r="AO4896"/>
    </row>
    <row r="4897" spans="1:41" s="2" customFormat="1" x14ac:dyDescent="0.2">
      <c r="A4897"/>
      <c r="B4897"/>
      <c r="C4897"/>
      <c r="D4897"/>
      <c r="E4897"/>
      <c r="F4897"/>
      <c r="G4897"/>
      <c r="U4897"/>
      <c r="V4897"/>
      <c r="W4897"/>
      <c r="X4897"/>
      <c r="Y4897"/>
      <c r="Z4897"/>
      <c r="AA4897"/>
      <c r="AB4897"/>
      <c r="AL4897"/>
      <c r="AM4897"/>
      <c r="AN4897"/>
      <c r="AO4897"/>
    </row>
    <row r="4898" spans="1:41" s="2" customFormat="1" x14ac:dyDescent="0.2">
      <c r="A4898"/>
      <c r="B4898"/>
      <c r="C4898"/>
      <c r="D4898"/>
      <c r="E4898"/>
      <c r="F4898"/>
      <c r="G4898"/>
      <c r="U4898"/>
      <c r="V4898"/>
      <c r="W4898"/>
      <c r="X4898"/>
      <c r="Y4898"/>
      <c r="Z4898"/>
      <c r="AA4898"/>
      <c r="AB4898"/>
      <c r="AL4898"/>
      <c r="AM4898"/>
      <c r="AN4898"/>
      <c r="AO4898"/>
    </row>
    <row r="4899" spans="1:41" s="2" customFormat="1" x14ac:dyDescent="0.2">
      <c r="A4899"/>
      <c r="B4899"/>
      <c r="C4899"/>
      <c r="D4899"/>
      <c r="E4899"/>
      <c r="F4899"/>
      <c r="G4899"/>
      <c r="U4899"/>
      <c r="V4899"/>
      <c r="W4899"/>
      <c r="X4899"/>
      <c r="Y4899"/>
      <c r="Z4899"/>
      <c r="AA4899"/>
      <c r="AB4899"/>
      <c r="AL4899"/>
      <c r="AM4899"/>
      <c r="AN4899"/>
      <c r="AO4899"/>
    </row>
    <row r="4900" spans="1:41" s="2" customFormat="1" x14ac:dyDescent="0.2">
      <c r="A4900"/>
      <c r="B4900"/>
      <c r="C4900"/>
      <c r="D4900"/>
      <c r="E4900"/>
      <c r="F4900"/>
      <c r="G4900"/>
      <c r="U4900"/>
      <c r="V4900"/>
      <c r="W4900"/>
      <c r="X4900"/>
      <c r="Y4900"/>
      <c r="Z4900"/>
      <c r="AA4900"/>
      <c r="AB4900"/>
      <c r="AL4900"/>
      <c r="AM4900"/>
      <c r="AN4900"/>
      <c r="AO4900"/>
    </row>
    <row r="4901" spans="1:41" s="2" customFormat="1" x14ac:dyDescent="0.2">
      <c r="A4901"/>
      <c r="B4901"/>
      <c r="C4901"/>
      <c r="D4901"/>
      <c r="E4901"/>
      <c r="F4901"/>
      <c r="G4901"/>
      <c r="U4901"/>
      <c r="V4901"/>
      <c r="W4901"/>
      <c r="X4901"/>
      <c r="Y4901"/>
      <c r="Z4901"/>
      <c r="AA4901"/>
      <c r="AB4901"/>
      <c r="AL4901"/>
      <c r="AM4901"/>
      <c r="AN4901"/>
      <c r="AO4901"/>
    </row>
    <row r="4902" spans="1:41" s="2" customFormat="1" x14ac:dyDescent="0.2">
      <c r="A4902"/>
      <c r="B4902"/>
      <c r="C4902"/>
      <c r="D4902"/>
      <c r="E4902"/>
      <c r="F4902"/>
      <c r="G4902"/>
      <c r="U4902"/>
      <c r="V4902"/>
      <c r="W4902"/>
      <c r="X4902"/>
      <c r="Y4902"/>
      <c r="Z4902"/>
      <c r="AA4902"/>
      <c r="AB4902"/>
      <c r="AL4902"/>
      <c r="AM4902"/>
      <c r="AN4902"/>
      <c r="AO4902"/>
    </row>
    <row r="4903" spans="1:41" s="2" customFormat="1" x14ac:dyDescent="0.2">
      <c r="A4903"/>
      <c r="B4903"/>
      <c r="C4903"/>
      <c r="D4903"/>
      <c r="E4903"/>
      <c r="F4903"/>
      <c r="G4903"/>
      <c r="U4903"/>
      <c r="V4903"/>
      <c r="W4903"/>
      <c r="X4903"/>
      <c r="Y4903"/>
      <c r="Z4903"/>
      <c r="AA4903"/>
      <c r="AB4903"/>
      <c r="AL4903"/>
      <c r="AM4903"/>
      <c r="AN4903"/>
      <c r="AO4903"/>
    </row>
    <row r="4904" spans="1:41" s="2" customFormat="1" x14ac:dyDescent="0.2">
      <c r="A4904"/>
      <c r="B4904"/>
      <c r="C4904"/>
      <c r="D4904"/>
      <c r="E4904"/>
      <c r="F4904"/>
      <c r="G4904"/>
      <c r="U4904"/>
      <c r="V4904"/>
      <c r="W4904"/>
      <c r="X4904"/>
      <c r="Y4904"/>
      <c r="Z4904"/>
      <c r="AA4904"/>
      <c r="AB4904"/>
      <c r="AL4904"/>
      <c r="AM4904"/>
      <c r="AN4904"/>
      <c r="AO4904"/>
    </row>
    <row r="4905" spans="1:41" s="2" customFormat="1" x14ac:dyDescent="0.2">
      <c r="A4905"/>
      <c r="B4905"/>
      <c r="C4905"/>
      <c r="D4905"/>
      <c r="E4905"/>
      <c r="F4905"/>
      <c r="G4905"/>
      <c r="U4905"/>
      <c r="V4905"/>
      <c r="W4905"/>
      <c r="X4905"/>
      <c r="Y4905"/>
      <c r="Z4905"/>
      <c r="AA4905"/>
      <c r="AB4905"/>
      <c r="AL4905"/>
      <c r="AM4905"/>
      <c r="AN4905"/>
      <c r="AO4905"/>
    </row>
    <row r="4906" spans="1:41" s="2" customFormat="1" x14ac:dyDescent="0.2">
      <c r="A4906"/>
      <c r="B4906"/>
      <c r="C4906"/>
      <c r="D4906"/>
      <c r="E4906"/>
      <c r="F4906"/>
      <c r="G4906"/>
      <c r="U4906"/>
      <c r="V4906"/>
      <c r="W4906"/>
      <c r="X4906"/>
      <c r="Y4906"/>
      <c r="Z4906"/>
      <c r="AA4906"/>
      <c r="AB4906"/>
      <c r="AL4906"/>
      <c r="AM4906"/>
      <c r="AN4906"/>
      <c r="AO4906"/>
    </row>
    <row r="4907" spans="1:41" s="2" customFormat="1" x14ac:dyDescent="0.2">
      <c r="A4907"/>
      <c r="B4907"/>
      <c r="C4907"/>
      <c r="D4907"/>
      <c r="E4907"/>
      <c r="F4907"/>
      <c r="G4907"/>
      <c r="U4907"/>
      <c r="V4907"/>
      <c r="W4907"/>
      <c r="X4907"/>
      <c r="Y4907"/>
      <c r="Z4907"/>
      <c r="AA4907"/>
      <c r="AB4907"/>
      <c r="AL4907"/>
      <c r="AM4907"/>
      <c r="AN4907"/>
      <c r="AO4907"/>
    </row>
    <row r="4908" spans="1:41" s="2" customFormat="1" x14ac:dyDescent="0.2">
      <c r="A4908"/>
      <c r="B4908"/>
      <c r="C4908"/>
      <c r="D4908"/>
      <c r="E4908"/>
      <c r="F4908"/>
      <c r="G4908"/>
      <c r="U4908"/>
      <c r="V4908"/>
      <c r="W4908"/>
      <c r="X4908"/>
      <c r="Y4908"/>
      <c r="Z4908"/>
      <c r="AA4908"/>
      <c r="AB4908"/>
      <c r="AL4908"/>
      <c r="AM4908"/>
      <c r="AN4908"/>
      <c r="AO4908"/>
    </row>
    <row r="4909" spans="1:41" s="2" customFormat="1" x14ac:dyDescent="0.2">
      <c r="A4909"/>
      <c r="B4909"/>
      <c r="C4909"/>
      <c r="D4909"/>
      <c r="E4909"/>
      <c r="F4909"/>
      <c r="G4909"/>
      <c r="U4909"/>
      <c r="V4909"/>
      <c r="W4909"/>
      <c r="X4909"/>
      <c r="Y4909"/>
      <c r="Z4909"/>
      <c r="AA4909"/>
      <c r="AB4909"/>
      <c r="AL4909"/>
      <c r="AM4909"/>
      <c r="AN4909"/>
      <c r="AO4909"/>
    </row>
    <row r="4910" spans="1:41" s="2" customFormat="1" x14ac:dyDescent="0.2">
      <c r="A4910"/>
      <c r="B4910"/>
      <c r="C4910"/>
      <c r="D4910"/>
      <c r="E4910"/>
      <c r="F4910"/>
      <c r="G4910"/>
      <c r="U4910"/>
      <c r="V4910"/>
      <c r="W4910"/>
      <c r="X4910"/>
      <c r="Y4910"/>
      <c r="Z4910"/>
      <c r="AA4910"/>
      <c r="AB4910"/>
      <c r="AL4910"/>
      <c r="AM4910"/>
      <c r="AN4910"/>
      <c r="AO4910"/>
    </row>
    <row r="4911" spans="1:41" s="2" customFormat="1" x14ac:dyDescent="0.2">
      <c r="A4911"/>
      <c r="B4911"/>
      <c r="C4911"/>
      <c r="D4911"/>
      <c r="E4911"/>
      <c r="F4911"/>
      <c r="G4911"/>
      <c r="U4911"/>
      <c r="V4911"/>
      <c r="W4911"/>
      <c r="X4911"/>
      <c r="Y4911"/>
      <c r="Z4911"/>
      <c r="AA4911"/>
      <c r="AB4911"/>
      <c r="AL4911"/>
      <c r="AM4911"/>
      <c r="AN4911"/>
      <c r="AO4911"/>
    </row>
    <row r="4912" spans="1:41" s="2" customFormat="1" x14ac:dyDescent="0.2">
      <c r="A4912"/>
      <c r="B4912"/>
      <c r="C4912"/>
      <c r="D4912"/>
      <c r="E4912"/>
      <c r="F4912"/>
      <c r="G4912"/>
      <c r="U4912"/>
      <c r="V4912"/>
      <c r="W4912"/>
      <c r="X4912"/>
      <c r="Y4912"/>
      <c r="Z4912"/>
      <c r="AA4912"/>
      <c r="AB4912"/>
      <c r="AL4912"/>
      <c r="AM4912"/>
      <c r="AN4912"/>
      <c r="AO4912"/>
    </row>
    <row r="4913" spans="1:41" s="2" customFormat="1" x14ac:dyDescent="0.2">
      <c r="A4913"/>
      <c r="B4913"/>
      <c r="C4913"/>
      <c r="D4913"/>
      <c r="E4913"/>
      <c r="F4913"/>
      <c r="G4913"/>
      <c r="U4913"/>
      <c r="V4913"/>
      <c r="W4913"/>
      <c r="X4913"/>
      <c r="Y4913"/>
      <c r="Z4913"/>
      <c r="AA4913"/>
      <c r="AB4913"/>
      <c r="AL4913"/>
      <c r="AM4913"/>
      <c r="AN4913"/>
      <c r="AO4913"/>
    </row>
    <row r="4914" spans="1:41" s="2" customFormat="1" x14ac:dyDescent="0.2">
      <c r="A4914"/>
      <c r="B4914"/>
      <c r="C4914"/>
      <c r="D4914"/>
      <c r="E4914"/>
      <c r="F4914"/>
      <c r="G4914"/>
      <c r="U4914"/>
      <c r="V4914"/>
      <c r="W4914"/>
      <c r="X4914"/>
      <c r="Y4914"/>
      <c r="Z4914"/>
      <c r="AA4914"/>
      <c r="AB4914"/>
      <c r="AL4914"/>
      <c r="AM4914"/>
      <c r="AN4914"/>
      <c r="AO4914"/>
    </row>
    <row r="4915" spans="1:41" s="2" customFormat="1" x14ac:dyDescent="0.2">
      <c r="A4915"/>
      <c r="B4915"/>
      <c r="C4915"/>
      <c r="D4915"/>
      <c r="E4915"/>
      <c r="F4915"/>
      <c r="G4915"/>
      <c r="U4915"/>
      <c r="V4915"/>
      <c r="W4915"/>
      <c r="X4915"/>
      <c r="Y4915"/>
      <c r="Z4915"/>
      <c r="AA4915"/>
      <c r="AB4915"/>
      <c r="AL4915"/>
      <c r="AM4915"/>
      <c r="AN4915"/>
      <c r="AO4915"/>
    </row>
    <row r="4916" spans="1:41" s="2" customFormat="1" x14ac:dyDescent="0.2">
      <c r="A4916"/>
      <c r="B4916"/>
      <c r="C4916"/>
      <c r="D4916"/>
      <c r="E4916"/>
      <c r="F4916"/>
      <c r="G4916"/>
      <c r="U4916"/>
      <c r="V4916"/>
      <c r="W4916"/>
      <c r="X4916"/>
      <c r="Y4916"/>
      <c r="Z4916"/>
      <c r="AA4916"/>
      <c r="AB4916"/>
      <c r="AL4916"/>
      <c r="AM4916"/>
      <c r="AN4916"/>
      <c r="AO4916"/>
    </row>
    <row r="4917" spans="1:41" s="2" customFormat="1" x14ac:dyDescent="0.2">
      <c r="A4917"/>
      <c r="B4917"/>
      <c r="C4917"/>
      <c r="D4917"/>
      <c r="E4917"/>
      <c r="F4917"/>
      <c r="G4917"/>
      <c r="U4917"/>
      <c r="V4917"/>
      <c r="W4917"/>
      <c r="X4917"/>
      <c r="Y4917"/>
      <c r="Z4917"/>
      <c r="AA4917"/>
      <c r="AB4917"/>
      <c r="AL4917"/>
      <c r="AM4917"/>
      <c r="AN4917"/>
      <c r="AO4917"/>
    </row>
    <row r="4918" spans="1:41" s="2" customFormat="1" x14ac:dyDescent="0.2">
      <c r="A4918"/>
      <c r="B4918"/>
      <c r="C4918"/>
      <c r="D4918"/>
      <c r="E4918"/>
      <c r="F4918"/>
      <c r="G4918"/>
      <c r="U4918"/>
      <c r="V4918"/>
      <c r="W4918"/>
      <c r="X4918"/>
      <c r="Y4918"/>
      <c r="Z4918"/>
      <c r="AA4918"/>
      <c r="AB4918"/>
      <c r="AL4918"/>
      <c r="AM4918"/>
      <c r="AN4918"/>
      <c r="AO4918"/>
    </row>
    <row r="4919" spans="1:41" s="2" customFormat="1" x14ac:dyDescent="0.2">
      <c r="A4919"/>
      <c r="B4919"/>
      <c r="C4919"/>
      <c r="D4919"/>
      <c r="E4919"/>
      <c r="F4919"/>
      <c r="G4919"/>
      <c r="U4919"/>
      <c r="V4919"/>
      <c r="W4919"/>
      <c r="X4919"/>
      <c r="Y4919"/>
      <c r="Z4919"/>
      <c r="AA4919"/>
      <c r="AB4919"/>
      <c r="AL4919"/>
      <c r="AM4919"/>
      <c r="AN4919"/>
      <c r="AO4919"/>
    </row>
    <row r="4920" spans="1:41" s="2" customFormat="1" x14ac:dyDescent="0.2">
      <c r="A4920"/>
      <c r="B4920"/>
      <c r="C4920"/>
      <c r="D4920"/>
      <c r="E4920"/>
      <c r="F4920"/>
      <c r="G4920"/>
      <c r="U4920"/>
      <c r="V4920"/>
      <c r="W4920"/>
      <c r="X4920"/>
      <c r="Y4920"/>
      <c r="Z4920"/>
      <c r="AA4920"/>
      <c r="AB4920"/>
      <c r="AL4920"/>
      <c r="AM4920"/>
      <c r="AN4920"/>
      <c r="AO4920"/>
    </row>
    <row r="4921" spans="1:41" s="2" customFormat="1" x14ac:dyDescent="0.2">
      <c r="A4921"/>
      <c r="B4921"/>
      <c r="C4921"/>
      <c r="D4921"/>
      <c r="E4921"/>
      <c r="F4921"/>
      <c r="G4921"/>
      <c r="U4921"/>
      <c r="V4921"/>
      <c r="W4921"/>
      <c r="X4921"/>
      <c r="Y4921"/>
      <c r="Z4921"/>
      <c r="AA4921"/>
      <c r="AB4921"/>
      <c r="AL4921"/>
      <c r="AM4921"/>
      <c r="AN4921"/>
      <c r="AO4921"/>
    </row>
    <row r="4922" spans="1:41" s="2" customFormat="1" x14ac:dyDescent="0.2">
      <c r="A4922"/>
      <c r="B4922"/>
      <c r="C4922"/>
      <c r="D4922"/>
      <c r="E4922"/>
      <c r="F4922"/>
      <c r="G4922"/>
      <c r="U4922"/>
      <c r="V4922"/>
      <c r="W4922"/>
      <c r="X4922"/>
      <c r="Y4922"/>
      <c r="Z4922"/>
      <c r="AA4922"/>
      <c r="AB4922"/>
      <c r="AL4922"/>
      <c r="AM4922"/>
      <c r="AN4922"/>
      <c r="AO4922"/>
    </row>
    <row r="4923" spans="1:41" s="2" customFormat="1" x14ac:dyDescent="0.2">
      <c r="A4923"/>
      <c r="B4923"/>
      <c r="C4923"/>
      <c r="D4923"/>
      <c r="E4923"/>
      <c r="F4923"/>
      <c r="G4923"/>
      <c r="U4923"/>
      <c r="V4923"/>
      <c r="W4923"/>
      <c r="X4923"/>
      <c r="Y4923"/>
      <c r="Z4923"/>
      <c r="AA4923"/>
      <c r="AB4923"/>
      <c r="AL4923"/>
      <c r="AM4923"/>
      <c r="AN4923"/>
      <c r="AO4923"/>
    </row>
    <row r="4924" spans="1:41" s="2" customFormat="1" x14ac:dyDescent="0.2">
      <c r="A4924"/>
      <c r="B4924"/>
      <c r="C4924"/>
      <c r="D4924"/>
      <c r="E4924"/>
      <c r="F4924"/>
      <c r="G4924"/>
      <c r="U4924"/>
      <c r="V4924"/>
      <c r="W4924"/>
      <c r="X4924"/>
      <c r="Y4924"/>
      <c r="Z4924"/>
      <c r="AA4924"/>
      <c r="AB4924"/>
      <c r="AL4924"/>
      <c r="AM4924"/>
      <c r="AN4924"/>
      <c r="AO4924"/>
    </row>
    <row r="4925" spans="1:41" s="2" customFormat="1" x14ac:dyDescent="0.2">
      <c r="A4925"/>
      <c r="B4925"/>
      <c r="C4925"/>
      <c r="D4925"/>
      <c r="E4925"/>
      <c r="F4925"/>
      <c r="G4925"/>
      <c r="U4925"/>
      <c r="V4925"/>
      <c r="W4925"/>
      <c r="X4925"/>
      <c r="Y4925"/>
      <c r="Z4925"/>
      <c r="AA4925"/>
      <c r="AB4925"/>
      <c r="AL4925"/>
      <c r="AM4925"/>
      <c r="AN4925"/>
      <c r="AO4925"/>
    </row>
    <row r="4926" spans="1:41" s="2" customFormat="1" x14ac:dyDescent="0.2">
      <c r="A4926"/>
      <c r="B4926"/>
      <c r="C4926"/>
      <c r="D4926"/>
      <c r="E4926"/>
      <c r="F4926"/>
      <c r="G4926"/>
      <c r="U4926"/>
      <c r="V4926"/>
      <c r="W4926"/>
      <c r="X4926"/>
      <c r="Y4926"/>
      <c r="Z4926"/>
      <c r="AA4926"/>
      <c r="AB4926"/>
      <c r="AL4926"/>
      <c r="AM4926"/>
      <c r="AN4926"/>
      <c r="AO4926"/>
    </row>
    <row r="4927" spans="1:41" s="2" customFormat="1" x14ac:dyDescent="0.2">
      <c r="A4927"/>
      <c r="B4927"/>
      <c r="C4927"/>
      <c r="D4927"/>
      <c r="E4927"/>
      <c r="F4927"/>
      <c r="G4927"/>
      <c r="U4927"/>
      <c r="V4927"/>
      <c r="W4927"/>
      <c r="X4927"/>
      <c r="Y4927"/>
      <c r="Z4927"/>
      <c r="AA4927"/>
      <c r="AB4927"/>
      <c r="AL4927"/>
      <c r="AM4927"/>
      <c r="AN4927"/>
      <c r="AO4927"/>
    </row>
    <row r="4928" spans="1:41" s="2" customFormat="1" x14ac:dyDescent="0.2">
      <c r="A4928"/>
      <c r="B4928"/>
      <c r="C4928"/>
      <c r="D4928"/>
      <c r="E4928"/>
      <c r="F4928"/>
      <c r="G4928"/>
      <c r="U4928"/>
      <c r="V4928"/>
      <c r="W4928"/>
      <c r="X4928"/>
      <c r="Y4928"/>
      <c r="Z4928"/>
      <c r="AA4928"/>
      <c r="AB4928"/>
      <c r="AL4928"/>
      <c r="AM4928"/>
      <c r="AN4928"/>
      <c r="AO4928"/>
    </row>
    <row r="4929" spans="1:41" s="2" customFormat="1" x14ac:dyDescent="0.2">
      <c r="A4929"/>
      <c r="B4929"/>
      <c r="C4929"/>
      <c r="D4929"/>
      <c r="E4929"/>
      <c r="F4929"/>
      <c r="G4929"/>
      <c r="U4929"/>
      <c r="V4929"/>
      <c r="W4929"/>
      <c r="X4929"/>
      <c r="Y4929"/>
      <c r="Z4929"/>
      <c r="AA4929"/>
      <c r="AB4929"/>
      <c r="AL4929"/>
      <c r="AM4929"/>
      <c r="AN4929"/>
      <c r="AO4929"/>
    </row>
    <row r="4930" spans="1:41" s="2" customFormat="1" x14ac:dyDescent="0.2">
      <c r="A4930"/>
      <c r="B4930"/>
      <c r="C4930"/>
      <c r="D4930"/>
      <c r="E4930"/>
      <c r="F4930"/>
      <c r="G4930"/>
      <c r="U4930"/>
      <c r="V4930"/>
      <c r="W4930"/>
      <c r="X4930"/>
      <c r="Y4930"/>
      <c r="Z4930"/>
      <c r="AA4930"/>
      <c r="AB4930"/>
      <c r="AL4930"/>
      <c r="AM4930"/>
      <c r="AN4930"/>
      <c r="AO4930"/>
    </row>
    <row r="4931" spans="1:41" s="2" customFormat="1" x14ac:dyDescent="0.2">
      <c r="A4931"/>
      <c r="B4931"/>
      <c r="C4931"/>
      <c r="D4931"/>
      <c r="E4931"/>
      <c r="F4931"/>
      <c r="G4931"/>
      <c r="U4931"/>
      <c r="V4931"/>
      <c r="W4931"/>
      <c r="X4931"/>
      <c r="Y4931"/>
      <c r="Z4931"/>
      <c r="AA4931"/>
      <c r="AB4931"/>
      <c r="AL4931"/>
      <c r="AM4931"/>
      <c r="AN4931"/>
      <c r="AO4931"/>
    </row>
    <row r="4932" spans="1:41" s="2" customFormat="1" x14ac:dyDescent="0.2">
      <c r="A4932"/>
      <c r="B4932"/>
      <c r="C4932"/>
      <c r="D4932"/>
      <c r="E4932"/>
      <c r="F4932"/>
      <c r="G4932"/>
      <c r="U4932"/>
      <c r="V4932"/>
      <c r="W4932"/>
      <c r="X4932"/>
      <c r="Y4932"/>
      <c r="Z4932"/>
      <c r="AA4932"/>
      <c r="AB4932"/>
      <c r="AL4932"/>
      <c r="AM4932"/>
      <c r="AN4932"/>
      <c r="AO4932"/>
    </row>
    <row r="4933" spans="1:41" s="2" customFormat="1" x14ac:dyDescent="0.2">
      <c r="A4933"/>
      <c r="B4933"/>
      <c r="C4933"/>
      <c r="D4933"/>
      <c r="E4933"/>
      <c r="F4933"/>
      <c r="G4933"/>
      <c r="U4933"/>
      <c r="V4933"/>
      <c r="W4933"/>
      <c r="X4933"/>
      <c r="Y4933"/>
      <c r="Z4933"/>
      <c r="AA4933"/>
      <c r="AB4933"/>
      <c r="AL4933"/>
      <c r="AM4933"/>
      <c r="AN4933"/>
      <c r="AO4933"/>
    </row>
    <row r="4934" spans="1:41" s="2" customFormat="1" x14ac:dyDescent="0.2">
      <c r="A4934"/>
      <c r="B4934"/>
      <c r="C4934"/>
      <c r="D4934"/>
      <c r="E4934"/>
      <c r="F4934"/>
      <c r="G4934"/>
      <c r="U4934"/>
      <c r="V4934"/>
      <c r="W4934"/>
      <c r="X4934"/>
      <c r="Y4934"/>
      <c r="Z4934"/>
      <c r="AA4934"/>
      <c r="AB4934"/>
      <c r="AL4934"/>
      <c r="AM4934"/>
      <c r="AN4934"/>
      <c r="AO4934"/>
    </row>
    <row r="4935" spans="1:41" s="2" customFormat="1" x14ac:dyDescent="0.2">
      <c r="A4935"/>
      <c r="B4935"/>
      <c r="C4935"/>
      <c r="D4935"/>
      <c r="E4935"/>
      <c r="F4935"/>
      <c r="G4935"/>
      <c r="U4935"/>
      <c r="V4935"/>
      <c r="W4935"/>
      <c r="X4935"/>
      <c r="Y4935"/>
      <c r="Z4935"/>
      <c r="AA4935"/>
      <c r="AB4935"/>
      <c r="AL4935"/>
      <c r="AM4935"/>
      <c r="AN4935"/>
      <c r="AO4935"/>
    </row>
    <row r="4936" spans="1:41" s="2" customFormat="1" x14ac:dyDescent="0.2">
      <c r="A4936"/>
      <c r="B4936"/>
      <c r="C4936"/>
      <c r="D4936"/>
      <c r="E4936"/>
      <c r="F4936"/>
      <c r="G4936"/>
      <c r="U4936"/>
      <c r="V4936"/>
      <c r="W4936"/>
      <c r="X4936"/>
      <c r="Y4936"/>
      <c r="Z4936"/>
      <c r="AA4936"/>
      <c r="AB4936"/>
      <c r="AL4936"/>
      <c r="AM4936"/>
      <c r="AN4936"/>
      <c r="AO4936"/>
    </row>
    <row r="4937" spans="1:41" s="2" customFormat="1" x14ac:dyDescent="0.2">
      <c r="A4937"/>
      <c r="B4937"/>
      <c r="C4937"/>
      <c r="D4937"/>
      <c r="E4937"/>
      <c r="F4937"/>
      <c r="G4937"/>
      <c r="U4937"/>
      <c r="V4937"/>
      <c r="W4937"/>
      <c r="X4937"/>
      <c r="Y4937"/>
      <c r="Z4937"/>
      <c r="AA4937"/>
      <c r="AB4937"/>
      <c r="AL4937"/>
      <c r="AM4937"/>
      <c r="AN4937"/>
      <c r="AO4937"/>
    </row>
    <row r="4938" spans="1:41" s="2" customFormat="1" x14ac:dyDescent="0.2">
      <c r="A4938"/>
      <c r="B4938"/>
      <c r="C4938"/>
      <c r="D4938"/>
      <c r="E4938"/>
      <c r="F4938"/>
      <c r="G4938"/>
      <c r="U4938"/>
      <c r="V4938"/>
      <c r="W4938"/>
      <c r="X4938"/>
      <c r="Y4938"/>
      <c r="Z4938"/>
      <c r="AA4938"/>
      <c r="AB4938"/>
      <c r="AL4938"/>
      <c r="AM4938"/>
      <c r="AN4938"/>
      <c r="AO4938"/>
    </row>
    <row r="4939" spans="1:41" s="2" customFormat="1" x14ac:dyDescent="0.2">
      <c r="A4939"/>
      <c r="B4939"/>
      <c r="C4939"/>
      <c r="D4939"/>
      <c r="E4939"/>
      <c r="F4939"/>
      <c r="G4939"/>
      <c r="U4939"/>
      <c r="V4939"/>
      <c r="W4939"/>
      <c r="X4939"/>
      <c r="Y4939"/>
      <c r="Z4939"/>
      <c r="AA4939"/>
      <c r="AB4939"/>
      <c r="AL4939"/>
      <c r="AM4939"/>
      <c r="AN4939"/>
      <c r="AO4939"/>
    </row>
    <row r="4940" spans="1:41" s="2" customFormat="1" x14ac:dyDescent="0.2">
      <c r="A4940"/>
      <c r="B4940"/>
      <c r="C4940"/>
      <c r="D4940"/>
      <c r="E4940"/>
      <c r="F4940"/>
      <c r="G4940"/>
      <c r="U4940"/>
      <c r="V4940"/>
      <c r="W4940"/>
      <c r="X4940"/>
      <c r="Y4940"/>
      <c r="Z4940"/>
      <c r="AA4940"/>
      <c r="AB4940"/>
      <c r="AL4940"/>
      <c r="AM4940"/>
      <c r="AN4940"/>
      <c r="AO4940"/>
    </row>
    <row r="4941" spans="1:41" s="2" customFormat="1" x14ac:dyDescent="0.2">
      <c r="A4941"/>
      <c r="B4941"/>
      <c r="C4941"/>
      <c r="D4941"/>
      <c r="E4941"/>
      <c r="F4941"/>
      <c r="G4941"/>
      <c r="U4941"/>
      <c r="V4941"/>
      <c r="W4941"/>
      <c r="X4941"/>
      <c r="Y4941"/>
      <c r="Z4941"/>
      <c r="AA4941"/>
      <c r="AB4941"/>
      <c r="AL4941"/>
      <c r="AM4941"/>
      <c r="AN4941"/>
      <c r="AO4941"/>
    </row>
    <row r="4942" spans="1:41" s="2" customFormat="1" x14ac:dyDescent="0.2">
      <c r="A4942"/>
      <c r="B4942"/>
      <c r="C4942"/>
      <c r="D4942"/>
      <c r="E4942"/>
      <c r="F4942"/>
      <c r="G4942"/>
      <c r="U4942"/>
      <c r="V4942"/>
      <c r="W4942"/>
      <c r="X4942"/>
      <c r="Y4942"/>
      <c r="Z4942"/>
      <c r="AA4942"/>
      <c r="AB4942"/>
      <c r="AL4942"/>
      <c r="AM4942"/>
      <c r="AN4942"/>
      <c r="AO4942"/>
    </row>
    <row r="4943" spans="1:41" s="2" customFormat="1" x14ac:dyDescent="0.2">
      <c r="A4943"/>
      <c r="B4943"/>
      <c r="C4943"/>
      <c r="D4943"/>
      <c r="E4943"/>
      <c r="F4943"/>
      <c r="G4943"/>
      <c r="U4943"/>
      <c r="V4943"/>
      <c r="W4943"/>
      <c r="X4943"/>
      <c r="Y4943"/>
      <c r="Z4943"/>
      <c r="AA4943"/>
      <c r="AB4943"/>
      <c r="AL4943"/>
      <c r="AM4943"/>
      <c r="AN4943"/>
      <c r="AO4943"/>
    </row>
    <row r="4944" spans="1:41" s="2" customFormat="1" x14ac:dyDescent="0.2">
      <c r="A4944"/>
      <c r="B4944"/>
      <c r="C4944"/>
      <c r="D4944"/>
      <c r="E4944"/>
      <c r="F4944"/>
      <c r="G4944"/>
      <c r="U4944"/>
      <c r="V4944"/>
      <c r="W4944"/>
      <c r="X4944"/>
      <c r="Y4944"/>
      <c r="Z4944"/>
      <c r="AA4944"/>
      <c r="AB4944"/>
      <c r="AL4944"/>
      <c r="AM4944"/>
      <c r="AN4944"/>
      <c r="AO4944"/>
    </row>
    <row r="4945" spans="1:41" s="2" customFormat="1" x14ac:dyDescent="0.2">
      <c r="A4945"/>
      <c r="B4945"/>
      <c r="C4945"/>
      <c r="D4945"/>
      <c r="E4945"/>
      <c r="F4945"/>
      <c r="G4945"/>
      <c r="U4945"/>
      <c r="V4945"/>
      <c r="W4945"/>
      <c r="X4945"/>
      <c r="Y4945"/>
      <c r="Z4945"/>
      <c r="AA4945"/>
      <c r="AB4945"/>
      <c r="AL4945"/>
      <c r="AM4945"/>
      <c r="AN4945"/>
      <c r="AO4945"/>
    </row>
    <row r="4946" spans="1:41" s="2" customFormat="1" x14ac:dyDescent="0.2">
      <c r="A4946"/>
      <c r="B4946"/>
      <c r="C4946"/>
      <c r="D4946"/>
      <c r="E4946"/>
      <c r="F4946"/>
      <c r="G4946"/>
      <c r="U4946"/>
      <c r="V4946"/>
      <c r="W4946"/>
      <c r="X4946"/>
      <c r="Y4946"/>
      <c r="Z4946"/>
      <c r="AA4946"/>
      <c r="AB4946"/>
      <c r="AL4946"/>
      <c r="AM4946"/>
      <c r="AN4946"/>
      <c r="AO4946"/>
    </row>
    <row r="4947" spans="1:41" s="2" customFormat="1" x14ac:dyDescent="0.2">
      <c r="A4947"/>
      <c r="B4947"/>
      <c r="C4947"/>
      <c r="D4947"/>
      <c r="E4947"/>
      <c r="F4947"/>
      <c r="G4947"/>
      <c r="U4947"/>
      <c r="V4947"/>
      <c r="W4947"/>
      <c r="X4947"/>
      <c r="Y4947"/>
      <c r="Z4947"/>
      <c r="AA4947"/>
      <c r="AB4947"/>
      <c r="AL4947"/>
      <c r="AM4947"/>
      <c r="AN4947"/>
      <c r="AO4947"/>
    </row>
    <row r="4948" spans="1:41" s="2" customFormat="1" x14ac:dyDescent="0.2">
      <c r="A4948"/>
      <c r="B4948"/>
      <c r="C4948"/>
      <c r="D4948"/>
      <c r="E4948"/>
      <c r="F4948"/>
      <c r="G4948"/>
      <c r="U4948"/>
      <c r="V4948"/>
      <c r="W4948"/>
      <c r="X4948"/>
      <c r="Y4948"/>
      <c r="Z4948"/>
      <c r="AA4948"/>
      <c r="AB4948"/>
      <c r="AL4948"/>
      <c r="AM4948"/>
      <c r="AN4948"/>
      <c r="AO4948"/>
    </row>
    <row r="4949" spans="1:41" s="2" customFormat="1" x14ac:dyDescent="0.2">
      <c r="A4949"/>
      <c r="B4949"/>
      <c r="C4949"/>
      <c r="D4949"/>
      <c r="E4949"/>
      <c r="F4949"/>
      <c r="G4949"/>
      <c r="U4949"/>
      <c r="V4949"/>
      <c r="W4949"/>
      <c r="X4949"/>
      <c r="Y4949"/>
      <c r="Z4949"/>
      <c r="AA4949"/>
      <c r="AB4949"/>
      <c r="AL4949"/>
      <c r="AM4949"/>
      <c r="AN4949"/>
      <c r="AO4949"/>
    </row>
    <row r="4950" spans="1:41" s="2" customFormat="1" x14ac:dyDescent="0.2">
      <c r="A4950"/>
      <c r="B4950"/>
      <c r="C4950"/>
      <c r="D4950"/>
      <c r="E4950"/>
      <c r="F4950"/>
      <c r="G4950"/>
      <c r="U4950"/>
      <c r="V4950"/>
      <c r="W4950"/>
      <c r="X4950"/>
      <c r="Y4950"/>
      <c r="Z4950"/>
      <c r="AA4950"/>
      <c r="AB4950"/>
      <c r="AL4950"/>
      <c r="AM4950"/>
      <c r="AN4950"/>
      <c r="AO4950"/>
    </row>
    <row r="4951" spans="1:41" s="2" customFormat="1" x14ac:dyDescent="0.2">
      <c r="A4951"/>
      <c r="B4951"/>
      <c r="C4951"/>
      <c r="D4951"/>
      <c r="E4951"/>
      <c r="F4951"/>
      <c r="G4951"/>
      <c r="U4951"/>
      <c r="V4951"/>
      <c r="W4951"/>
      <c r="X4951"/>
      <c r="Y4951"/>
      <c r="Z4951"/>
      <c r="AA4951"/>
      <c r="AB4951"/>
      <c r="AL4951"/>
      <c r="AM4951"/>
      <c r="AN4951"/>
      <c r="AO4951"/>
    </row>
    <row r="4952" spans="1:41" s="2" customFormat="1" x14ac:dyDescent="0.2">
      <c r="A4952"/>
      <c r="B4952"/>
      <c r="C4952"/>
      <c r="D4952"/>
      <c r="E4952"/>
      <c r="F4952"/>
      <c r="G4952"/>
      <c r="U4952"/>
      <c r="V4952"/>
      <c r="W4952"/>
      <c r="X4952"/>
      <c r="Y4952"/>
      <c r="Z4952"/>
      <c r="AA4952"/>
      <c r="AB4952"/>
      <c r="AL4952"/>
      <c r="AM4952"/>
      <c r="AN4952"/>
      <c r="AO4952"/>
    </row>
    <row r="4953" spans="1:41" s="2" customFormat="1" x14ac:dyDescent="0.2">
      <c r="A4953"/>
      <c r="B4953"/>
      <c r="C4953"/>
      <c r="D4953"/>
      <c r="E4953"/>
      <c r="F4953"/>
      <c r="G4953"/>
      <c r="U4953"/>
      <c r="V4953"/>
      <c r="W4953"/>
      <c r="X4953"/>
      <c r="Y4953"/>
      <c r="Z4953"/>
      <c r="AA4953"/>
      <c r="AB4953"/>
      <c r="AL4953"/>
      <c r="AM4953"/>
      <c r="AN4953"/>
      <c r="AO4953"/>
    </row>
    <row r="4954" spans="1:41" s="2" customFormat="1" x14ac:dyDescent="0.2">
      <c r="A4954"/>
      <c r="B4954"/>
      <c r="C4954"/>
      <c r="D4954"/>
      <c r="E4954"/>
      <c r="F4954"/>
      <c r="G4954"/>
      <c r="U4954"/>
      <c r="V4954"/>
      <c r="W4954"/>
      <c r="X4954"/>
      <c r="Y4954"/>
      <c r="Z4954"/>
      <c r="AA4954"/>
      <c r="AB4954"/>
      <c r="AL4954"/>
      <c r="AM4954"/>
      <c r="AN4954"/>
      <c r="AO4954"/>
    </row>
    <row r="4955" spans="1:41" s="2" customFormat="1" x14ac:dyDescent="0.2">
      <c r="A4955"/>
      <c r="B4955"/>
      <c r="C4955"/>
      <c r="D4955"/>
      <c r="E4955"/>
      <c r="F4955"/>
      <c r="G4955"/>
      <c r="U4955"/>
      <c r="V4955"/>
      <c r="W4955"/>
      <c r="X4955"/>
      <c r="Y4955"/>
      <c r="Z4955"/>
      <c r="AA4955"/>
      <c r="AB4955"/>
      <c r="AL4955"/>
      <c r="AM4955"/>
      <c r="AN4955"/>
      <c r="AO4955"/>
    </row>
    <row r="4956" spans="1:41" s="2" customFormat="1" x14ac:dyDescent="0.2">
      <c r="A4956"/>
      <c r="B4956"/>
      <c r="C4956"/>
      <c r="D4956"/>
      <c r="E4956"/>
      <c r="F4956"/>
      <c r="G4956"/>
      <c r="U4956"/>
      <c r="V4956"/>
      <c r="W4956"/>
      <c r="X4956"/>
      <c r="Y4956"/>
      <c r="Z4956"/>
      <c r="AA4956"/>
      <c r="AB4956"/>
      <c r="AL4956"/>
      <c r="AM4956"/>
      <c r="AN4956"/>
      <c r="AO4956"/>
    </row>
    <row r="4957" spans="1:41" s="2" customFormat="1" x14ac:dyDescent="0.2">
      <c r="A4957"/>
      <c r="B4957"/>
      <c r="C4957"/>
      <c r="D4957"/>
      <c r="E4957"/>
      <c r="F4957"/>
      <c r="G4957"/>
      <c r="U4957"/>
      <c r="V4957"/>
      <c r="W4957"/>
      <c r="X4957"/>
      <c r="Y4957"/>
      <c r="Z4957"/>
      <c r="AA4957"/>
      <c r="AB4957"/>
      <c r="AL4957"/>
      <c r="AM4957"/>
      <c r="AN4957"/>
      <c r="AO4957"/>
    </row>
    <row r="4958" spans="1:41" s="2" customFormat="1" x14ac:dyDescent="0.2">
      <c r="A4958"/>
      <c r="B4958"/>
      <c r="C4958"/>
      <c r="D4958"/>
      <c r="E4958"/>
      <c r="F4958"/>
      <c r="G4958"/>
      <c r="U4958"/>
      <c r="V4958"/>
      <c r="W4958"/>
      <c r="X4958"/>
      <c r="Y4958"/>
      <c r="Z4958"/>
      <c r="AA4958"/>
      <c r="AB4958"/>
      <c r="AL4958"/>
      <c r="AM4958"/>
      <c r="AN4958"/>
      <c r="AO4958"/>
    </row>
    <row r="4959" spans="1:41" s="2" customFormat="1" x14ac:dyDescent="0.2">
      <c r="A4959"/>
      <c r="B4959"/>
      <c r="C4959"/>
      <c r="D4959"/>
      <c r="E4959"/>
      <c r="F4959"/>
      <c r="G4959"/>
      <c r="U4959"/>
      <c r="V4959"/>
      <c r="W4959"/>
      <c r="X4959"/>
      <c r="Y4959"/>
      <c r="Z4959"/>
      <c r="AA4959"/>
      <c r="AB4959"/>
      <c r="AL4959"/>
      <c r="AM4959"/>
      <c r="AN4959"/>
      <c r="AO4959"/>
    </row>
    <row r="4960" spans="1:41" s="2" customFormat="1" x14ac:dyDescent="0.2">
      <c r="A4960"/>
      <c r="B4960"/>
      <c r="C4960"/>
      <c r="D4960"/>
      <c r="E4960"/>
      <c r="F4960"/>
      <c r="G4960"/>
      <c r="U4960"/>
      <c r="V4960"/>
      <c r="W4960"/>
      <c r="X4960"/>
      <c r="Y4960"/>
      <c r="Z4960"/>
      <c r="AA4960"/>
      <c r="AB4960"/>
      <c r="AL4960"/>
      <c r="AM4960"/>
      <c r="AN4960"/>
      <c r="AO4960"/>
    </row>
    <row r="4961" spans="1:41" s="2" customFormat="1" x14ac:dyDescent="0.2">
      <c r="A4961"/>
      <c r="B4961"/>
      <c r="C4961"/>
      <c r="D4961"/>
      <c r="E4961"/>
      <c r="F4961"/>
      <c r="G4961"/>
      <c r="U4961"/>
      <c r="V4961"/>
      <c r="W4961"/>
      <c r="X4961"/>
      <c r="Y4961"/>
      <c r="Z4961"/>
      <c r="AA4961"/>
      <c r="AB4961"/>
      <c r="AL4961"/>
      <c r="AM4961"/>
      <c r="AN4961"/>
      <c r="AO4961"/>
    </row>
    <row r="4962" spans="1:41" s="2" customFormat="1" x14ac:dyDescent="0.2">
      <c r="A4962"/>
      <c r="B4962"/>
      <c r="C4962"/>
      <c r="D4962"/>
      <c r="E4962"/>
      <c r="F4962"/>
      <c r="G4962"/>
      <c r="U4962"/>
      <c r="V4962"/>
      <c r="W4962"/>
      <c r="X4962"/>
      <c r="Y4962"/>
      <c r="Z4962"/>
      <c r="AA4962"/>
      <c r="AB4962"/>
      <c r="AL4962"/>
      <c r="AM4962"/>
      <c r="AN4962"/>
      <c r="AO4962"/>
    </row>
    <row r="4963" spans="1:41" s="2" customFormat="1" x14ac:dyDescent="0.2">
      <c r="A4963"/>
      <c r="B4963"/>
      <c r="C4963"/>
      <c r="D4963"/>
      <c r="E4963"/>
      <c r="F4963"/>
      <c r="G4963"/>
      <c r="U4963"/>
      <c r="V4963"/>
      <c r="W4963"/>
      <c r="X4963"/>
      <c r="Y4963"/>
      <c r="Z4963"/>
      <c r="AA4963"/>
      <c r="AB4963"/>
      <c r="AL4963"/>
      <c r="AM4963"/>
      <c r="AN4963"/>
      <c r="AO4963"/>
    </row>
    <row r="4964" spans="1:41" s="2" customFormat="1" x14ac:dyDescent="0.2">
      <c r="A4964"/>
      <c r="B4964"/>
      <c r="C4964"/>
      <c r="D4964"/>
      <c r="E4964"/>
      <c r="F4964"/>
      <c r="G4964"/>
      <c r="U4964"/>
      <c r="V4964"/>
      <c r="W4964"/>
      <c r="X4964"/>
      <c r="Y4964"/>
      <c r="Z4964"/>
      <c r="AA4964"/>
      <c r="AB4964"/>
      <c r="AL4964"/>
      <c r="AM4964"/>
      <c r="AN4964"/>
      <c r="AO4964"/>
    </row>
    <row r="4965" spans="1:41" s="2" customFormat="1" x14ac:dyDescent="0.2">
      <c r="A4965"/>
      <c r="B4965"/>
      <c r="C4965"/>
      <c r="D4965"/>
      <c r="E4965"/>
      <c r="F4965"/>
      <c r="G4965"/>
      <c r="U4965"/>
      <c r="V4965"/>
      <c r="W4965"/>
      <c r="X4965"/>
      <c r="Y4965"/>
      <c r="Z4965"/>
      <c r="AA4965"/>
      <c r="AB4965"/>
      <c r="AL4965"/>
      <c r="AM4965"/>
      <c r="AN4965"/>
      <c r="AO4965"/>
    </row>
    <row r="4966" spans="1:41" s="2" customFormat="1" x14ac:dyDescent="0.2">
      <c r="A4966"/>
      <c r="B4966"/>
      <c r="C4966"/>
      <c r="D4966"/>
      <c r="E4966"/>
      <c r="F4966"/>
      <c r="G4966"/>
      <c r="U4966"/>
      <c r="V4966"/>
      <c r="W4966"/>
      <c r="X4966"/>
      <c r="Y4966"/>
      <c r="Z4966"/>
      <c r="AA4966"/>
      <c r="AB4966"/>
      <c r="AL4966"/>
      <c r="AM4966"/>
      <c r="AN4966"/>
      <c r="AO4966"/>
    </row>
    <row r="4967" spans="1:41" s="2" customFormat="1" x14ac:dyDescent="0.2">
      <c r="A4967"/>
      <c r="B4967"/>
      <c r="C4967"/>
      <c r="D4967"/>
      <c r="E4967"/>
      <c r="F4967"/>
      <c r="G4967"/>
      <c r="U4967"/>
      <c r="V4967"/>
      <c r="W4967"/>
      <c r="X4967"/>
      <c r="Y4967"/>
      <c r="Z4967"/>
      <c r="AA4967"/>
      <c r="AB4967"/>
      <c r="AL4967"/>
      <c r="AM4967"/>
      <c r="AN4967"/>
      <c r="AO4967"/>
    </row>
    <row r="4968" spans="1:41" s="2" customFormat="1" x14ac:dyDescent="0.2">
      <c r="A4968"/>
      <c r="B4968"/>
      <c r="C4968"/>
      <c r="D4968"/>
      <c r="E4968"/>
      <c r="F4968"/>
      <c r="G4968"/>
      <c r="U4968"/>
      <c r="V4968"/>
      <c r="W4968"/>
      <c r="X4968"/>
      <c r="Y4968"/>
      <c r="Z4968"/>
      <c r="AA4968"/>
      <c r="AB4968"/>
      <c r="AL4968"/>
      <c r="AM4968"/>
      <c r="AN4968"/>
      <c r="AO4968"/>
    </row>
    <row r="4969" spans="1:41" s="2" customFormat="1" x14ac:dyDescent="0.2">
      <c r="A4969"/>
      <c r="B4969"/>
      <c r="C4969"/>
      <c r="D4969"/>
      <c r="E4969"/>
      <c r="F4969"/>
      <c r="G4969"/>
      <c r="U4969"/>
      <c r="V4969"/>
      <c r="W4969"/>
      <c r="X4969"/>
      <c r="Y4969"/>
      <c r="Z4969"/>
      <c r="AA4969"/>
      <c r="AB4969"/>
      <c r="AL4969"/>
      <c r="AM4969"/>
      <c r="AN4969"/>
      <c r="AO4969"/>
    </row>
    <row r="4970" spans="1:41" s="2" customFormat="1" x14ac:dyDescent="0.2">
      <c r="A4970"/>
      <c r="B4970"/>
      <c r="C4970"/>
      <c r="D4970"/>
      <c r="E4970"/>
      <c r="F4970"/>
      <c r="G4970"/>
      <c r="U4970"/>
      <c r="V4970"/>
      <c r="W4970"/>
      <c r="X4970"/>
      <c r="Y4970"/>
      <c r="Z4970"/>
      <c r="AA4970"/>
      <c r="AB4970"/>
      <c r="AL4970"/>
      <c r="AM4970"/>
      <c r="AN4970"/>
      <c r="AO4970"/>
    </row>
    <row r="4971" spans="1:41" s="2" customFormat="1" x14ac:dyDescent="0.2">
      <c r="A4971"/>
      <c r="B4971"/>
      <c r="C4971"/>
      <c r="D4971"/>
      <c r="E4971"/>
      <c r="F4971"/>
      <c r="G4971"/>
      <c r="U4971"/>
      <c r="V4971"/>
      <c r="W4971"/>
      <c r="X4971"/>
      <c r="Y4971"/>
      <c r="Z4971"/>
      <c r="AA4971"/>
      <c r="AB4971"/>
      <c r="AL4971"/>
      <c r="AM4971"/>
      <c r="AN4971"/>
      <c r="AO4971"/>
    </row>
    <row r="4972" spans="1:41" s="2" customFormat="1" x14ac:dyDescent="0.2">
      <c r="A4972"/>
      <c r="B4972"/>
      <c r="C4972"/>
      <c r="D4972"/>
      <c r="E4972"/>
      <c r="F4972"/>
      <c r="G4972"/>
      <c r="U4972"/>
      <c r="V4972"/>
      <c r="W4972"/>
      <c r="X4972"/>
      <c r="Y4972"/>
      <c r="Z4972"/>
      <c r="AA4972"/>
      <c r="AB4972"/>
      <c r="AL4972"/>
      <c r="AM4972"/>
      <c r="AN4972"/>
      <c r="AO4972"/>
    </row>
    <row r="4973" spans="1:41" s="2" customFormat="1" x14ac:dyDescent="0.2">
      <c r="A4973"/>
      <c r="B4973"/>
      <c r="C4973"/>
      <c r="D4973"/>
      <c r="E4973"/>
      <c r="F4973"/>
      <c r="G4973"/>
      <c r="U4973"/>
      <c r="V4973"/>
      <c r="W4973"/>
      <c r="X4973"/>
      <c r="Y4973"/>
      <c r="Z4973"/>
      <c r="AA4973"/>
      <c r="AB4973"/>
      <c r="AL4973"/>
      <c r="AM4973"/>
      <c r="AN4973"/>
      <c r="AO4973"/>
    </row>
    <row r="4974" spans="1:41" s="2" customFormat="1" x14ac:dyDescent="0.2">
      <c r="A4974"/>
      <c r="B4974"/>
      <c r="C4974"/>
      <c r="D4974"/>
      <c r="E4974"/>
      <c r="F4974"/>
      <c r="G4974"/>
      <c r="U4974"/>
      <c r="V4974"/>
      <c r="W4974"/>
      <c r="X4974"/>
      <c r="Y4974"/>
      <c r="Z4974"/>
      <c r="AA4974"/>
      <c r="AB4974"/>
      <c r="AL4974"/>
      <c r="AM4974"/>
      <c r="AN4974"/>
      <c r="AO4974"/>
    </row>
    <row r="4975" spans="1:41" s="2" customFormat="1" x14ac:dyDescent="0.2">
      <c r="A4975"/>
      <c r="B4975"/>
      <c r="C4975"/>
      <c r="D4975"/>
      <c r="E4975"/>
      <c r="F4975"/>
      <c r="G4975"/>
      <c r="U4975"/>
      <c r="V4975"/>
      <c r="W4975"/>
      <c r="X4975"/>
      <c r="Y4975"/>
      <c r="Z4975"/>
      <c r="AA4975"/>
      <c r="AB4975"/>
      <c r="AL4975"/>
      <c r="AM4975"/>
      <c r="AN4975"/>
      <c r="AO4975"/>
    </row>
    <row r="4976" spans="1:41" s="2" customFormat="1" x14ac:dyDescent="0.2">
      <c r="A4976"/>
      <c r="B4976"/>
      <c r="C4976"/>
      <c r="D4976"/>
      <c r="E4976"/>
      <c r="F4976"/>
      <c r="G4976"/>
      <c r="U4976"/>
      <c r="V4976"/>
      <c r="W4976"/>
      <c r="X4976"/>
      <c r="Y4976"/>
      <c r="Z4976"/>
      <c r="AA4976"/>
      <c r="AB4976"/>
      <c r="AL4976"/>
      <c r="AM4976"/>
      <c r="AN4976"/>
      <c r="AO4976"/>
    </row>
    <row r="4977" spans="1:41" s="2" customFormat="1" x14ac:dyDescent="0.2">
      <c r="A4977"/>
      <c r="B4977"/>
      <c r="C4977"/>
      <c r="D4977"/>
      <c r="E4977"/>
      <c r="F4977"/>
      <c r="G4977"/>
      <c r="U4977"/>
      <c r="V4977"/>
      <c r="W4977"/>
      <c r="X4977"/>
      <c r="Y4977"/>
      <c r="Z4977"/>
      <c r="AA4977"/>
      <c r="AB4977"/>
      <c r="AL4977"/>
      <c r="AM4977"/>
      <c r="AN4977"/>
      <c r="AO4977"/>
    </row>
    <row r="4978" spans="1:41" s="2" customFormat="1" x14ac:dyDescent="0.2">
      <c r="A4978"/>
      <c r="B4978"/>
      <c r="C4978"/>
      <c r="D4978"/>
      <c r="E4978"/>
      <c r="F4978"/>
      <c r="G4978"/>
      <c r="U4978"/>
      <c r="V4978"/>
      <c r="W4978"/>
      <c r="X4978"/>
      <c r="Y4978"/>
      <c r="Z4978"/>
      <c r="AA4978"/>
      <c r="AB4978"/>
      <c r="AL4978"/>
      <c r="AM4978"/>
      <c r="AN4978"/>
      <c r="AO4978"/>
    </row>
    <row r="4979" spans="1:41" s="2" customFormat="1" x14ac:dyDescent="0.2">
      <c r="A4979"/>
      <c r="B4979"/>
      <c r="C4979"/>
      <c r="D4979"/>
      <c r="E4979"/>
      <c r="F4979"/>
      <c r="G4979"/>
      <c r="U4979"/>
      <c r="V4979"/>
      <c r="W4979"/>
      <c r="X4979"/>
      <c r="Y4979"/>
      <c r="Z4979"/>
      <c r="AA4979"/>
      <c r="AB4979"/>
      <c r="AL4979"/>
      <c r="AM4979"/>
      <c r="AN4979"/>
      <c r="AO4979"/>
    </row>
    <row r="4980" spans="1:41" s="2" customFormat="1" x14ac:dyDescent="0.2">
      <c r="A4980"/>
      <c r="B4980"/>
      <c r="C4980"/>
      <c r="D4980"/>
      <c r="E4980"/>
      <c r="F4980"/>
      <c r="G4980"/>
      <c r="U4980"/>
      <c r="V4980"/>
      <c r="W4980"/>
      <c r="X4980"/>
      <c r="Y4980"/>
      <c r="Z4980"/>
      <c r="AA4980"/>
      <c r="AB4980"/>
      <c r="AL4980"/>
      <c r="AM4980"/>
      <c r="AN4980"/>
      <c r="AO4980"/>
    </row>
    <row r="4981" spans="1:41" s="2" customFormat="1" x14ac:dyDescent="0.2">
      <c r="A4981"/>
      <c r="B4981"/>
      <c r="C4981"/>
      <c r="D4981"/>
      <c r="E4981"/>
      <c r="F4981"/>
      <c r="G4981"/>
      <c r="U4981"/>
      <c r="V4981"/>
      <c r="W4981"/>
      <c r="X4981"/>
      <c r="Y4981"/>
      <c r="Z4981"/>
      <c r="AA4981"/>
      <c r="AB4981"/>
      <c r="AL4981"/>
      <c r="AM4981"/>
      <c r="AN4981"/>
      <c r="AO4981"/>
    </row>
    <row r="4982" spans="1:41" s="2" customFormat="1" x14ac:dyDescent="0.2">
      <c r="A4982"/>
      <c r="B4982"/>
      <c r="C4982"/>
      <c r="D4982"/>
      <c r="E4982"/>
      <c r="F4982"/>
      <c r="G4982"/>
      <c r="U4982"/>
      <c r="V4982"/>
      <c r="W4982"/>
      <c r="X4982"/>
      <c r="Y4982"/>
      <c r="Z4982"/>
      <c r="AA4982"/>
      <c r="AB4982"/>
      <c r="AL4982"/>
      <c r="AM4982"/>
      <c r="AN4982"/>
      <c r="AO4982"/>
    </row>
    <row r="4983" spans="1:41" s="2" customFormat="1" x14ac:dyDescent="0.2">
      <c r="A4983"/>
      <c r="B4983"/>
      <c r="C4983"/>
      <c r="D4983"/>
      <c r="E4983"/>
      <c r="F4983"/>
      <c r="G4983"/>
      <c r="U4983"/>
      <c r="V4983"/>
      <c r="W4983"/>
      <c r="X4983"/>
      <c r="Y4983"/>
      <c r="Z4983"/>
      <c r="AA4983"/>
      <c r="AB4983"/>
      <c r="AL4983"/>
      <c r="AM4983"/>
      <c r="AN4983"/>
      <c r="AO4983"/>
    </row>
    <row r="4984" spans="1:41" s="2" customFormat="1" x14ac:dyDescent="0.2">
      <c r="A4984"/>
      <c r="B4984"/>
      <c r="C4984"/>
      <c r="D4984"/>
      <c r="E4984"/>
      <c r="F4984"/>
      <c r="G4984"/>
      <c r="U4984"/>
      <c r="V4984"/>
      <c r="W4984"/>
      <c r="X4984"/>
      <c r="Y4984"/>
      <c r="Z4984"/>
      <c r="AA4984"/>
      <c r="AB4984"/>
      <c r="AL4984"/>
      <c r="AM4984"/>
      <c r="AN4984"/>
      <c r="AO4984"/>
    </row>
    <row r="4985" spans="1:41" s="2" customFormat="1" x14ac:dyDescent="0.2">
      <c r="A4985"/>
      <c r="B4985"/>
      <c r="C4985"/>
      <c r="D4985"/>
      <c r="E4985"/>
      <c r="F4985"/>
      <c r="G4985"/>
      <c r="U4985"/>
      <c r="V4985"/>
      <c r="W4985"/>
      <c r="X4985"/>
      <c r="Y4985"/>
      <c r="Z4985"/>
      <c r="AA4985"/>
      <c r="AB4985"/>
      <c r="AL4985"/>
      <c r="AM4985"/>
      <c r="AN4985"/>
      <c r="AO4985"/>
    </row>
    <row r="4986" spans="1:41" s="2" customFormat="1" x14ac:dyDescent="0.2">
      <c r="A4986"/>
      <c r="B4986"/>
      <c r="C4986"/>
      <c r="D4986"/>
      <c r="E4986"/>
      <c r="F4986"/>
      <c r="G4986"/>
      <c r="U4986"/>
      <c r="V4986"/>
      <c r="W4986"/>
      <c r="X4986"/>
      <c r="Y4986"/>
      <c r="Z4986"/>
      <c r="AA4986"/>
      <c r="AB4986"/>
      <c r="AL4986"/>
      <c r="AM4986"/>
      <c r="AN4986"/>
      <c r="AO4986"/>
    </row>
    <row r="4987" spans="1:41" s="2" customFormat="1" x14ac:dyDescent="0.2">
      <c r="A4987"/>
      <c r="B4987"/>
      <c r="C4987"/>
      <c r="D4987"/>
      <c r="E4987"/>
      <c r="F4987"/>
      <c r="G4987"/>
      <c r="U4987"/>
      <c r="V4987"/>
      <c r="W4987"/>
      <c r="X4987"/>
      <c r="Y4987"/>
      <c r="Z4987"/>
      <c r="AA4987"/>
      <c r="AB4987"/>
      <c r="AL4987"/>
      <c r="AM4987"/>
      <c r="AN4987"/>
      <c r="AO4987"/>
    </row>
    <row r="4988" spans="1:41" s="2" customFormat="1" x14ac:dyDescent="0.2">
      <c r="A4988"/>
      <c r="B4988"/>
      <c r="C4988"/>
      <c r="D4988"/>
      <c r="E4988"/>
      <c r="F4988"/>
      <c r="G4988"/>
      <c r="U4988"/>
      <c r="V4988"/>
      <c r="W4988"/>
      <c r="X4988"/>
      <c r="Y4988"/>
      <c r="Z4988"/>
      <c r="AA4988"/>
      <c r="AB4988"/>
      <c r="AL4988"/>
      <c r="AM4988"/>
      <c r="AN4988"/>
      <c r="AO4988"/>
    </row>
    <row r="4989" spans="1:41" s="2" customFormat="1" x14ac:dyDescent="0.2">
      <c r="A4989"/>
      <c r="B4989"/>
      <c r="C4989"/>
      <c r="D4989"/>
      <c r="E4989"/>
      <c r="F4989"/>
      <c r="G4989"/>
      <c r="U4989"/>
      <c r="V4989"/>
      <c r="W4989"/>
      <c r="X4989"/>
      <c r="Y4989"/>
      <c r="Z4989"/>
      <c r="AA4989"/>
      <c r="AB4989"/>
      <c r="AL4989"/>
      <c r="AM4989"/>
      <c r="AN4989"/>
      <c r="AO4989"/>
    </row>
    <row r="4990" spans="1:41" s="2" customFormat="1" x14ac:dyDescent="0.2">
      <c r="A4990"/>
      <c r="B4990"/>
      <c r="C4990"/>
      <c r="D4990"/>
      <c r="E4990"/>
      <c r="F4990"/>
      <c r="G4990"/>
      <c r="U4990"/>
      <c r="V4990"/>
      <c r="W4990"/>
      <c r="X4990"/>
      <c r="Y4990"/>
      <c r="Z4990"/>
      <c r="AA4990"/>
      <c r="AB4990"/>
      <c r="AL4990"/>
      <c r="AM4990"/>
      <c r="AN4990"/>
      <c r="AO4990"/>
    </row>
    <row r="4991" spans="1:41" s="2" customFormat="1" x14ac:dyDescent="0.2">
      <c r="A4991"/>
      <c r="B4991"/>
      <c r="C4991"/>
      <c r="D4991"/>
      <c r="E4991"/>
      <c r="F4991"/>
      <c r="G4991"/>
      <c r="U4991"/>
      <c r="V4991"/>
      <c r="W4991"/>
      <c r="X4991"/>
      <c r="Y4991"/>
      <c r="Z4991"/>
      <c r="AA4991"/>
      <c r="AB4991"/>
      <c r="AL4991"/>
      <c r="AM4991"/>
      <c r="AN4991"/>
      <c r="AO4991"/>
    </row>
    <row r="4992" spans="1:41" s="2" customFormat="1" x14ac:dyDescent="0.2">
      <c r="A4992"/>
      <c r="B4992"/>
      <c r="C4992"/>
      <c r="D4992"/>
      <c r="E4992"/>
      <c r="F4992"/>
      <c r="G4992"/>
      <c r="U4992"/>
      <c r="V4992"/>
      <c r="W4992"/>
      <c r="X4992"/>
      <c r="Y4992"/>
      <c r="Z4992"/>
      <c r="AA4992"/>
      <c r="AB4992"/>
      <c r="AL4992"/>
      <c r="AM4992"/>
      <c r="AN4992"/>
      <c r="AO4992"/>
    </row>
    <row r="4993" spans="1:41" s="2" customFormat="1" x14ac:dyDescent="0.2">
      <c r="A4993"/>
      <c r="B4993"/>
      <c r="C4993"/>
      <c r="D4993"/>
      <c r="E4993"/>
      <c r="F4993"/>
      <c r="G4993"/>
      <c r="U4993"/>
      <c r="V4993"/>
      <c r="W4993"/>
      <c r="X4993"/>
      <c r="Y4993"/>
      <c r="Z4993"/>
      <c r="AA4993"/>
      <c r="AB4993"/>
      <c r="AL4993"/>
      <c r="AM4993"/>
      <c r="AN4993"/>
      <c r="AO4993"/>
    </row>
    <row r="4994" spans="1:41" s="2" customFormat="1" x14ac:dyDescent="0.2">
      <c r="A4994"/>
      <c r="B4994"/>
      <c r="C4994"/>
      <c r="D4994"/>
      <c r="E4994"/>
      <c r="F4994"/>
      <c r="G4994"/>
      <c r="U4994"/>
      <c r="V4994"/>
      <c r="W4994"/>
      <c r="X4994"/>
      <c r="Y4994"/>
      <c r="Z4994"/>
      <c r="AA4994"/>
      <c r="AB4994"/>
      <c r="AL4994"/>
      <c r="AM4994"/>
      <c r="AN4994"/>
      <c r="AO4994"/>
    </row>
    <row r="4995" spans="1:41" s="2" customFormat="1" x14ac:dyDescent="0.2">
      <c r="A4995"/>
      <c r="B4995"/>
      <c r="C4995"/>
      <c r="D4995"/>
      <c r="E4995"/>
      <c r="F4995"/>
      <c r="G4995"/>
      <c r="U4995"/>
      <c r="V4995"/>
      <c r="W4995"/>
      <c r="X4995"/>
      <c r="Y4995"/>
      <c r="Z4995"/>
      <c r="AA4995"/>
      <c r="AB4995"/>
      <c r="AL4995"/>
      <c r="AM4995"/>
      <c r="AN4995"/>
      <c r="AO4995"/>
    </row>
    <row r="4996" spans="1:41" s="2" customFormat="1" x14ac:dyDescent="0.2">
      <c r="A4996"/>
      <c r="B4996"/>
      <c r="C4996"/>
      <c r="D4996"/>
      <c r="E4996"/>
      <c r="F4996"/>
      <c r="G4996"/>
      <c r="U4996"/>
      <c r="V4996"/>
      <c r="W4996"/>
      <c r="X4996"/>
      <c r="Y4996"/>
      <c r="Z4996"/>
      <c r="AA4996"/>
      <c r="AB4996"/>
      <c r="AL4996"/>
      <c r="AM4996"/>
      <c r="AN4996"/>
      <c r="AO4996"/>
    </row>
    <row r="4997" spans="1:41" s="2" customFormat="1" x14ac:dyDescent="0.2">
      <c r="A4997"/>
      <c r="B4997"/>
      <c r="C4997"/>
      <c r="D4997"/>
      <c r="E4997"/>
      <c r="F4997"/>
      <c r="G4997"/>
      <c r="U4997"/>
      <c r="V4997"/>
      <c r="W4997"/>
      <c r="X4997"/>
      <c r="Y4997"/>
      <c r="Z4997"/>
      <c r="AA4997"/>
      <c r="AB4997"/>
      <c r="AL4997"/>
      <c r="AM4997"/>
      <c r="AN4997"/>
      <c r="AO4997"/>
    </row>
    <row r="4998" spans="1:41" s="2" customFormat="1" x14ac:dyDescent="0.2">
      <c r="A4998"/>
      <c r="B4998"/>
      <c r="C4998"/>
      <c r="D4998"/>
      <c r="E4998"/>
      <c r="F4998"/>
      <c r="G4998"/>
      <c r="U4998"/>
      <c r="V4998"/>
      <c r="W4998"/>
      <c r="X4998"/>
      <c r="Y4998"/>
      <c r="Z4998"/>
      <c r="AA4998"/>
      <c r="AB4998"/>
      <c r="AL4998"/>
      <c r="AM4998"/>
      <c r="AN4998"/>
      <c r="AO4998"/>
    </row>
    <row r="4999" spans="1:41" s="2" customFormat="1" x14ac:dyDescent="0.2">
      <c r="A4999"/>
      <c r="B4999"/>
      <c r="C4999"/>
      <c r="D4999"/>
      <c r="E4999"/>
      <c r="F4999"/>
      <c r="G4999"/>
      <c r="U4999"/>
      <c r="V4999"/>
      <c r="W4999"/>
      <c r="X4999"/>
      <c r="Y4999"/>
      <c r="Z4999"/>
      <c r="AA4999"/>
      <c r="AB4999"/>
      <c r="AL4999"/>
      <c r="AM4999"/>
      <c r="AN4999"/>
      <c r="AO4999"/>
    </row>
    <row r="5000" spans="1:41" s="2" customFormat="1" x14ac:dyDescent="0.2">
      <c r="A5000"/>
      <c r="B5000"/>
      <c r="C5000"/>
      <c r="D5000"/>
      <c r="E5000"/>
      <c r="F5000"/>
      <c r="G5000"/>
      <c r="U5000"/>
      <c r="V5000"/>
      <c r="W5000"/>
      <c r="X5000"/>
      <c r="Y5000"/>
      <c r="Z5000"/>
      <c r="AA5000"/>
      <c r="AB5000"/>
      <c r="AL5000"/>
      <c r="AM5000"/>
      <c r="AN5000"/>
      <c r="AO5000"/>
    </row>
    <row r="5001" spans="1:41" s="2" customFormat="1" x14ac:dyDescent="0.2">
      <c r="A5001"/>
      <c r="B5001"/>
      <c r="C5001"/>
      <c r="D5001"/>
      <c r="E5001"/>
      <c r="F5001"/>
      <c r="G5001"/>
      <c r="U5001"/>
      <c r="V5001"/>
      <c r="W5001"/>
      <c r="X5001"/>
      <c r="Y5001"/>
      <c r="Z5001"/>
      <c r="AA5001"/>
      <c r="AB5001"/>
      <c r="AL5001"/>
      <c r="AM5001"/>
      <c r="AN5001"/>
      <c r="AO5001"/>
    </row>
    <row r="5002" spans="1:41" s="2" customFormat="1" x14ac:dyDescent="0.2">
      <c r="A5002"/>
      <c r="B5002"/>
      <c r="C5002"/>
      <c r="D5002"/>
      <c r="E5002"/>
      <c r="F5002"/>
      <c r="G5002"/>
      <c r="U5002"/>
      <c r="V5002"/>
      <c r="W5002"/>
      <c r="X5002"/>
      <c r="Y5002"/>
      <c r="Z5002"/>
      <c r="AA5002"/>
      <c r="AB5002"/>
      <c r="AL5002"/>
      <c r="AM5002"/>
      <c r="AN5002"/>
      <c r="AO5002"/>
    </row>
    <row r="5003" spans="1:41" s="2" customFormat="1" x14ac:dyDescent="0.2">
      <c r="A5003"/>
      <c r="B5003"/>
      <c r="C5003"/>
      <c r="D5003"/>
      <c r="E5003"/>
      <c r="F5003"/>
      <c r="G5003"/>
      <c r="U5003"/>
      <c r="V5003"/>
      <c r="W5003"/>
      <c r="X5003"/>
      <c r="Y5003"/>
      <c r="Z5003"/>
      <c r="AA5003"/>
      <c r="AB5003"/>
      <c r="AL5003"/>
      <c r="AM5003"/>
      <c r="AN5003"/>
      <c r="AO5003"/>
    </row>
    <row r="5004" spans="1:41" s="2" customFormat="1" x14ac:dyDescent="0.2">
      <c r="A5004"/>
      <c r="B5004"/>
      <c r="C5004"/>
      <c r="D5004"/>
      <c r="E5004"/>
      <c r="F5004"/>
      <c r="G5004"/>
      <c r="U5004"/>
      <c r="V5004"/>
      <c r="W5004"/>
      <c r="X5004"/>
      <c r="Y5004"/>
      <c r="Z5004"/>
      <c r="AA5004"/>
      <c r="AB5004"/>
      <c r="AL5004"/>
      <c r="AM5004"/>
      <c r="AN5004"/>
      <c r="AO5004"/>
    </row>
    <row r="5005" spans="1:41" s="2" customFormat="1" x14ac:dyDescent="0.2">
      <c r="A5005"/>
      <c r="B5005"/>
      <c r="C5005"/>
      <c r="D5005"/>
      <c r="E5005"/>
      <c r="F5005"/>
      <c r="G5005"/>
      <c r="U5005"/>
      <c r="V5005"/>
      <c r="W5005"/>
      <c r="X5005"/>
      <c r="Y5005"/>
      <c r="Z5005"/>
      <c r="AA5005"/>
      <c r="AB5005"/>
      <c r="AL5005"/>
      <c r="AM5005"/>
      <c r="AN5005"/>
      <c r="AO5005"/>
    </row>
    <row r="5006" spans="1:41" s="2" customFormat="1" x14ac:dyDescent="0.2">
      <c r="A5006"/>
      <c r="B5006"/>
      <c r="C5006"/>
      <c r="D5006"/>
      <c r="E5006"/>
      <c r="F5006"/>
      <c r="G5006"/>
      <c r="U5006"/>
      <c r="V5006"/>
      <c r="W5006"/>
      <c r="X5006"/>
      <c r="Y5006"/>
      <c r="Z5006"/>
      <c r="AA5006"/>
      <c r="AB5006"/>
      <c r="AL5006"/>
      <c r="AM5006"/>
      <c r="AN5006"/>
      <c r="AO5006"/>
    </row>
    <row r="5007" spans="1:41" s="2" customFormat="1" x14ac:dyDescent="0.2">
      <c r="A5007"/>
      <c r="B5007"/>
      <c r="C5007"/>
      <c r="D5007"/>
      <c r="E5007"/>
      <c r="F5007"/>
      <c r="G5007"/>
      <c r="U5007"/>
      <c r="V5007"/>
      <c r="W5007"/>
      <c r="X5007"/>
      <c r="Y5007"/>
      <c r="Z5007"/>
      <c r="AA5007"/>
      <c r="AB5007"/>
      <c r="AL5007"/>
      <c r="AM5007"/>
      <c r="AN5007"/>
      <c r="AO5007"/>
    </row>
    <row r="5008" spans="1:41" s="2" customFormat="1" x14ac:dyDescent="0.2">
      <c r="A5008"/>
      <c r="B5008"/>
      <c r="C5008"/>
      <c r="D5008"/>
      <c r="E5008"/>
      <c r="F5008"/>
      <c r="G5008"/>
      <c r="U5008"/>
      <c r="V5008"/>
      <c r="W5008"/>
      <c r="X5008"/>
      <c r="Y5008"/>
      <c r="Z5008"/>
      <c r="AA5008"/>
      <c r="AB5008"/>
      <c r="AL5008"/>
      <c r="AM5008"/>
      <c r="AN5008"/>
      <c r="AO5008"/>
    </row>
    <row r="5009" spans="1:41" s="2" customFormat="1" x14ac:dyDescent="0.2">
      <c r="A5009"/>
      <c r="B5009"/>
      <c r="C5009"/>
      <c r="D5009"/>
      <c r="E5009"/>
      <c r="F5009"/>
      <c r="G5009"/>
      <c r="U5009"/>
      <c r="V5009"/>
      <c r="W5009"/>
      <c r="X5009"/>
      <c r="Y5009"/>
      <c r="Z5009"/>
      <c r="AA5009"/>
      <c r="AB5009"/>
      <c r="AL5009"/>
      <c r="AM5009"/>
      <c r="AN5009"/>
      <c r="AO5009"/>
    </row>
    <row r="5010" spans="1:41" s="2" customFormat="1" x14ac:dyDescent="0.2">
      <c r="A5010"/>
      <c r="B5010"/>
      <c r="C5010"/>
      <c r="D5010"/>
      <c r="E5010"/>
      <c r="F5010"/>
      <c r="G5010"/>
      <c r="U5010"/>
      <c r="V5010"/>
      <c r="W5010"/>
      <c r="X5010"/>
      <c r="Y5010"/>
      <c r="Z5010"/>
      <c r="AA5010"/>
      <c r="AB5010"/>
      <c r="AL5010"/>
      <c r="AM5010"/>
      <c r="AN5010"/>
      <c r="AO5010"/>
    </row>
    <row r="5011" spans="1:41" s="2" customFormat="1" x14ac:dyDescent="0.2">
      <c r="A5011"/>
      <c r="B5011"/>
      <c r="C5011"/>
      <c r="D5011"/>
      <c r="E5011"/>
      <c r="F5011"/>
      <c r="G5011"/>
      <c r="U5011"/>
      <c r="V5011"/>
      <c r="W5011"/>
      <c r="X5011"/>
      <c r="Y5011"/>
      <c r="Z5011"/>
      <c r="AA5011"/>
      <c r="AB5011"/>
      <c r="AL5011"/>
      <c r="AM5011"/>
      <c r="AN5011"/>
      <c r="AO5011"/>
    </row>
    <row r="5012" spans="1:41" s="2" customFormat="1" x14ac:dyDescent="0.2">
      <c r="A5012"/>
      <c r="B5012"/>
      <c r="C5012"/>
      <c r="D5012"/>
      <c r="E5012"/>
      <c r="F5012"/>
      <c r="G5012"/>
      <c r="U5012"/>
      <c r="V5012"/>
      <c r="W5012"/>
      <c r="X5012"/>
      <c r="Y5012"/>
      <c r="Z5012"/>
      <c r="AA5012"/>
      <c r="AB5012"/>
      <c r="AL5012"/>
      <c r="AM5012"/>
      <c r="AN5012"/>
      <c r="AO5012"/>
    </row>
    <row r="5013" spans="1:41" s="2" customFormat="1" x14ac:dyDescent="0.2">
      <c r="A5013"/>
      <c r="B5013"/>
      <c r="C5013"/>
      <c r="D5013"/>
      <c r="E5013"/>
      <c r="F5013"/>
      <c r="G5013"/>
      <c r="U5013"/>
      <c r="V5013"/>
      <c r="W5013"/>
      <c r="X5013"/>
      <c r="Y5013"/>
      <c r="Z5013"/>
      <c r="AA5013"/>
      <c r="AB5013"/>
      <c r="AL5013"/>
      <c r="AM5013"/>
      <c r="AN5013"/>
      <c r="AO5013"/>
    </row>
    <row r="5014" spans="1:41" s="2" customFormat="1" x14ac:dyDescent="0.2">
      <c r="A5014"/>
      <c r="B5014"/>
      <c r="C5014"/>
      <c r="D5014"/>
      <c r="E5014"/>
      <c r="F5014"/>
      <c r="G5014"/>
      <c r="U5014"/>
      <c r="V5014"/>
      <c r="W5014"/>
      <c r="X5014"/>
      <c r="Y5014"/>
      <c r="Z5014"/>
      <c r="AA5014"/>
      <c r="AB5014"/>
      <c r="AL5014"/>
      <c r="AM5014"/>
      <c r="AN5014"/>
      <c r="AO5014"/>
    </row>
    <row r="5015" spans="1:41" s="2" customFormat="1" x14ac:dyDescent="0.2">
      <c r="A5015"/>
      <c r="B5015"/>
      <c r="C5015"/>
      <c r="D5015"/>
      <c r="E5015"/>
      <c r="F5015"/>
      <c r="G5015"/>
      <c r="U5015"/>
      <c r="V5015"/>
      <c r="W5015"/>
      <c r="X5015"/>
      <c r="Y5015"/>
      <c r="Z5015"/>
      <c r="AA5015"/>
      <c r="AB5015"/>
      <c r="AL5015"/>
      <c r="AM5015"/>
      <c r="AN5015"/>
      <c r="AO5015"/>
    </row>
    <row r="5016" spans="1:41" s="2" customFormat="1" x14ac:dyDescent="0.2">
      <c r="A5016"/>
      <c r="B5016"/>
      <c r="C5016"/>
      <c r="D5016"/>
      <c r="E5016"/>
      <c r="F5016"/>
      <c r="G5016"/>
      <c r="U5016"/>
      <c r="V5016"/>
      <c r="W5016"/>
      <c r="X5016"/>
      <c r="Y5016"/>
      <c r="Z5016"/>
      <c r="AA5016"/>
      <c r="AB5016"/>
      <c r="AL5016"/>
      <c r="AM5016"/>
      <c r="AN5016"/>
      <c r="AO5016"/>
    </row>
    <row r="5017" spans="1:41" s="2" customFormat="1" x14ac:dyDescent="0.2">
      <c r="A5017"/>
      <c r="B5017"/>
      <c r="C5017"/>
      <c r="D5017"/>
      <c r="E5017"/>
      <c r="F5017"/>
      <c r="G5017"/>
      <c r="U5017"/>
      <c r="V5017"/>
      <c r="W5017"/>
      <c r="X5017"/>
      <c r="Y5017"/>
      <c r="Z5017"/>
      <c r="AA5017"/>
      <c r="AB5017"/>
      <c r="AL5017"/>
      <c r="AM5017"/>
      <c r="AN5017"/>
      <c r="AO5017"/>
    </row>
    <row r="5018" spans="1:41" s="2" customFormat="1" x14ac:dyDescent="0.2">
      <c r="A5018"/>
      <c r="B5018"/>
      <c r="C5018"/>
      <c r="D5018"/>
      <c r="E5018"/>
      <c r="F5018"/>
      <c r="G5018"/>
      <c r="U5018"/>
      <c r="V5018"/>
      <c r="W5018"/>
      <c r="X5018"/>
      <c r="Y5018"/>
      <c r="Z5018"/>
      <c r="AA5018"/>
      <c r="AB5018"/>
      <c r="AL5018"/>
      <c r="AM5018"/>
      <c r="AN5018"/>
      <c r="AO5018"/>
    </row>
    <row r="5019" spans="1:41" s="2" customFormat="1" x14ac:dyDescent="0.2">
      <c r="A5019"/>
      <c r="B5019"/>
      <c r="C5019"/>
      <c r="D5019"/>
      <c r="E5019"/>
      <c r="F5019"/>
      <c r="G5019"/>
      <c r="U5019"/>
      <c r="V5019"/>
      <c r="W5019"/>
      <c r="X5019"/>
      <c r="Y5019"/>
      <c r="Z5019"/>
      <c r="AA5019"/>
      <c r="AB5019"/>
      <c r="AL5019"/>
      <c r="AM5019"/>
      <c r="AN5019"/>
      <c r="AO5019"/>
    </row>
    <row r="5020" spans="1:41" s="2" customFormat="1" x14ac:dyDescent="0.2">
      <c r="A5020"/>
      <c r="B5020"/>
      <c r="C5020"/>
      <c r="D5020"/>
      <c r="E5020"/>
      <c r="F5020"/>
      <c r="G5020"/>
      <c r="U5020"/>
      <c r="V5020"/>
      <c r="W5020"/>
      <c r="X5020"/>
      <c r="Y5020"/>
      <c r="Z5020"/>
      <c r="AA5020"/>
      <c r="AB5020"/>
      <c r="AL5020"/>
      <c r="AM5020"/>
      <c r="AN5020"/>
      <c r="AO5020"/>
    </row>
    <row r="5021" spans="1:41" s="2" customFormat="1" x14ac:dyDescent="0.2">
      <c r="A5021"/>
      <c r="B5021"/>
      <c r="C5021"/>
      <c r="D5021"/>
      <c r="E5021"/>
      <c r="F5021"/>
      <c r="G5021"/>
      <c r="U5021"/>
      <c r="V5021"/>
      <c r="W5021"/>
      <c r="X5021"/>
      <c r="Y5021"/>
      <c r="Z5021"/>
      <c r="AA5021"/>
      <c r="AB5021"/>
      <c r="AL5021"/>
      <c r="AM5021"/>
      <c r="AN5021"/>
      <c r="AO5021"/>
    </row>
    <row r="5022" spans="1:41" s="2" customFormat="1" x14ac:dyDescent="0.2">
      <c r="A5022"/>
      <c r="B5022"/>
      <c r="C5022"/>
      <c r="D5022"/>
      <c r="E5022"/>
      <c r="F5022"/>
      <c r="G5022"/>
      <c r="U5022"/>
      <c r="V5022"/>
      <c r="W5022"/>
      <c r="X5022"/>
      <c r="Y5022"/>
      <c r="Z5022"/>
      <c r="AA5022"/>
      <c r="AB5022"/>
      <c r="AL5022"/>
      <c r="AM5022"/>
      <c r="AN5022"/>
      <c r="AO5022"/>
    </row>
    <row r="5023" spans="1:41" s="2" customFormat="1" x14ac:dyDescent="0.2">
      <c r="A5023"/>
      <c r="B5023"/>
      <c r="C5023"/>
      <c r="D5023"/>
      <c r="E5023"/>
      <c r="F5023"/>
      <c r="G5023"/>
      <c r="U5023"/>
      <c r="V5023"/>
      <c r="W5023"/>
      <c r="X5023"/>
      <c r="Y5023"/>
      <c r="Z5023"/>
      <c r="AA5023"/>
      <c r="AB5023"/>
      <c r="AL5023"/>
      <c r="AM5023"/>
      <c r="AN5023"/>
      <c r="AO5023"/>
    </row>
    <row r="5024" spans="1:41" s="2" customFormat="1" x14ac:dyDescent="0.2">
      <c r="A5024"/>
      <c r="B5024"/>
      <c r="C5024"/>
      <c r="D5024"/>
      <c r="E5024"/>
      <c r="F5024"/>
      <c r="G5024"/>
      <c r="U5024"/>
      <c r="V5024"/>
      <c r="W5024"/>
      <c r="X5024"/>
      <c r="Y5024"/>
      <c r="Z5024"/>
      <c r="AA5024"/>
      <c r="AB5024"/>
      <c r="AL5024"/>
      <c r="AM5024"/>
      <c r="AN5024"/>
      <c r="AO5024"/>
    </row>
    <row r="5025" spans="1:41" s="2" customFormat="1" x14ac:dyDescent="0.2">
      <c r="A5025"/>
      <c r="B5025"/>
      <c r="C5025"/>
      <c r="D5025"/>
      <c r="E5025"/>
      <c r="F5025"/>
      <c r="G5025"/>
      <c r="U5025"/>
      <c r="V5025"/>
      <c r="W5025"/>
      <c r="X5025"/>
      <c r="Y5025"/>
      <c r="Z5025"/>
      <c r="AA5025"/>
      <c r="AB5025"/>
      <c r="AL5025"/>
      <c r="AM5025"/>
      <c r="AN5025"/>
      <c r="AO5025"/>
    </row>
    <row r="5026" spans="1:41" s="2" customFormat="1" x14ac:dyDescent="0.2">
      <c r="A5026"/>
      <c r="B5026"/>
      <c r="C5026"/>
      <c r="D5026"/>
      <c r="E5026"/>
      <c r="F5026"/>
      <c r="G5026"/>
      <c r="U5026"/>
      <c r="V5026"/>
      <c r="W5026"/>
      <c r="X5026"/>
      <c r="Y5026"/>
      <c r="Z5026"/>
      <c r="AA5026"/>
      <c r="AB5026"/>
      <c r="AL5026"/>
      <c r="AM5026"/>
      <c r="AN5026"/>
      <c r="AO5026"/>
    </row>
    <row r="5027" spans="1:41" s="2" customFormat="1" x14ac:dyDescent="0.2">
      <c r="A5027"/>
      <c r="B5027"/>
      <c r="C5027"/>
      <c r="D5027"/>
      <c r="E5027"/>
      <c r="F5027"/>
      <c r="G5027"/>
      <c r="U5027"/>
      <c r="V5027"/>
      <c r="W5027"/>
      <c r="X5027"/>
      <c r="Y5027"/>
      <c r="Z5027"/>
      <c r="AA5027"/>
      <c r="AB5027"/>
      <c r="AL5027"/>
      <c r="AM5027"/>
      <c r="AN5027"/>
      <c r="AO5027"/>
    </row>
    <row r="5028" spans="1:41" s="2" customFormat="1" x14ac:dyDescent="0.2">
      <c r="A5028"/>
      <c r="B5028"/>
      <c r="C5028"/>
      <c r="D5028"/>
      <c r="E5028"/>
      <c r="F5028"/>
      <c r="G5028"/>
      <c r="U5028"/>
      <c r="V5028"/>
      <c r="W5028"/>
      <c r="X5028"/>
      <c r="Y5028"/>
      <c r="Z5028"/>
      <c r="AA5028"/>
      <c r="AB5028"/>
      <c r="AL5028"/>
      <c r="AM5028"/>
      <c r="AN5028"/>
      <c r="AO5028"/>
    </row>
    <row r="5029" spans="1:41" s="2" customFormat="1" x14ac:dyDescent="0.2">
      <c r="A5029"/>
      <c r="B5029"/>
      <c r="C5029"/>
      <c r="D5029"/>
      <c r="E5029"/>
      <c r="F5029"/>
      <c r="G5029"/>
      <c r="U5029"/>
      <c r="V5029"/>
      <c r="W5029"/>
      <c r="X5029"/>
      <c r="Y5029"/>
      <c r="Z5029"/>
      <c r="AA5029"/>
      <c r="AB5029"/>
      <c r="AL5029"/>
      <c r="AM5029"/>
      <c r="AN5029"/>
      <c r="AO5029"/>
    </row>
    <row r="5030" spans="1:41" s="2" customFormat="1" x14ac:dyDescent="0.2">
      <c r="A5030"/>
      <c r="B5030"/>
      <c r="C5030"/>
      <c r="D5030"/>
      <c r="E5030"/>
      <c r="F5030"/>
      <c r="G5030"/>
      <c r="U5030"/>
      <c r="V5030"/>
      <c r="W5030"/>
      <c r="X5030"/>
      <c r="Y5030"/>
      <c r="Z5030"/>
      <c r="AA5030"/>
      <c r="AB5030"/>
      <c r="AL5030"/>
      <c r="AM5030"/>
      <c r="AN5030"/>
      <c r="AO5030"/>
    </row>
    <row r="5031" spans="1:41" s="2" customFormat="1" x14ac:dyDescent="0.2">
      <c r="A5031"/>
      <c r="B5031"/>
      <c r="C5031"/>
      <c r="D5031"/>
      <c r="E5031"/>
      <c r="F5031"/>
      <c r="G5031"/>
      <c r="U5031"/>
      <c r="V5031"/>
      <c r="W5031"/>
      <c r="X5031"/>
      <c r="Y5031"/>
      <c r="Z5031"/>
      <c r="AA5031"/>
      <c r="AB5031"/>
      <c r="AL5031"/>
      <c r="AM5031"/>
      <c r="AN5031"/>
      <c r="AO5031"/>
    </row>
    <row r="5032" spans="1:41" s="2" customFormat="1" x14ac:dyDescent="0.2">
      <c r="A5032"/>
      <c r="B5032"/>
      <c r="C5032"/>
      <c r="D5032"/>
      <c r="E5032"/>
      <c r="F5032"/>
      <c r="G5032"/>
      <c r="U5032"/>
      <c r="V5032"/>
      <c r="W5032"/>
      <c r="X5032"/>
      <c r="Y5032"/>
      <c r="Z5032"/>
      <c r="AA5032"/>
      <c r="AB5032"/>
      <c r="AL5032"/>
      <c r="AM5032"/>
      <c r="AN5032"/>
      <c r="AO5032"/>
    </row>
    <row r="5033" spans="1:41" s="2" customFormat="1" x14ac:dyDescent="0.2">
      <c r="A5033"/>
      <c r="B5033"/>
      <c r="C5033"/>
      <c r="D5033"/>
      <c r="E5033"/>
      <c r="F5033"/>
      <c r="G5033"/>
      <c r="U5033"/>
      <c r="V5033"/>
      <c r="W5033"/>
      <c r="X5033"/>
      <c r="Y5033"/>
      <c r="Z5033"/>
      <c r="AA5033"/>
      <c r="AB5033"/>
      <c r="AL5033"/>
      <c r="AM5033"/>
      <c r="AN5033"/>
      <c r="AO5033"/>
    </row>
    <row r="5034" spans="1:41" s="2" customFormat="1" x14ac:dyDescent="0.2">
      <c r="A5034"/>
      <c r="B5034"/>
      <c r="C5034"/>
      <c r="D5034"/>
      <c r="E5034"/>
      <c r="F5034"/>
      <c r="G5034"/>
      <c r="U5034"/>
      <c r="V5034"/>
      <c r="W5034"/>
      <c r="X5034"/>
      <c r="Y5034"/>
      <c r="Z5034"/>
      <c r="AA5034"/>
      <c r="AB5034"/>
      <c r="AL5034"/>
      <c r="AM5034"/>
      <c r="AN5034"/>
      <c r="AO5034"/>
    </row>
    <row r="5035" spans="1:41" s="2" customFormat="1" x14ac:dyDescent="0.2">
      <c r="A5035"/>
      <c r="B5035"/>
      <c r="C5035"/>
      <c r="D5035"/>
      <c r="E5035"/>
      <c r="F5035"/>
      <c r="G5035"/>
      <c r="U5035"/>
      <c r="V5035"/>
      <c r="W5035"/>
      <c r="X5035"/>
      <c r="Y5035"/>
      <c r="Z5035"/>
      <c r="AA5035"/>
      <c r="AB5035"/>
      <c r="AL5035"/>
      <c r="AM5035"/>
      <c r="AN5035"/>
      <c r="AO5035"/>
    </row>
    <row r="5036" spans="1:41" s="2" customFormat="1" x14ac:dyDescent="0.2">
      <c r="A5036"/>
      <c r="B5036"/>
      <c r="C5036"/>
      <c r="D5036"/>
      <c r="E5036"/>
      <c r="F5036"/>
      <c r="G5036"/>
      <c r="U5036"/>
      <c r="V5036"/>
      <c r="W5036"/>
      <c r="X5036"/>
      <c r="Y5036"/>
      <c r="Z5036"/>
      <c r="AA5036"/>
      <c r="AB5036"/>
      <c r="AL5036"/>
      <c r="AM5036"/>
      <c r="AN5036"/>
      <c r="AO5036"/>
    </row>
    <row r="5037" spans="1:41" s="2" customFormat="1" x14ac:dyDescent="0.2">
      <c r="A5037"/>
      <c r="B5037"/>
      <c r="C5037"/>
      <c r="D5037"/>
      <c r="E5037"/>
      <c r="F5037"/>
      <c r="G5037"/>
      <c r="U5037"/>
      <c r="V5037"/>
      <c r="W5037"/>
      <c r="X5037"/>
      <c r="Y5037"/>
      <c r="Z5037"/>
      <c r="AA5037"/>
      <c r="AB5037"/>
      <c r="AL5037"/>
      <c r="AM5037"/>
      <c r="AN5037"/>
      <c r="AO5037"/>
    </row>
    <row r="5038" spans="1:41" s="2" customFormat="1" x14ac:dyDescent="0.2">
      <c r="A5038"/>
      <c r="B5038"/>
      <c r="C5038"/>
      <c r="D5038"/>
      <c r="E5038"/>
      <c r="F5038"/>
      <c r="G5038"/>
      <c r="U5038"/>
      <c r="V5038"/>
      <c r="W5038"/>
      <c r="X5038"/>
      <c r="Y5038"/>
      <c r="Z5038"/>
      <c r="AA5038"/>
      <c r="AB5038"/>
      <c r="AL5038"/>
      <c r="AM5038"/>
      <c r="AN5038"/>
      <c r="AO5038"/>
    </row>
    <row r="5039" spans="1:41" s="2" customFormat="1" x14ac:dyDescent="0.2">
      <c r="A5039"/>
      <c r="B5039"/>
      <c r="C5039"/>
      <c r="D5039"/>
      <c r="E5039"/>
      <c r="F5039"/>
      <c r="G5039"/>
      <c r="U5039"/>
      <c r="V5039"/>
      <c r="W5039"/>
      <c r="X5039"/>
      <c r="Y5039"/>
      <c r="Z5039"/>
      <c r="AA5039"/>
      <c r="AB5039"/>
      <c r="AL5039"/>
      <c r="AM5039"/>
      <c r="AN5039"/>
      <c r="AO5039"/>
    </row>
    <row r="5040" spans="1:41" s="2" customFormat="1" x14ac:dyDescent="0.2">
      <c r="A5040"/>
      <c r="B5040"/>
      <c r="C5040"/>
      <c r="D5040"/>
      <c r="E5040"/>
      <c r="F5040"/>
      <c r="G5040"/>
      <c r="U5040"/>
      <c r="V5040"/>
      <c r="W5040"/>
      <c r="X5040"/>
      <c r="Y5040"/>
      <c r="Z5040"/>
      <c r="AA5040"/>
      <c r="AB5040"/>
      <c r="AL5040"/>
      <c r="AM5040"/>
      <c r="AN5040"/>
      <c r="AO5040"/>
    </row>
    <row r="5041" spans="1:41" s="2" customFormat="1" x14ac:dyDescent="0.2">
      <c r="A5041"/>
      <c r="B5041"/>
      <c r="C5041"/>
      <c r="D5041"/>
      <c r="E5041"/>
      <c r="F5041"/>
      <c r="G5041"/>
      <c r="U5041"/>
      <c r="V5041"/>
      <c r="W5041"/>
      <c r="X5041"/>
      <c r="Y5041"/>
      <c r="Z5041"/>
      <c r="AA5041"/>
      <c r="AB5041"/>
      <c r="AL5041"/>
      <c r="AM5041"/>
      <c r="AN5041"/>
      <c r="AO5041"/>
    </row>
    <row r="5042" spans="1:41" s="2" customFormat="1" x14ac:dyDescent="0.2">
      <c r="A5042"/>
      <c r="B5042"/>
      <c r="C5042"/>
      <c r="D5042"/>
      <c r="E5042"/>
      <c r="F5042"/>
      <c r="G5042"/>
      <c r="U5042"/>
      <c r="V5042"/>
      <c r="W5042"/>
      <c r="X5042"/>
      <c r="Y5042"/>
      <c r="Z5042"/>
      <c r="AA5042"/>
      <c r="AB5042"/>
      <c r="AL5042"/>
      <c r="AM5042"/>
      <c r="AN5042"/>
      <c r="AO5042"/>
    </row>
    <row r="5043" spans="1:41" s="2" customFormat="1" x14ac:dyDescent="0.2">
      <c r="A5043"/>
      <c r="B5043"/>
      <c r="C5043"/>
      <c r="D5043"/>
      <c r="E5043"/>
      <c r="F5043"/>
      <c r="G5043"/>
      <c r="U5043"/>
      <c r="V5043"/>
      <c r="W5043"/>
      <c r="X5043"/>
      <c r="Y5043"/>
      <c r="Z5043"/>
      <c r="AA5043"/>
      <c r="AB5043"/>
      <c r="AL5043"/>
      <c r="AM5043"/>
      <c r="AN5043"/>
      <c r="AO5043"/>
    </row>
    <row r="5044" spans="1:41" s="2" customFormat="1" x14ac:dyDescent="0.2">
      <c r="A5044"/>
      <c r="B5044"/>
      <c r="C5044"/>
      <c r="D5044"/>
      <c r="E5044"/>
      <c r="F5044"/>
      <c r="G5044"/>
      <c r="U5044"/>
      <c r="V5044"/>
      <c r="W5044"/>
      <c r="X5044"/>
      <c r="Y5044"/>
      <c r="Z5044"/>
      <c r="AA5044"/>
      <c r="AB5044"/>
      <c r="AL5044"/>
      <c r="AM5044"/>
      <c r="AN5044"/>
      <c r="AO5044"/>
    </row>
    <row r="5045" spans="1:41" s="2" customFormat="1" x14ac:dyDescent="0.2">
      <c r="A5045"/>
      <c r="B5045"/>
      <c r="C5045"/>
      <c r="D5045"/>
      <c r="E5045"/>
      <c r="F5045"/>
      <c r="G5045"/>
      <c r="U5045"/>
      <c r="V5045"/>
      <c r="W5045"/>
      <c r="X5045"/>
      <c r="Y5045"/>
      <c r="Z5045"/>
      <c r="AA5045"/>
      <c r="AB5045"/>
      <c r="AL5045"/>
      <c r="AM5045"/>
      <c r="AN5045"/>
      <c r="AO5045"/>
    </row>
    <row r="5046" spans="1:41" s="2" customFormat="1" x14ac:dyDescent="0.2">
      <c r="A5046"/>
      <c r="B5046"/>
      <c r="C5046"/>
      <c r="D5046"/>
      <c r="E5046"/>
      <c r="F5046"/>
      <c r="G5046"/>
      <c r="U5046"/>
      <c r="V5046"/>
      <c r="W5046"/>
      <c r="X5046"/>
      <c r="Y5046"/>
      <c r="Z5046"/>
      <c r="AA5046"/>
      <c r="AB5046"/>
      <c r="AL5046"/>
      <c r="AM5046"/>
      <c r="AN5046"/>
      <c r="AO5046"/>
    </row>
    <row r="5047" spans="1:41" s="2" customFormat="1" x14ac:dyDescent="0.2">
      <c r="A5047"/>
      <c r="B5047"/>
      <c r="C5047"/>
      <c r="D5047"/>
      <c r="E5047"/>
      <c r="F5047"/>
      <c r="G5047"/>
      <c r="U5047"/>
      <c r="V5047"/>
      <c r="W5047"/>
      <c r="X5047"/>
      <c r="Y5047"/>
      <c r="Z5047"/>
      <c r="AA5047"/>
      <c r="AB5047"/>
      <c r="AL5047"/>
      <c r="AM5047"/>
      <c r="AN5047"/>
      <c r="AO5047"/>
    </row>
    <row r="5048" spans="1:41" s="2" customFormat="1" x14ac:dyDescent="0.2">
      <c r="A5048"/>
      <c r="B5048"/>
      <c r="C5048"/>
      <c r="D5048"/>
      <c r="E5048"/>
      <c r="F5048"/>
      <c r="G5048"/>
      <c r="U5048"/>
      <c r="V5048"/>
      <c r="W5048"/>
      <c r="X5048"/>
      <c r="Y5048"/>
      <c r="Z5048"/>
      <c r="AA5048"/>
      <c r="AB5048"/>
      <c r="AL5048"/>
      <c r="AM5048"/>
      <c r="AN5048"/>
      <c r="AO5048"/>
    </row>
    <row r="5049" spans="1:41" s="2" customFormat="1" x14ac:dyDescent="0.2">
      <c r="A5049"/>
      <c r="B5049"/>
      <c r="C5049"/>
      <c r="D5049"/>
      <c r="E5049"/>
      <c r="F5049"/>
      <c r="G5049"/>
      <c r="U5049"/>
      <c r="V5049"/>
      <c r="W5049"/>
      <c r="X5049"/>
      <c r="Y5049"/>
      <c r="Z5049"/>
      <c r="AA5049"/>
      <c r="AB5049"/>
      <c r="AL5049"/>
      <c r="AM5049"/>
      <c r="AN5049"/>
      <c r="AO5049"/>
    </row>
    <row r="5050" spans="1:41" s="2" customFormat="1" x14ac:dyDescent="0.2">
      <c r="A5050"/>
      <c r="B5050"/>
      <c r="C5050"/>
      <c r="D5050"/>
      <c r="E5050"/>
      <c r="F5050"/>
      <c r="G5050"/>
      <c r="U5050"/>
      <c r="V5050"/>
      <c r="W5050"/>
      <c r="X5050"/>
      <c r="Y5050"/>
      <c r="Z5050"/>
      <c r="AA5050"/>
      <c r="AB5050"/>
      <c r="AL5050"/>
      <c r="AM5050"/>
      <c r="AN5050"/>
      <c r="AO5050"/>
    </row>
    <row r="5051" spans="1:41" s="2" customFormat="1" x14ac:dyDescent="0.2">
      <c r="A5051"/>
      <c r="B5051"/>
      <c r="C5051"/>
      <c r="D5051"/>
      <c r="E5051"/>
      <c r="F5051"/>
      <c r="G5051"/>
      <c r="U5051"/>
      <c r="V5051"/>
      <c r="W5051"/>
      <c r="X5051"/>
      <c r="Y5051"/>
      <c r="Z5051"/>
      <c r="AA5051"/>
      <c r="AB5051"/>
      <c r="AL5051"/>
      <c r="AM5051"/>
      <c r="AN5051"/>
      <c r="AO5051"/>
    </row>
    <row r="5052" spans="1:41" s="2" customFormat="1" x14ac:dyDescent="0.2">
      <c r="A5052"/>
      <c r="B5052"/>
      <c r="C5052"/>
      <c r="D5052"/>
      <c r="E5052"/>
      <c r="F5052"/>
      <c r="G5052"/>
      <c r="U5052"/>
      <c r="V5052"/>
      <c r="W5052"/>
      <c r="X5052"/>
      <c r="Y5052"/>
      <c r="Z5052"/>
      <c r="AA5052"/>
      <c r="AB5052"/>
      <c r="AL5052"/>
      <c r="AM5052"/>
      <c r="AN5052"/>
      <c r="AO5052"/>
    </row>
    <row r="5053" spans="1:41" s="2" customFormat="1" x14ac:dyDescent="0.2">
      <c r="A5053"/>
      <c r="B5053"/>
      <c r="C5053"/>
      <c r="D5053"/>
      <c r="E5053"/>
      <c r="F5053"/>
      <c r="G5053"/>
      <c r="U5053"/>
      <c r="V5053"/>
      <c r="W5053"/>
      <c r="X5053"/>
      <c r="Y5053"/>
      <c r="Z5053"/>
      <c r="AA5053"/>
      <c r="AB5053"/>
      <c r="AL5053"/>
      <c r="AM5053"/>
      <c r="AN5053"/>
      <c r="AO5053"/>
    </row>
    <row r="5054" spans="1:41" s="2" customFormat="1" x14ac:dyDescent="0.2">
      <c r="A5054"/>
      <c r="B5054"/>
      <c r="C5054"/>
      <c r="D5054"/>
      <c r="E5054"/>
      <c r="F5054"/>
      <c r="G5054"/>
      <c r="U5054"/>
      <c r="V5054"/>
      <c r="W5054"/>
      <c r="X5054"/>
      <c r="Y5054"/>
      <c r="Z5054"/>
      <c r="AA5054"/>
      <c r="AB5054"/>
      <c r="AL5054"/>
      <c r="AM5054"/>
      <c r="AN5054"/>
      <c r="AO5054"/>
    </row>
    <row r="5055" spans="1:41" s="2" customFormat="1" x14ac:dyDescent="0.2">
      <c r="A5055"/>
      <c r="B5055"/>
      <c r="C5055"/>
      <c r="D5055"/>
      <c r="E5055"/>
      <c r="F5055"/>
      <c r="G5055"/>
      <c r="U5055"/>
      <c r="V5055"/>
      <c r="W5055"/>
      <c r="X5055"/>
      <c r="Y5055"/>
      <c r="Z5055"/>
      <c r="AA5055"/>
      <c r="AB5055"/>
      <c r="AL5055"/>
      <c r="AM5055"/>
      <c r="AN5055"/>
      <c r="AO5055"/>
    </row>
    <row r="5056" spans="1:41" s="2" customFormat="1" x14ac:dyDescent="0.2">
      <c r="A5056"/>
      <c r="B5056"/>
      <c r="C5056"/>
      <c r="D5056"/>
      <c r="E5056"/>
      <c r="F5056"/>
      <c r="G5056"/>
      <c r="U5056"/>
      <c r="V5056"/>
      <c r="W5056"/>
      <c r="X5056"/>
      <c r="Y5056"/>
      <c r="Z5056"/>
      <c r="AA5056"/>
      <c r="AB5056"/>
      <c r="AL5056"/>
      <c r="AM5056"/>
      <c r="AN5056"/>
      <c r="AO5056"/>
    </row>
    <row r="5057" spans="1:41" s="2" customFormat="1" x14ac:dyDescent="0.2">
      <c r="A5057"/>
      <c r="B5057"/>
      <c r="C5057"/>
      <c r="D5057"/>
      <c r="E5057"/>
      <c r="F5057"/>
      <c r="G5057"/>
      <c r="U5057"/>
      <c r="V5057"/>
      <c r="W5057"/>
      <c r="X5057"/>
      <c r="Y5057"/>
      <c r="Z5057"/>
      <c r="AA5057"/>
      <c r="AB5057"/>
      <c r="AL5057"/>
      <c r="AM5057"/>
      <c r="AN5057"/>
      <c r="AO5057"/>
    </row>
    <row r="5058" spans="1:41" s="2" customFormat="1" x14ac:dyDescent="0.2">
      <c r="A5058"/>
      <c r="B5058"/>
      <c r="C5058"/>
      <c r="D5058"/>
      <c r="E5058"/>
      <c r="F5058"/>
      <c r="G5058"/>
      <c r="U5058"/>
      <c r="V5058"/>
      <c r="W5058"/>
      <c r="X5058"/>
      <c r="Y5058"/>
      <c r="Z5058"/>
      <c r="AA5058"/>
      <c r="AB5058"/>
      <c r="AL5058"/>
      <c r="AM5058"/>
      <c r="AN5058"/>
      <c r="AO5058"/>
    </row>
    <row r="5059" spans="1:41" s="2" customFormat="1" x14ac:dyDescent="0.2">
      <c r="A5059"/>
      <c r="B5059"/>
      <c r="C5059"/>
      <c r="D5059"/>
      <c r="E5059"/>
      <c r="F5059"/>
      <c r="G5059"/>
      <c r="U5059"/>
      <c r="V5059"/>
      <c r="W5059"/>
      <c r="X5059"/>
      <c r="Y5059"/>
      <c r="Z5059"/>
      <c r="AA5059"/>
      <c r="AB5059"/>
      <c r="AL5059"/>
      <c r="AM5059"/>
      <c r="AN5059"/>
      <c r="AO5059"/>
    </row>
    <row r="5060" spans="1:41" s="2" customFormat="1" x14ac:dyDescent="0.2">
      <c r="A5060"/>
      <c r="B5060"/>
      <c r="C5060"/>
      <c r="D5060"/>
      <c r="E5060"/>
      <c r="F5060"/>
      <c r="G5060"/>
      <c r="U5060"/>
      <c r="V5060"/>
      <c r="W5060"/>
      <c r="X5060"/>
      <c r="Y5060"/>
      <c r="Z5060"/>
      <c r="AA5060"/>
      <c r="AB5060"/>
      <c r="AL5060"/>
      <c r="AM5060"/>
      <c r="AN5060"/>
      <c r="AO5060"/>
    </row>
    <row r="5061" spans="1:41" s="2" customFormat="1" x14ac:dyDescent="0.2">
      <c r="A5061"/>
      <c r="B5061"/>
      <c r="C5061"/>
      <c r="D5061"/>
      <c r="E5061"/>
      <c r="F5061"/>
      <c r="G5061"/>
      <c r="U5061"/>
      <c r="V5061"/>
      <c r="W5061"/>
      <c r="X5061"/>
      <c r="Y5061"/>
      <c r="Z5061"/>
      <c r="AA5061"/>
      <c r="AB5061"/>
      <c r="AL5061"/>
      <c r="AM5061"/>
      <c r="AN5061"/>
      <c r="AO5061"/>
    </row>
    <row r="5062" spans="1:41" s="2" customFormat="1" x14ac:dyDescent="0.2">
      <c r="A5062"/>
      <c r="B5062"/>
      <c r="C5062"/>
      <c r="D5062"/>
      <c r="E5062"/>
      <c r="F5062"/>
      <c r="G5062"/>
      <c r="U5062"/>
      <c r="V5062"/>
      <c r="W5062"/>
      <c r="X5062"/>
      <c r="Y5062"/>
      <c r="Z5062"/>
      <c r="AA5062"/>
      <c r="AB5062"/>
      <c r="AL5062"/>
      <c r="AM5062"/>
      <c r="AN5062"/>
      <c r="AO5062"/>
    </row>
    <row r="5063" spans="1:41" s="2" customFormat="1" x14ac:dyDescent="0.2">
      <c r="A5063"/>
      <c r="B5063"/>
      <c r="C5063"/>
      <c r="D5063"/>
      <c r="E5063"/>
      <c r="F5063"/>
      <c r="G5063"/>
      <c r="U5063"/>
      <c r="V5063"/>
      <c r="W5063"/>
      <c r="X5063"/>
      <c r="Y5063"/>
      <c r="Z5063"/>
      <c r="AA5063"/>
      <c r="AB5063"/>
      <c r="AL5063"/>
      <c r="AM5063"/>
      <c r="AN5063"/>
      <c r="AO5063"/>
    </row>
    <row r="5064" spans="1:41" s="2" customFormat="1" x14ac:dyDescent="0.2">
      <c r="A5064"/>
      <c r="B5064"/>
      <c r="C5064"/>
      <c r="D5064"/>
      <c r="E5064"/>
      <c r="F5064"/>
      <c r="G5064"/>
      <c r="U5064"/>
      <c r="V5064"/>
      <c r="W5064"/>
      <c r="X5064"/>
      <c r="Y5064"/>
      <c r="Z5064"/>
      <c r="AA5064"/>
      <c r="AB5064"/>
      <c r="AL5064"/>
      <c r="AM5064"/>
      <c r="AN5064"/>
      <c r="AO5064"/>
    </row>
    <row r="5065" spans="1:41" s="2" customFormat="1" x14ac:dyDescent="0.2">
      <c r="A5065"/>
      <c r="B5065"/>
      <c r="C5065"/>
      <c r="D5065"/>
      <c r="E5065"/>
      <c r="F5065"/>
      <c r="G5065"/>
      <c r="U5065"/>
      <c r="V5065"/>
      <c r="W5065"/>
      <c r="X5065"/>
      <c r="Y5065"/>
      <c r="Z5065"/>
      <c r="AA5065"/>
      <c r="AB5065"/>
      <c r="AL5065"/>
      <c r="AM5065"/>
      <c r="AN5065"/>
      <c r="AO5065"/>
    </row>
    <row r="5066" spans="1:41" s="2" customFormat="1" x14ac:dyDescent="0.2">
      <c r="A5066"/>
      <c r="B5066"/>
      <c r="C5066"/>
      <c r="D5066"/>
      <c r="E5066"/>
      <c r="F5066"/>
      <c r="G5066"/>
      <c r="U5066"/>
      <c r="V5066"/>
      <c r="W5066"/>
      <c r="X5066"/>
      <c r="Y5066"/>
      <c r="Z5066"/>
      <c r="AA5066"/>
      <c r="AB5066"/>
      <c r="AL5066"/>
      <c r="AM5066"/>
      <c r="AN5066"/>
      <c r="AO5066"/>
    </row>
    <row r="5067" spans="1:41" s="2" customFormat="1" x14ac:dyDescent="0.2">
      <c r="A5067"/>
      <c r="B5067"/>
      <c r="C5067"/>
      <c r="D5067"/>
      <c r="E5067"/>
      <c r="F5067"/>
      <c r="G5067"/>
      <c r="U5067"/>
      <c r="V5067"/>
      <c r="W5067"/>
      <c r="X5067"/>
      <c r="Y5067"/>
      <c r="Z5067"/>
      <c r="AA5067"/>
      <c r="AB5067"/>
      <c r="AL5067"/>
      <c r="AM5067"/>
      <c r="AN5067"/>
      <c r="AO5067"/>
    </row>
    <row r="5068" spans="1:41" s="2" customFormat="1" x14ac:dyDescent="0.2">
      <c r="A5068"/>
      <c r="B5068"/>
      <c r="C5068"/>
      <c r="D5068"/>
      <c r="E5068"/>
      <c r="F5068"/>
      <c r="G5068"/>
      <c r="U5068"/>
      <c r="V5068"/>
      <c r="W5068"/>
      <c r="X5068"/>
      <c r="Y5068"/>
      <c r="Z5068"/>
      <c r="AA5068"/>
      <c r="AB5068"/>
      <c r="AL5068"/>
      <c r="AM5068"/>
      <c r="AN5068"/>
      <c r="AO5068"/>
    </row>
    <row r="5069" spans="1:41" s="2" customFormat="1" x14ac:dyDescent="0.2">
      <c r="A5069"/>
      <c r="B5069"/>
      <c r="C5069"/>
      <c r="D5069"/>
      <c r="E5069"/>
      <c r="F5069"/>
      <c r="G5069"/>
      <c r="U5069"/>
      <c r="V5069"/>
      <c r="W5069"/>
      <c r="X5069"/>
      <c r="Y5069"/>
      <c r="Z5069"/>
      <c r="AA5069"/>
      <c r="AB5069"/>
      <c r="AL5069"/>
      <c r="AM5069"/>
      <c r="AN5069"/>
      <c r="AO5069"/>
    </row>
    <row r="5070" spans="1:41" s="2" customFormat="1" x14ac:dyDescent="0.2">
      <c r="A5070"/>
      <c r="B5070"/>
      <c r="C5070"/>
      <c r="D5070"/>
      <c r="E5070"/>
      <c r="F5070"/>
      <c r="G5070"/>
      <c r="U5070"/>
      <c r="V5070"/>
      <c r="W5070"/>
      <c r="X5070"/>
      <c r="Y5070"/>
      <c r="Z5070"/>
      <c r="AA5070"/>
      <c r="AB5070"/>
      <c r="AL5070"/>
      <c r="AM5070"/>
      <c r="AN5070"/>
      <c r="AO5070"/>
    </row>
    <row r="5071" spans="1:41" s="2" customFormat="1" x14ac:dyDescent="0.2">
      <c r="A5071"/>
      <c r="B5071"/>
      <c r="C5071"/>
      <c r="D5071"/>
      <c r="E5071"/>
      <c r="F5071"/>
      <c r="G5071"/>
      <c r="U5071"/>
      <c r="V5071"/>
      <c r="W5071"/>
      <c r="X5071"/>
      <c r="Y5071"/>
      <c r="Z5071"/>
      <c r="AA5071"/>
      <c r="AB5071"/>
      <c r="AL5071"/>
      <c r="AM5071"/>
      <c r="AN5071"/>
      <c r="AO5071"/>
    </row>
    <row r="5072" spans="1:41" s="2" customFormat="1" x14ac:dyDescent="0.2">
      <c r="A5072"/>
      <c r="B5072"/>
      <c r="C5072"/>
      <c r="D5072"/>
      <c r="E5072"/>
      <c r="F5072"/>
      <c r="G5072"/>
      <c r="U5072"/>
      <c r="V5072"/>
      <c r="W5072"/>
      <c r="X5072"/>
      <c r="Y5072"/>
      <c r="Z5072"/>
      <c r="AA5072"/>
      <c r="AB5072"/>
      <c r="AL5072"/>
      <c r="AM5072"/>
      <c r="AN5072"/>
      <c r="AO5072"/>
    </row>
    <row r="5073" spans="1:41" s="2" customFormat="1" x14ac:dyDescent="0.2">
      <c r="A5073"/>
      <c r="B5073"/>
      <c r="C5073"/>
      <c r="D5073"/>
      <c r="E5073"/>
      <c r="F5073"/>
      <c r="G5073"/>
      <c r="U5073"/>
      <c r="V5073"/>
      <c r="W5073"/>
      <c r="X5073"/>
      <c r="Y5073"/>
      <c r="Z5073"/>
      <c r="AA5073"/>
      <c r="AB5073"/>
      <c r="AL5073"/>
      <c r="AM5073"/>
      <c r="AN5073"/>
      <c r="AO5073"/>
    </row>
    <row r="5074" spans="1:41" s="2" customFormat="1" x14ac:dyDescent="0.2">
      <c r="A5074"/>
      <c r="B5074"/>
      <c r="C5074"/>
      <c r="D5074"/>
      <c r="E5074"/>
      <c r="F5074"/>
      <c r="G5074"/>
      <c r="U5074"/>
      <c r="V5074"/>
      <c r="W5074"/>
      <c r="X5074"/>
      <c r="Y5074"/>
      <c r="Z5074"/>
      <c r="AA5074"/>
      <c r="AB5074"/>
      <c r="AL5074"/>
      <c r="AM5074"/>
      <c r="AN5074"/>
      <c r="AO5074"/>
    </row>
    <row r="5075" spans="1:41" s="2" customFormat="1" x14ac:dyDescent="0.2">
      <c r="A5075"/>
      <c r="B5075"/>
      <c r="C5075"/>
      <c r="D5075"/>
      <c r="E5075"/>
      <c r="F5075"/>
      <c r="G5075"/>
      <c r="U5075"/>
      <c r="V5075"/>
      <c r="W5075"/>
      <c r="X5075"/>
      <c r="Y5075"/>
      <c r="Z5075"/>
      <c r="AA5075"/>
      <c r="AB5075"/>
      <c r="AL5075"/>
      <c r="AM5075"/>
      <c r="AN5075"/>
      <c r="AO5075"/>
    </row>
    <row r="5076" spans="1:41" s="2" customFormat="1" x14ac:dyDescent="0.2">
      <c r="A5076"/>
      <c r="B5076"/>
      <c r="C5076"/>
      <c r="D5076"/>
      <c r="E5076"/>
      <c r="F5076"/>
      <c r="G5076"/>
      <c r="U5076"/>
      <c r="V5076"/>
      <c r="W5076"/>
      <c r="X5076"/>
      <c r="Y5076"/>
      <c r="Z5076"/>
      <c r="AA5076"/>
      <c r="AB5076"/>
      <c r="AL5076"/>
      <c r="AM5076"/>
      <c r="AN5076"/>
      <c r="AO5076"/>
    </row>
    <row r="5077" spans="1:41" s="2" customFormat="1" x14ac:dyDescent="0.2">
      <c r="A5077"/>
      <c r="B5077"/>
      <c r="C5077"/>
      <c r="D5077"/>
      <c r="E5077"/>
      <c r="F5077"/>
      <c r="G5077"/>
      <c r="U5077"/>
      <c r="V5077"/>
      <c r="W5077"/>
      <c r="X5077"/>
      <c r="Y5077"/>
      <c r="Z5077"/>
      <c r="AA5077"/>
      <c r="AB5077"/>
      <c r="AL5077"/>
      <c r="AM5077"/>
      <c r="AN5077"/>
      <c r="AO5077"/>
    </row>
    <row r="5078" spans="1:41" s="2" customFormat="1" x14ac:dyDescent="0.2">
      <c r="A5078"/>
      <c r="B5078"/>
      <c r="C5078"/>
      <c r="D5078"/>
      <c r="E5078"/>
      <c r="F5078"/>
      <c r="G5078"/>
      <c r="U5078"/>
      <c r="V5078"/>
      <c r="W5078"/>
      <c r="X5078"/>
      <c r="Y5078"/>
      <c r="Z5078"/>
      <c r="AA5078"/>
      <c r="AB5078"/>
      <c r="AL5078"/>
      <c r="AM5078"/>
      <c r="AN5078"/>
      <c r="AO5078"/>
    </row>
    <row r="5079" spans="1:41" s="2" customFormat="1" x14ac:dyDescent="0.2">
      <c r="A5079"/>
      <c r="B5079"/>
      <c r="C5079"/>
      <c r="D5079"/>
      <c r="E5079"/>
      <c r="F5079"/>
      <c r="G5079"/>
      <c r="U5079"/>
      <c r="V5079"/>
      <c r="W5079"/>
      <c r="X5079"/>
      <c r="Y5079"/>
      <c r="Z5079"/>
      <c r="AA5079"/>
      <c r="AB5079"/>
      <c r="AL5079"/>
      <c r="AM5079"/>
      <c r="AN5079"/>
      <c r="AO5079"/>
    </row>
    <row r="5080" spans="1:41" s="2" customFormat="1" x14ac:dyDescent="0.2">
      <c r="A5080"/>
      <c r="B5080"/>
      <c r="C5080"/>
      <c r="D5080"/>
      <c r="E5080"/>
      <c r="F5080"/>
      <c r="G5080"/>
      <c r="U5080"/>
      <c r="V5080"/>
      <c r="W5080"/>
      <c r="X5080"/>
      <c r="Y5080"/>
      <c r="Z5080"/>
      <c r="AA5080"/>
      <c r="AB5080"/>
      <c r="AL5080"/>
      <c r="AM5080"/>
      <c r="AN5080"/>
      <c r="AO5080"/>
    </row>
    <row r="5081" spans="1:41" s="2" customFormat="1" x14ac:dyDescent="0.2">
      <c r="A5081"/>
      <c r="B5081"/>
      <c r="C5081"/>
      <c r="D5081"/>
      <c r="E5081"/>
      <c r="F5081"/>
      <c r="G5081"/>
      <c r="U5081"/>
      <c r="V5081"/>
      <c r="W5081"/>
      <c r="X5081"/>
      <c r="Y5081"/>
      <c r="Z5081"/>
      <c r="AA5081"/>
      <c r="AB5081"/>
      <c r="AL5081"/>
      <c r="AM5081"/>
      <c r="AN5081"/>
      <c r="AO5081"/>
    </row>
    <row r="5082" spans="1:41" s="2" customFormat="1" x14ac:dyDescent="0.2">
      <c r="A5082"/>
      <c r="B5082"/>
      <c r="C5082"/>
      <c r="D5082"/>
      <c r="E5082"/>
      <c r="F5082"/>
      <c r="G5082"/>
      <c r="U5082"/>
      <c r="V5082"/>
      <c r="W5082"/>
      <c r="X5082"/>
      <c r="Y5082"/>
      <c r="Z5082"/>
      <c r="AA5082"/>
      <c r="AB5082"/>
      <c r="AL5082"/>
      <c r="AM5082"/>
      <c r="AN5082"/>
      <c r="AO5082"/>
    </row>
    <row r="5083" spans="1:41" s="2" customFormat="1" x14ac:dyDescent="0.2">
      <c r="A5083"/>
      <c r="B5083"/>
      <c r="C5083"/>
      <c r="D5083"/>
      <c r="E5083"/>
      <c r="F5083"/>
      <c r="G5083"/>
      <c r="U5083"/>
      <c r="V5083"/>
      <c r="W5083"/>
      <c r="X5083"/>
      <c r="Y5083"/>
      <c r="Z5083"/>
      <c r="AA5083"/>
      <c r="AB5083"/>
      <c r="AL5083"/>
      <c r="AM5083"/>
      <c r="AN5083"/>
      <c r="AO5083"/>
    </row>
    <row r="5084" spans="1:41" s="2" customFormat="1" x14ac:dyDescent="0.2">
      <c r="A5084"/>
      <c r="B5084"/>
      <c r="C5084"/>
      <c r="D5084"/>
      <c r="E5084"/>
      <c r="F5084"/>
      <c r="G5084"/>
      <c r="U5084"/>
      <c r="V5084"/>
      <c r="W5084"/>
      <c r="X5084"/>
      <c r="Y5084"/>
      <c r="Z5084"/>
      <c r="AA5084"/>
      <c r="AB5084"/>
      <c r="AL5084"/>
      <c r="AM5084"/>
      <c r="AN5084"/>
      <c r="AO5084"/>
    </row>
    <row r="5085" spans="1:41" s="2" customFormat="1" x14ac:dyDescent="0.2">
      <c r="A5085"/>
      <c r="B5085"/>
      <c r="C5085"/>
      <c r="D5085"/>
      <c r="E5085"/>
      <c r="F5085"/>
      <c r="G5085"/>
      <c r="U5085"/>
      <c r="V5085"/>
      <c r="W5085"/>
      <c r="X5085"/>
      <c r="Y5085"/>
      <c r="Z5085"/>
      <c r="AA5085"/>
      <c r="AB5085"/>
      <c r="AL5085"/>
      <c r="AM5085"/>
      <c r="AN5085"/>
      <c r="AO5085"/>
    </row>
    <row r="5086" spans="1:41" s="2" customFormat="1" x14ac:dyDescent="0.2">
      <c r="A5086"/>
      <c r="B5086"/>
      <c r="C5086"/>
      <c r="D5086"/>
      <c r="E5086"/>
      <c r="F5086"/>
      <c r="G5086"/>
      <c r="U5086"/>
      <c r="V5086"/>
      <c r="W5086"/>
      <c r="X5086"/>
      <c r="Y5086"/>
      <c r="Z5086"/>
      <c r="AA5086"/>
      <c r="AB5086"/>
      <c r="AL5086"/>
      <c r="AM5086"/>
      <c r="AN5086"/>
      <c r="AO5086"/>
    </row>
    <row r="5087" spans="1:41" s="2" customFormat="1" x14ac:dyDescent="0.2">
      <c r="A5087"/>
      <c r="B5087"/>
      <c r="C5087"/>
      <c r="D5087"/>
      <c r="E5087"/>
      <c r="F5087"/>
      <c r="G5087"/>
      <c r="U5087"/>
      <c r="V5087"/>
      <c r="W5087"/>
      <c r="X5087"/>
      <c r="Y5087"/>
      <c r="Z5087"/>
      <c r="AA5087"/>
      <c r="AB5087"/>
      <c r="AL5087"/>
      <c r="AM5087"/>
      <c r="AN5087"/>
      <c r="AO5087"/>
    </row>
    <row r="5088" spans="1:41" s="2" customFormat="1" x14ac:dyDescent="0.2">
      <c r="A5088"/>
      <c r="B5088"/>
      <c r="C5088"/>
      <c r="D5088"/>
      <c r="E5088"/>
      <c r="F5088"/>
      <c r="G5088"/>
      <c r="U5088"/>
      <c r="V5088"/>
      <c r="W5088"/>
      <c r="X5088"/>
      <c r="Y5088"/>
      <c r="Z5088"/>
      <c r="AA5088"/>
      <c r="AB5088"/>
      <c r="AL5088"/>
      <c r="AM5088"/>
      <c r="AN5088"/>
      <c r="AO5088"/>
    </row>
    <row r="5089" spans="1:41" s="2" customFormat="1" x14ac:dyDescent="0.2">
      <c r="A5089"/>
      <c r="B5089"/>
      <c r="C5089"/>
      <c r="D5089"/>
      <c r="E5089"/>
      <c r="F5089"/>
      <c r="G5089"/>
      <c r="U5089"/>
      <c r="V5089"/>
      <c r="W5089"/>
      <c r="X5089"/>
      <c r="Y5089"/>
      <c r="Z5089"/>
      <c r="AA5089"/>
      <c r="AB5089"/>
      <c r="AL5089"/>
      <c r="AM5089"/>
      <c r="AN5089"/>
      <c r="AO5089"/>
    </row>
    <row r="5090" spans="1:41" s="2" customFormat="1" x14ac:dyDescent="0.2">
      <c r="A5090"/>
      <c r="B5090"/>
      <c r="C5090"/>
      <c r="D5090"/>
      <c r="E5090"/>
      <c r="F5090"/>
      <c r="G5090"/>
      <c r="U5090"/>
      <c r="V5090"/>
      <c r="W5090"/>
      <c r="X5090"/>
      <c r="Y5090"/>
      <c r="Z5090"/>
      <c r="AA5090"/>
      <c r="AB5090"/>
      <c r="AL5090"/>
      <c r="AM5090"/>
      <c r="AN5090"/>
      <c r="AO5090"/>
    </row>
    <row r="5091" spans="1:41" s="2" customFormat="1" x14ac:dyDescent="0.2">
      <c r="A5091"/>
      <c r="B5091"/>
      <c r="C5091"/>
      <c r="D5091"/>
      <c r="E5091"/>
      <c r="F5091"/>
      <c r="G5091"/>
      <c r="U5091"/>
      <c r="V5091"/>
      <c r="W5091"/>
      <c r="X5091"/>
      <c r="Y5091"/>
      <c r="Z5091"/>
      <c r="AA5091"/>
      <c r="AB5091"/>
      <c r="AL5091"/>
      <c r="AM5091"/>
      <c r="AN5091"/>
      <c r="AO5091"/>
    </row>
    <row r="5092" spans="1:41" s="2" customFormat="1" x14ac:dyDescent="0.2">
      <c r="A5092"/>
      <c r="B5092"/>
      <c r="C5092"/>
      <c r="D5092"/>
      <c r="E5092"/>
      <c r="F5092"/>
      <c r="G5092"/>
      <c r="U5092"/>
      <c r="V5092"/>
      <c r="W5092"/>
      <c r="X5092"/>
      <c r="Y5092"/>
      <c r="Z5092"/>
      <c r="AA5092"/>
      <c r="AB5092"/>
      <c r="AL5092"/>
      <c r="AM5092"/>
      <c r="AN5092"/>
      <c r="AO5092"/>
    </row>
    <row r="5093" spans="1:41" s="2" customFormat="1" x14ac:dyDescent="0.2">
      <c r="A5093"/>
      <c r="B5093"/>
      <c r="C5093"/>
      <c r="D5093"/>
      <c r="E5093"/>
      <c r="F5093"/>
      <c r="G5093"/>
      <c r="U5093"/>
      <c r="V5093"/>
      <c r="W5093"/>
      <c r="X5093"/>
      <c r="Y5093"/>
      <c r="Z5093"/>
      <c r="AA5093"/>
      <c r="AB5093"/>
      <c r="AL5093"/>
      <c r="AM5093"/>
      <c r="AN5093"/>
      <c r="AO5093"/>
    </row>
    <row r="5094" spans="1:41" s="2" customFormat="1" x14ac:dyDescent="0.2">
      <c r="A5094"/>
      <c r="B5094"/>
      <c r="C5094"/>
      <c r="D5094"/>
      <c r="E5094"/>
      <c r="F5094"/>
      <c r="G5094"/>
      <c r="U5094"/>
      <c r="V5094"/>
      <c r="W5094"/>
      <c r="X5094"/>
      <c r="Y5094"/>
      <c r="Z5094"/>
      <c r="AA5094"/>
      <c r="AB5094"/>
      <c r="AL5094"/>
      <c r="AM5094"/>
      <c r="AN5094"/>
      <c r="AO5094"/>
    </row>
    <row r="5095" spans="1:41" s="2" customFormat="1" x14ac:dyDescent="0.2">
      <c r="A5095"/>
      <c r="B5095"/>
      <c r="C5095"/>
      <c r="D5095"/>
      <c r="E5095"/>
      <c r="F5095"/>
      <c r="G5095"/>
      <c r="U5095"/>
      <c r="V5095"/>
      <c r="W5095"/>
      <c r="X5095"/>
      <c r="Y5095"/>
      <c r="Z5095"/>
      <c r="AA5095"/>
      <c r="AB5095"/>
      <c r="AL5095"/>
      <c r="AM5095"/>
      <c r="AN5095"/>
      <c r="AO5095"/>
    </row>
    <row r="5096" spans="1:41" s="2" customFormat="1" x14ac:dyDescent="0.2">
      <c r="A5096"/>
      <c r="B5096"/>
      <c r="C5096"/>
      <c r="D5096"/>
      <c r="E5096"/>
      <c r="F5096"/>
      <c r="G5096"/>
      <c r="U5096"/>
      <c r="V5096"/>
      <c r="W5096"/>
      <c r="X5096"/>
      <c r="Y5096"/>
      <c r="Z5096"/>
      <c r="AA5096"/>
      <c r="AB5096"/>
      <c r="AL5096"/>
      <c r="AM5096"/>
      <c r="AN5096"/>
      <c r="AO5096"/>
    </row>
    <row r="5097" spans="1:41" s="2" customFormat="1" x14ac:dyDescent="0.2">
      <c r="A5097"/>
      <c r="B5097"/>
      <c r="C5097"/>
      <c r="D5097"/>
      <c r="E5097"/>
      <c r="F5097"/>
      <c r="G5097"/>
      <c r="U5097"/>
      <c r="V5097"/>
      <c r="W5097"/>
      <c r="X5097"/>
      <c r="Y5097"/>
      <c r="Z5097"/>
      <c r="AA5097"/>
      <c r="AB5097"/>
      <c r="AL5097"/>
      <c r="AM5097"/>
      <c r="AN5097"/>
      <c r="AO5097"/>
    </row>
    <row r="5098" spans="1:41" s="2" customFormat="1" x14ac:dyDescent="0.2">
      <c r="A5098"/>
      <c r="B5098"/>
      <c r="C5098"/>
      <c r="D5098"/>
      <c r="E5098"/>
      <c r="F5098"/>
      <c r="G5098"/>
      <c r="U5098"/>
      <c r="V5098"/>
      <c r="W5098"/>
      <c r="X5098"/>
      <c r="Y5098"/>
      <c r="Z5098"/>
      <c r="AA5098"/>
      <c r="AB5098"/>
      <c r="AL5098"/>
      <c r="AM5098"/>
      <c r="AN5098"/>
      <c r="AO5098"/>
    </row>
    <row r="5099" spans="1:41" s="2" customFormat="1" x14ac:dyDescent="0.2">
      <c r="A5099"/>
      <c r="B5099"/>
      <c r="C5099"/>
      <c r="D5099"/>
      <c r="E5099"/>
      <c r="F5099"/>
      <c r="G5099"/>
      <c r="U5099"/>
      <c r="V5099"/>
      <c r="W5099"/>
      <c r="X5099"/>
      <c r="Y5099"/>
      <c r="Z5099"/>
      <c r="AA5099"/>
      <c r="AB5099"/>
      <c r="AL5099"/>
      <c r="AM5099"/>
      <c r="AN5099"/>
      <c r="AO5099"/>
    </row>
    <row r="5100" spans="1:41" s="2" customFormat="1" x14ac:dyDescent="0.2">
      <c r="A5100"/>
      <c r="B5100"/>
      <c r="C5100"/>
      <c r="D5100"/>
      <c r="E5100"/>
      <c r="F5100"/>
      <c r="G5100"/>
      <c r="U5100"/>
      <c r="V5100"/>
      <c r="W5100"/>
      <c r="X5100"/>
      <c r="Y5100"/>
      <c r="Z5100"/>
      <c r="AA5100"/>
      <c r="AB5100"/>
      <c r="AL5100"/>
      <c r="AM5100"/>
      <c r="AN5100"/>
      <c r="AO5100"/>
    </row>
    <row r="5101" spans="1:41" s="2" customFormat="1" x14ac:dyDescent="0.2">
      <c r="A5101"/>
      <c r="B5101"/>
      <c r="C5101"/>
      <c r="D5101"/>
      <c r="E5101"/>
      <c r="F5101"/>
      <c r="G5101"/>
      <c r="U5101"/>
      <c r="V5101"/>
      <c r="W5101"/>
      <c r="X5101"/>
      <c r="Y5101"/>
      <c r="Z5101"/>
      <c r="AA5101"/>
      <c r="AB5101"/>
      <c r="AL5101"/>
      <c r="AM5101"/>
      <c r="AN5101"/>
      <c r="AO5101"/>
    </row>
    <row r="5102" spans="1:41" s="2" customFormat="1" x14ac:dyDescent="0.2">
      <c r="A5102"/>
      <c r="B5102"/>
      <c r="C5102"/>
      <c r="D5102"/>
      <c r="E5102"/>
      <c r="F5102"/>
      <c r="G5102"/>
      <c r="U5102"/>
      <c r="V5102"/>
      <c r="W5102"/>
      <c r="X5102"/>
      <c r="Y5102"/>
      <c r="Z5102"/>
      <c r="AA5102"/>
      <c r="AB5102"/>
      <c r="AL5102"/>
      <c r="AM5102"/>
      <c r="AN5102"/>
      <c r="AO5102"/>
    </row>
    <row r="5103" spans="1:41" s="2" customFormat="1" x14ac:dyDescent="0.2">
      <c r="A5103"/>
      <c r="B5103"/>
      <c r="C5103"/>
      <c r="D5103"/>
      <c r="E5103"/>
      <c r="F5103"/>
      <c r="G5103"/>
      <c r="U5103"/>
      <c r="V5103"/>
      <c r="W5103"/>
      <c r="X5103"/>
      <c r="Y5103"/>
      <c r="Z5103"/>
      <c r="AA5103"/>
      <c r="AB5103"/>
      <c r="AL5103"/>
      <c r="AM5103"/>
      <c r="AN5103"/>
      <c r="AO5103"/>
    </row>
    <row r="5104" spans="1:41" s="2" customFormat="1" x14ac:dyDescent="0.2">
      <c r="A5104"/>
      <c r="B5104"/>
      <c r="C5104"/>
      <c r="D5104"/>
      <c r="E5104"/>
      <c r="F5104"/>
      <c r="G5104"/>
      <c r="U5104"/>
      <c r="V5104"/>
      <c r="W5104"/>
      <c r="X5104"/>
      <c r="Y5104"/>
      <c r="Z5104"/>
      <c r="AA5104"/>
      <c r="AB5104"/>
      <c r="AL5104"/>
      <c r="AM5104"/>
      <c r="AN5104"/>
      <c r="AO5104"/>
    </row>
    <row r="5105" spans="1:41" s="2" customFormat="1" x14ac:dyDescent="0.2">
      <c r="A5105"/>
      <c r="B5105"/>
      <c r="C5105"/>
      <c r="D5105"/>
      <c r="E5105"/>
      <c r="F5105"/>
      <c r="G5105"/>
      <c r="U5105"/>
      <c r="V5105"/>
      <c r="W5105"/>
      <c r="X5105"/>
      <c r="Y5105"/>
      <c r="Z5105"/>
      <c r="AA5105"/>
      <c r="AB5105"/>
      <c r="AL5105"/>
      <c r="AM5105"/>
      <c r="AN5105"/>
      <c r="AO5105"/>
    </row>
    <row r="5106" spans="1:41" s="2" customFormat="1" x14ac:dyDescent="0.2">
      <c r="A5106"/>
      <c r="B5106"/>
      <c r="C5106"/>
      <c r="D5106"/>
      <c r="E5106"/>
      <c r="F5106"/>
      <c r="G5106"/>
      <c r="U5106"/>
      <c r="V5106"/>
      <c r="W5106"/>
      <c r="X5106"/>
      <c r="Y5106"/>
      <c r="Z5106"/>
      <c r="AA5106"/>
      <c r="AB5106"/>
      <c r="AL5106"/>
      <c r="AM5106"/>
      <c r="AN5106"/>
      <c r="AO5106"/>
    </row>
    <row r="5107" spans="1:41" s="2" customFormat="1" x14ac:dyDescent="0.2">
      <c r="A5107"/>
      <c r="B5107"/>
      <c r="C5107"/>
      <c r="D5107"/>
      <c r="E5107"/>
      <c r="F5107"/>
      <c r="G5107"/>
      <c r="U5107"/>
      <c r="V5107"/>
      <c r="W5107"/>
      <c r="X5107"/>
      <c r="Y5107"/>
      <c r="Z5107"/>
      <c r="AA5107"/>
      <c r="AB5107"/>
      <c r="AL5107"/>
      <c r="AM5107"/>
      <c r="AN5107"/>
      <c r="AO5107"/>
    </row>
    <row r="5108" spans="1:41" s="2" customFormat="1" x14ac:dyDescent="0.2">
      <c r="A5108"/>
      <c r="B5108"/>
      <c r="C5108"/>
      <c r="D5108"/>
      <c r="E5108"/>
      <c r="F5108"/>
      <c r="G5108"/>
      <c r="U5108"/>
      <c r="V5108"/>
      <c r="W5108"/>
      <c r="X5108"/>
      <c r="Y5108"/>
      <c r="Z5108"/>
      <c r="AA5108"/>
      <c r="AB5108"/>
      <c r="AL5108"/>
      <c r="AM5108"/>
      <c r="AN5108"/>
      <c r="AO5108"/>
    </row>
    <row r="5109" spans="1:41" s="2" customFormat="1" x14ac:dyDescent="0.2">
      <c r="A5109"/>
      <c r="B5109"/>
      <c r="C5109"/>
      <c r="D5109"/>
      <c r="E5109"/>
      <c r="F5109"/>
      <c r="G5109"/>
      <c r="U5109"/>
      <c r="V5109"/>
      <c r="W5109"/>
      <c r="X5109"/>
      <c r="Y5109"/>
      <c r="Z5109"/>
      <c r="AA5109"/>
      <c r="AB5109"/>
      <c r="AL5109"/>
      <c r="AM5109"/>
      <c r="AN5109"/>
      <c r="AO5109"/>
    </row>
    <row r="5110" spans="1:41" s="2" customFormat="1" x14ac:dyDescent="0.2">
      <c r="A5110"/>
      <c r="B5110"/>
      <c r="C5110"/>
      <c r="D5110"/>
      <c r="E5110"/>
      <c r="F5110"/>
      <c r="G5110"/>
      <c r="U5110"/>
      <c r="V5110"/>
      <c r="W5110"/>
      <c r="X5110"/>
      <c r="Y5110"/>
      <c r="Z5110"/>
      <c r="AA5110"/>
      <c r="AB5110"/>
      <c r="AL5110"/>
      <c r="AM5110"/>
      <c r="AN5110"/>
      <c r="AO5110"/>
    </row>
    <row r="5111" spans="1:41" s="2" customFormat="1" x14ac:dyDescent="0.2">
      <c r="A5111"/>
      <c r="B5111"/>
      <c r="C5111"/>
      <c r="D5111"/>
      <c r="E5111"/>
      <c r="F5111"/>
      <c r="G5111"/>
      <c r="U5111"/>
      <c r="V5111"/>
      <c r="W5111"/>
      <c r="X5111"/>
      <c r="Y5111"/>
      <c r="Z5111"/>
      <c r="AA5111"/>
      <c r="AB5111"/>
      <c r="AL5111"/>
      <c r="AM5111"/>
      <c r="AN5111"/>
      <c r="AO5111"/>
    </row>
    <row r="5112" spans="1:41" s="2" customFormat="1" x14ac:dyDescent="0.2">
      <c r="A5112"/>
      <c r="B5112"/>
      <c r="C5112"/>
      <c r="D5112"/>
      <c r="E5112"/>
      <c r="F5112"/>
      <c r="G5112"/>
      <c r="U5112"/>
      <c r="V5112"/>
      <c r="W5112"/>
      <c r="X5112"/>
      <c r="Y5112"/>
      <c r="Z5112"/>
      <c r="AA5112"/>
      <c r="AB5112"/>
      <c r="AL5112"/>
      <c r="AM5112"/>
      <c r="AN5112"/>
      <c r="AO5112"/>
    </row>
    <row r="5113" spans="1:41" s="2" customFormat="1" x14ac:dyDescent="0.2">
      <c r="A5113"/>
      <c r="B5113"/>
      <c r="C5113"/>
      <c r="D5113"/>
      <c r="E5113"/>
      <c r="F5113"/>
      <c r="G5113"/>
      <c r="U5113"/>
      <c r="V5113"/>
      <c r="W5113"/>
      <c r="X5113"/>
      <c r="Y5113"/>
      <c r="Z5113"/>
      <c r="AA5113"/>
      <c r="AB5113"/>
      <c r="AL5113"/>
      <c r="AM5113"/>
      <c r="AN5113"/>
      <c r="AO5113"/>
    </row>
    <row r="5114" spans="1:41" s="2" customFormat="1" x14ac:dyDescent="0.2">
      <c r="A5114"/>
      <c r="B5114"/>
      <c r="C5114"/>
      <c r="D5114"/>
      <c r="E5114"/>
      <c r="F5114"/>
      <c r="G5114"/>
      <c r="U5114"/>
      <c r="V5114"/>
      <c r="W5114"/>
      <c r="X5114"/>
      <c r="Y5114"/>
      <c r="Z5114"/>
      <c r="AA5114"/>
      <c r="AB5114"/>
      <c r="AL5114"/>
      <c r="AM5114"/>
      <c r="AN5114"/>
      <c r="AO5114"/>
    </row>
    <row r="5115" spans="1:41" s="2" customFormat="1" x14ac:dyDescent="0.2">
      <c r="A5115"/>
      <c r="B5115"/>
      <c r="C5115"/>
      <c r="D5115"/>
      <c r="E5115"/>
      <c r="F5115"/>
      <c r="G5115"/>
      <c r="U5115"/>
      <c r="V5115"/>
      <c r="W5115"/>
      <c r="X5115"/>
      <c r="Y5115"/>
      <c r="Z5115"/>
      <c r="AA5115"/>
      <c r="AB5115"/>
      <c r="AL5115"/>
      <c r="AM5115"/>
      <c r="AN5115"/>
      <c r="AO5115"/>
    </row>
    <row r="5116" spans="1:41" s="2" customFormat="1" x14ac:dyDescent="0.2">
      <c r="A5116"/>
      <c r="B5116"/>
      <c r="C5116"/>
      <c r="D5116"/>
      <c r="E5116"/>
      <c r="F5116"/>
      <c r="G5116"/>
      <c r="U5116"/>
      <c r="V5116"/>
      <c r="W5116"/>
      <c r="X5116"/>
      <c r="Y5116"/>
      <c r="Z5116"/>
      <c r="AA5116"/>
      <c r="AB5116"/>
      <c r="AL5116"/>
      <c r="AM5116"/>
      <c r="AN5116"/>
      <c r="AO5116"/>
    </row>
    <row r="5117" spans="1:41" s="2" customFormat="1" x14ac:dyDescent="0.2">
      <c r="A5117"/>
      <c r="B5117"/>
      <c r="C5117"/>
      <c r="D5117"/>
      <c r="E5117"/>
      <c r="F5117"/>
      <c r="G5117"/>
      <c r="U5117"/>
      <c r="V5117"/>
      <c r="W5117"/>
      <c r="X5117"/>
      <c r="Y5117"/>
      <c r="Z5117"/>
      <c r="AA5117"/>
      <c r="AB5117"/>
      <c r="AL5117"/>
      <c r="AM5117"/>
      <c r="AN5117"/>
      <c r="AO5117"/>
    </row>
    <row r="5118" spans="1:41" s="2" customFormat="1" x14ac:dyDescent="0.2">
      <c r="A5118"/>
      <c r="B5118"/>
      <c r="C5118"/>
      <c r="D5118"/>
      <c r="E5118"/>
      <c r="F5118"/>
      <c r="G5118"/>
      <c r="U5118"/>
      <c r="V5118"/>
      <c r="W5118"/>
      <c r="X5118"/>
      <c r="Y5118"/>
      <c r="Z5118"/>
      <c r="AA5118"/>
      <c r="AB5118"/>
      <c r="AL5118"/>
      <c r="AM5118"/>
      <c r="AN5118"/>
      <c r="AO5118"/>
    </row>
    <row r="5119" spans="1:41" s="2" customFormat="1" x14ac:dyDescent="0.2">
      <c r="A5119"/>
      <c r="B5119"/>
      <c r="C5119"/>
      <c r="D5119"/>
      <c r="E5119"/>
      <c r="F5119"/>
      <c r="G5119"/>
      <c r="U5119"/>
      <c r="V5119"/>
      <c r="W5119"/>
      <c r="X5119"/>
      <c r="Y5119"/>
      <c r="Z5119"/>
      <c r="AA5119"/>
      <c r="AB5119"/>
      <c r="AL5119"/>
      <c r="AM5119"/>
      <c r="AN5119"/>
      <c r="AO5119"/>
    </row>
    <row r="5120" spans="1:41" s="2" customFormat="1" x14ac:dyDescent="0.2">
      <c r="A5120"/>
      <c r="B5120"/>
      <c r="C5120"/>
      <c r="D5120"/>
      <c r="E5120"/>
      <c r="F5120"/>
      <c r="G5120"/>
      <c r="U5120"/>
      <c r="V5120"/>
      <c r="W5120"/>
      <c r="X5120"/>
      <c r="Y5120"/>
      <c r="Z5120"/>
      <c r="AA5120"/>
      <c r="AB5120"/>
      <c r="AL5120"/>
      <c r="AM5120"/>
      <c r="AN5120"/>
      <c r="AO5120"/>
    </row>
    <row r="5121" spans="1:41" s="2" customFormat="1" x14ac:dyDescent="0.2">
      <c r="A5121"/>
      <c r="B5121"/>
      <c r="C5121"/>
      <c r="D5121"/>
      <c r="E5121"/>
      <c r="F5121"/>
      <c r="G5121"/>
      <c r="U5121"/>
      <c r="V5121"/>
      <c r="W5121"/>
      <c r="X5121"/>
      <c r="Y5121"/>
      <c r="Z5121"/>
      <c r="AA5121"/>
      <c r="AB5121"/>
      <c r="AL5121"/>
      <c r="AM5121"/>
      <c r="AN5121"/>
      <c r="AO5121"/>
    </row>
    <row r="5122" spans="1:41" s="2" customFormat="1" x14ac:dyDescent="0.2">
      <c r="A5122"/>
      <c r="B5122"/>
      <c r="C5122"/>
      <c r="D5122"/>
      <c r="E5122"/>
      <c r="F5122"/>
      <c r="G5122"/>
      <c r="U5122"/>
      <c r="V5122"/>
      <c r="W5122"/>
      <c r="X5122"/>
      <c r="Y5122"/>
      <c r="Z5122"/>
      <c r="AA5122"/>
      <c r="AB5122"/>
      <c r="AL5122"/>
      <c r="AM5122"/>
      <c r="AN5122"/>
      <c r="AO5122"/>
    </row>
    <row r="5123" spans="1:41" s="2" customFormat="1" x14ac:dyDescent="0.2">
      <c r="A5123"/>
      <c r="B5123"/>
      <c r="C5123"/>
      <c r="D5123"/>
      <c r="E5123"/>
      <c r="F5123"/>
      <c r="G5123"/>
      <c r="U5123"/>
      <c r="V5123"/>
      <c r="W5123"/>
      <c r="X5123"/>
      <c r="Y5123"/>
      <c r="Z5123"/>
      <c r="AA5123"/>
      <c r="AB5123"/>
      <c r="AL5123"/>
      <c r="AM5123"/>
      <c r="AN5123"/>
      <c r="AO5123"/>
    </row>
    <row r="5124" spans="1:41" s="2" customFormat="1" x14ac:dyDescent="0.2">
      <c r="A5124"/>
      <c r="B5124"/>
      <c r="C5124"/>
      <c r="D5124"/>
      <c r="E5124"/>
      <c r="F5124"/>
      <c r="G5124"/>
      <c r="U5124"/>
      <c r="V5124"/>
      <c r="W5124"/>
      <c r="X5124"/>
      <c r="Y5124"/>
      <c r="Z5124"/>
      <c r="AA5124"/>
      <c r="AB5124"/>
      <c r="AL5124"/>
      <c r="AM5124"/>
      <c r="AN5124"/>
      <c r="AO5124"/>
    </row>
    <row r="5125" spans="1:41" s="2" customFormat="1" x14ac:dyDescent="0.2">
      <c r="A5125"/>
      <c r="B5125"/>
      <c r="C5125"/>
      <c r="D5125"/>
      <c r="E5125"/>
      <c r="F5125"/>
      <c r="G5125"/>
      <c r="U5125"/>
      <c r="V5125"/>
      <c r="W5125"/>
      <c r="X5125"/>
      <c r="Y5125"/>
      <c r="Z5125"/>
      <c r="AA5125"/>
      <c r="AB5125"/>
      <c r="AL5125"/>
      <c r="AM5125"/>
      <c r="AN5125"/>
      <c r="AO5125"/>
    </row>
    <row r="5126" spans="1:41" s="2" customFormat="1" x14ac:dyDescent="0.2">
      <c r="A5126"/>
      <c r="B5126"/>
      <c r="C5126"/>
      <c r="D5126"/>
      <c r="E5126"/>
      <c r="F5126"/>
      <c r="G5126"/>
      <c r="U5126"/>
      <c r="V5126"/>
      <c r="W5126"/>
      <c r="X5126"/>
      <c r="Y5126"/>
      <c r="Z5126"/>
      <c r="AA5126"/>
      <c r="AB5126"/>
      <c r="AL5126"/>
      <c r="AM5126"/>
      <c r="AN5126"/>
      <c r="AO5126"/>
    </row>
    <row r="5127" spans="1:41" s="2" customFormat="1" x14ac:dyDescent="0.2">
      <c r="A5127"/>
      <c r="B5127"/>
      <c r="C5127"/>
      <c r="D5127"/>
      <c r="E5127"/>
      <c r="F5127"/>
      <c r="G5127"/>
      <c r="U5127"/>
      <c r="V5127"/>
      <c r="W5127"/>
      <c r="X5127"/>
      <c r="Y5127"/>
      <c r="Z5127"/>
      <c r="AA5127"/>
      <c r="AB5127"/>
      <c r="AL5127"/>
      <c r="AM5127"/>
      <c r="AN5127"/>
      <c r="AO5127"/>
    </row>
    <row r="5128" spans="1:41" s="2" customFormat="1" x14ac:dyDescent="0.2">
      <c r="A5128"/>
      <c r="B5128"/>
      <c r="C5128"/>
      <c r="D5128"/>
      <c r="E5128"/>
      <c r="F5128"/>
      <c r="G5128"/>
      <c r="U5128"/>
      <c r="V5128"/>
      <c r="W5128"/>
      <c r="X5128"/>
      <c r="Y5128"/>
      <c r="Z5128"/>
      <c r="AA5128"/>
      <c r="AB5128"/>
      <c r="AL5128"/>
      <c r="AM5128"/>
      <c r="AN5128"/>
      <c r="AO5128"/>
    </row>
    <row r="5129" spans="1:41" s="2" customFormat="1" x14ac:dyDescent="0.2">
      <c r="A5129"/>
      <c r="B5129"/>
      <c r="C5129"/>
      <c r="D5129"/>
      <c r="E5129"/>
      <c r="F5129"/>
      <c r="G5129"/>
      <c r="U5129"/>
      <c r="V5129"/>
      <c r="W5129"/>
      <c r="X5129"/>
      <c r="Y5129"/>
      <c r="Z5129"/>
      <c r="AA5129"/>
      <c r="AB5129"/>
      <c r="AL5129"/>
      <c r="AM5129"/>
      <c r="AN5129"/>
      <c r="AO5129"/>
    </row>
    <row r="5130" spans="1:41" s="2" customFormat="1" x14ac:dyDescent="0.2">
      <c r="A5130"/>
      <c r="B5130"/>
      <c r="C5130"/>
      <c r="D5130"/>
      <c r="E5130"/>
      <c r="F5130"/>
      <c r="G5130"/>
      <c r="U5130"/>
      <c r="V5130"/>
      <c r="W5130"/>
      <c r="X5130"/>
      <c r="Y5130"/>
      <c r="Z5130"/>
      <c r="AA5130"/>
      <c r="AB5130"/>
      <c r="AL5130"/>
      <c r="AM5130"/>
      <c r="AN5130"/>
      <c r="AO5130"/>
    </row>
    <row r="5131" spans="1:41" s="2" customFormat="1" x14ac:dyDescent="0.2">
      <c r="A5131"/>
      <c r="B5131"/>
      <c r="C5131"/>
      <c r="D5131"/>
      <c r="E5131"/>
      <c r="F5131"/>
      <c r="G5131"/>
      <c r="U5131"/>
      <c r="V5131"/>
      <c r="W5131"/>
      <c r="X5131"/>
      <c r="Y5131"/>
      <c r="Z5131"/>
      <c r="AA5131"/>
      <c r="AB5131"/>
      <c r="AL5131"/>
      <c r="AM5131"/>
      <c r="AN5131"/>
      <c r="AO5131"/>
    </row>
    <row r="5132" spans="1:41" s="2" customFormat="1" x14ac:dyDescent="0.2">
      <c r="A5132"/>
      <c r="B5132"/>
      <c r="C5132"/>
      <c r="D5132"/>
      <c r="E5132"/>
      <c r="F5132"/>
      <c r="G5132"/>
      <c r="U5132"/>
      <c r="V5132"/>
      <c r="W5132"/>
      <c r="X5132"/>
      <c r="Y5132"/>
      <c r="Z5132"/>
      <c r="AA5132"/>
      <c r="AB5132"/>
      <c r="AL5132"/>
      <c r="AM5132"/>
      <c r="AN5132"/>
      <c r="AO5132"/>
    </row>
    <row r="5133" spans="1:41" s="2" customFormat="1" x14ac:dyDescent="0.2">
      <c r="A5133"/>
      <c r="B5133"/>
      <c r="C5133"/>
      <c r="D5133"/>
      <c r="E5133"/>
      <c r="F5133"/>
      <c r="G5133"/>
      <c r="U5133"/>
      <c r="V5133"/>
      <c r="W5133"/>
      <c r="X5133"/>
      <c r="Y5133"/>
      <c r="Z5133"/>
      <c r="AA5133"/>
      <c r="AB5133"/>
      <c r="AL5133"/>
      <c r="AM5133"/>
      <c r="AN5133"/>
      <c r="AO5133"/>
    </row>
    <row r="5134" spans="1:41" s="2" customFormat="1" x14ac:dyDescent="0.2">
      <c r="A5134"/>
      <c r="B5134"/>
      <c r="C5134"/>
      <c r="D5134"/>
      <c r="E5134"/>
      <c r="F5134"/>
      <c r="G5134"/>
      <c r="U5134"/>
      <c r="V5134"/>
      <c r="W5134"/>
      <c r="X5134"/>
      <c r="Y5134"/>
      <c r="Z5134"/>
      <c r="AA5134"/>
      <c r="AB5134"/>
      <c r="AL5134"/>
      <c r="AM5134"/>
      <c r="AN5134"/>
      <c r="AO5134"/>
    </row>
    <row r="5135" spans="1:41" s="2" customFormat="1" x14ac:dyDescent="0.2">
      <c r="A5135"/>
      <c r="B5135"/>
      <c r="C5135"/>
      <c r="D5135"/>
      <c r="E5135"/>
      <c r="F5135"/>
      <c r="G5135"/>
      <c r="U5135"/>
      <c r="V5135"/>
      <c r="W5135"/>
      <c r="X5135"/>
      <c r="Y5135"/>
      <c r="Z5135"/>
      <c r="AA5135"/>
      <c r="AB5135"/>
      <c r="AL5135"/>
      <c r="AM5135"/>
      <c r="AN5135"/>
      <c r="AO5135"/>
    </row>
    <row r="5136" spans="1:41" s="2" customFormat="1" x14ac:dyDescent="0.2">
      <c r="A5136"/>
      <c r="B5136"/>
      <c r="C5136"/>
      <c r="D5136"/>
      <c r="E5136"/>
      <c r="F5136"/>
      <c r="G5136"/>
      <c r="U5136"/>
      <c r="V5136"/>
      <c r="W5136"/>
      <c r="X5136"/>
      <c r="Y5136"/>
      <c r="Z5136"/>
      <c r="AA5136"/>
      <c r="AB5136"/>
      <c r="AL5136"/>
      <c r="AM5136"/>
      <c r="AN5136"/>
      <c r="AO5136"/>
    </row>
    <row r="5137" spans="1:41" s="2" customFormat="1" x14ac:dyDescent="0.2">
      <c r="A5137"/>
      <c r="B5137"/>
      <c r="C5137"/>
      <c r="D5137"/>
      <c r="E5137"/>
      <c r="F5137"/>
      <c r="G5137"/>
      <c r="U5137"/>
      <c r="V5137"/>
      <c r="W5137"/>
      <c r="X5137"/>
      <c r="Y5137"/>
      <c r="Z5137"/>
      <c r="AA5137"/>
      <c r="AB5137"/>
      <c r="AL5137"/>
      <c r="AM5137"/>
      <c r="AN5137"/>
      <c r="AO5137"/>
    </row>
    <row r="5138" spans="1:41" s="2" customFormat="1" x14ac:dyDescent="0.2">
      <c r="A5138"/>
      <c r="B5138"/>
      <c r="C5138"/>
      <c r="D5138"/>
      <c r="E5138"/>
      <c r="F5138"/>
      <c r="G5138"/>
      <c r="U5138"/>
      <c r="V5138"/>
      <c r="W5138"/>
      <c r="X5138"/>
      <c r="Y5138"/>
      <c r="Z5138"/>
      <c r="AA5138"/>
      <c r="AB5138"/>
      <c r="AL5138"/>
      <c r="AM5138"/>
      <c r="AN5138"/>
      <c r="AO5138"/>
    </row>
    <row r="5139" spans="1:41" s="2" customFormat="1" x14ac:dyDescent="0.2">
      <c r="A5139"/>
      <c r="B5139"/>
      <c r="C5139"/>
      <c r="D5139"/>
      <c r="E5139"/>
      <c r="F5139"/>
      <c r="G5139"/>
      <c r="U5139"/>
      <c r="V5139"/>
      <c r="W5139"/>
      <c r="X5139"/>
      <c r="Y5139"/>
      <c r="Z5139"/>
      <c r="AA5139"/>
      <c r="AB5139"/>
      <c r="AL5139"/>
      <c r="AM5139"/>
      <c r="AN5139"/>
      <c r="AO5139"/>
    </row>
    <row r="5140" spans="1:41" s="2" customFormat="1" x14ac:dyDescent="0.2">
      <c r="A5140"/>
      <c r="B5140"/>
      <c r="C5140"/>
      <c r="D5140"/>
      <c r="E5140"/>
      <c r="F5140"/>
      <c r="G5140"/>
      <c r="U5140"/>
      <c r="V5140"/>
      <c r="W5140"/>
      <c r="X5140"/>
      <c r="Y5140"/>
      <c r="Z5140"/>
      <c r="AA5140"/>
      <c r="AB5140"/>
      <c r="AL5140"/>
      <c r="AM5140"/>
      <c r="AN5140"/>
      <c r="AO5140"/>
    </row>
    <row r="5141" spans="1:41" s="2" customFormat="1" x14ac:dyDescent="0.2">
      <c r="A5141"/>
      <c r="B5141"/>
      <c r="C5141"/>
      <c r="D5141"/>
      <c r="E5141"/>
      <c r="F5141"/>
      <c r="G5141"/>
      <c r="U5141"/>
      <c r="V5141"/>
      <c r="W5141"/>
      <c r="X5141"/>
      <c r="Y5141"/>
      <c r="Z5141"/>
      <c r="AA5141"/>
      <c r="AB5141"/>
      <c r="AL5141"/>
      <c r="AM5141"/>
      <c r="AN5141"/>
      <c r="AO5141"/>
    </row>
    <row r="5142" spans="1:41" s="2" customFormat="1" x14ac:dyDescent="0.2">
      <c r="A5142"/>
      <c r="B5142"/>
      <c r="C5142"/>
      <c r="D5142"/>
      <c r="E5142"/>
      <c r="F5142"/>
      <c r="G5142"/>
      <c r="U5142"/>
      <c r="V5142"/>
      <c r="W5142"/>
      <c r="X5142"/>
      <c r="Y5142"/>
      <c r="Z5142"/>
      <c r="AA5142"/>
      <c r="AB5142"/>
      <c r="AL5142"/>
      <c r="AM5142"/>
      <c r="AN5142"/>
      <c r="AO5142"/>
    </row>
    <row r="5143" spans="1:41" s="2" customFormat="1" x14ac:dyDescent="0.2">
      <c r="A5143"/>
      <c r="B5143"/>
      <c r="C5143"/>
      <c r="D5143"/>
      <c r="E5143"/>
      <c r="F5143"/>
      <c r="G5143"/>
      <c r="U5143"/>
      <c r="V5143"/>
      <c r="W5143"/>
      <c r="X5143"/>
      <c r="Y5143"/>
      <c r="Z5143"/>
      <c r="AA5143"/>
      <c r="AB5143"/>
      <c r="AL5143"/>
      <c r="AM5143"/>
      <c r="AN5143"/>
      <c r="AO5143"/>
    </row>
    <row r="5144" spans="1:41" s="2" customFormat="1" x14ac:dyDescent="0.2">
      <c r="A5144"/>
      <c r="B5144"/>
      <c r="C5144"/>
      <c r="D5144"/>
      <c r="E5144"/>
      <c r="F5144"/>
      <c r="G5144"/>
      <c r="U5144"/>
      <c r="V5144"/>
      <c r="W5144"/>
      <c r="X5144"/>
      <c r="Y5144"/>
      <c r="Z5144"/>
      <c r="AA5144"/>
      <c r="AB5144"/>
      <c r="AL5144"/>
      <c r="AM5144"/>
      <c r="AN5144"/>
      <c r="AO5144"/>
    </row>
    <row r="5145" spans="1:41" s="2" customFormat="1" x14ac:dyDescent="0.2">
      <c r="A5145"/>
      <c r="B5145"/>
      <c r="C5145"/>
      <c r="D5145"/>
      <c r="E5145"/>
      <c r="F5145"/>
      <c r="G5145"/>
      <c r="U5145"/>
      <c r="V5145"/>
      <c r="W5145"/>
      <c r="X5145"/>
      <c r="Y5145"/>
      <c r="Z5145"/>
      <c r="AA5145"/>
      <c r="AB5145"/>
      <c r="AL5145"/>
      <c r="AM5145"/>
      <c r="AN5145"/>
      <c r="AO5145"/>
    </row>
    <row r="5146" spans="1:41" s="2" customFormat="1" x14ac:dyDescent="0.2">
      <c r="A5146"/>
      <c r="B5146"/>
      <c r="C5146"/>
      <c r="D5146"/>
      <c r="E5146"/>
      <c r="F5146"/>
      <c r="G5146"/>
      <c r="U5146"/>
      <c r="V5146"/>
      <c r="W5146"/>
      <c r="X5146"/>
      <c r="Y5146"/>
      <c r="Z5146"/>
      <c r="AA5146"/>
      <c r="AB5146"/>
      <c r="AL5146"/>
      <c r="AM5146"/>
      <c r="AN5146"/>
      <c r="AO5146"/>
    </row>
    <row r="5147" spans="1:41" s="2" customFormat="1" x14ac:dyDescent="0.2">
      <c r="A5147"/>
      <c r="B5147"/>
      <c r="C5147"/>
      <c r="D5147"/>
      <c r="E5147"/>
      <c r="F5147"/>
      <c r="G5147"/>
      <c r="U5147"/>
      <c r="V5147"/>
      <c r="W5147"/>
      <c r="X5147"/>
      <c r="Y5147"/>
      <c r="Z5147"/>
      <c r="AA5147"/>
      <c r="AB5147"/>
      <c r="AL5147"/>
      <c r="AM5147"/>
      <c r="AN5147"/>
      <c r="AO5147"/>
    </row>
    <row r="5148" spans="1:41" s="2" customFormat="1" x14ac:dyDescent="0.2">
      <c r="A5148"/>
      <c r="B5148"/>
      <c r="C5148"/>
      <c r="D5148"/>
      <c r="E5148"/>
      <c r="F5148"/>
      <c r="G5148"/>
      <c r="U5148"/>
      <c r="V5148"/>
      <c r="W5148"/>
      <c r="X5148"/>
      <c r="Y5148"/>
      <c r="Z5148"/>
      <c r="AA5148"/>
      <c r="AB5148"/>
      <c r="AL5148"/>
      <c r="AM5148"/>
      <c r="AN5148"/>
      <c r="AO5148"/>
    </row>
    <row r="5149" spans="1:41" s="2" customFormat="1" x14ac:dyDescent="0.2">
      <c r="A5149"/>
      <c r="B5149"/>
      <c r="C5149"/>
      <c r="D5149"/>
      <c r="E5149"/>
      <c r="F5149"/>
      <c r="G5149"/>
      <c r="U5149"/>
      <c r="V5149"/>
      <c r="W5149"/>
      <c r="X5149"/>
      <c r="Y5149"/>
      <c r="Z5149"/>
      <c r="AA5149"/>
      <c r="AB5149"/>
      <c r="AL5149"/>
      <c r="AM5149"/>
      <c r="AN5149"/>
      <c r="AO5149"/>
    </row>
    <row r="5150" spans="1:41" s="2" customFormat="1" x14ac:dyDescent="0.2">
      <c r="A5150"/>
      <c r="B5150"/>
      <c r="C5150"/>
      <c r="D5150"/>
      <c r="E5150"/>
      <c r="F5150"/>
      <c r="G5150"/>
      <c r="U5150"/>
      <c r="V5150"/>
      <c r="W5150"/>
      <c r="X5150"/>
      <c r="Y5150"/>
      <c r="Z5150"/>
      <c r="AA5150"/>
      <c r="AB5150"/>
      <c r="AL5150"/>
      <c r="AM5150"/>
      <c r="AN5150"/>
      <c r="AO5150"/>
    </row>
    <row r="5151" spans="1:41" s="2" customFormat="1" x14ac:dyDescent="0.2">
      <c r="A5151"/>
      <c r="B5151"/>
      <c r="C5151"/>
      <c r="D5151"/>
      <c r="E5151"/>
      <c r="F5151"/>
      <c r="G5151"/>
      <c r="U5151"/>
      <c r="V5151"/>
      <c r="W5151"/>
      <c r="X5151"/>
      <c r="Y5151"/>
      <c r="Z5151"/>
      <c r="AA5151"/>
      <c r="AB5151"/>
      <c r="AL5151"/>
      <c r="AM5151"/>
      <c r="AN5151"/>
      <c r="AO5151"/>
    </row>
    <row r="5152" spans="1:41" s="2" customFormat="1" x14ac:dyDescent="0.2">
      <c r="A5152"/>
      <c r="B5152"/>
      <c r="C5152"/>
      <c r="D5152"/>
      <c r="E5152"/>
      <c r="F5152"/>
      <c r="G5152"/>
      <c r="U5152"/>
      <c r="V5152"/>
      <c r="W5152"/>
      <c r="X5152"/>
      <c r="Y5152"/>
      <c r="Z5152"/>
      <c r="AA5152"/>
      <c r="AB5152"/>
      <c r="AL5152"/>
      <c r="AM5152"/>
      <c r="AN5152"/>
      <c r="AO5152"/>
    </row>
    <row r="5153" spans="1:41" s="2" customFormat="1" x14ac:dyDescent="0.2">
      <c r="A5153"/>
      <c r="B5153"/>
      <c r="C5153"/>
      <c r="D5153"/>
      <c r="E5153"/>
      <c r="F5153"/>
      <c r="G5153"/>
      <c r="U5153"/>
      <c r="V5153"/>
      <c r="W5153"/>
      <c r="X5153"/>
      <c r="Y5153"/>
      <c r="Z5153"/>
      <c r="AA5153"/>
      <c r="AB5153"/>
      <c r="AL5153"/>
      <c r="AM5153"/>
      <c r="AN5153"/>
      <c r="AO5153"/>
    </row>
    <row r="5154" spans="1:41" s="2" customFormat="1" x14ac:dyDescent="0.2">
      <c r="A5154"/>
      <c r="B5154"/>
      <c r="C5154"/>
      <c r="D5154"/>
      <c r="E5154"/>
      <c r="F5154"/>
      <c r="G5154"/>
      <c r="U5154"/>
      <c r="V5154"/>
      <c r="W5154"/>
      <c r="X5154"/>
      <c r="Y5154"/>
      <c r="Z5154"/>
      <c r="AA5154"/>
      <c r="AB5154"/>
      <c r="AL5154"/>
      <c r="AM5154"/>
      <c r="AN5154"/>
      <c r="AO5154"/>
    </row>
    <row r="5155" spans="1:41" s="2" customFormat="1" x14ac:dyDescent="0.2">
      <c r="A5155"/>
      <c r="B5155"/>
      <c r="C5155"/>
      <c r="D5155"/>
      <c r="E5155"/>
      <c r="F5155"/>
      <c r="G5155"/>
      <c r="U5155"/>
      <c r="V5155"/>
      <c r="W5155"/>
      <c r="X5155"/>
      <c r="Y5155"/>
      <c r="Z5155"/>
      <c r="AA5155"/>
      <c r="AB5155"/>
      <c r="AL5155"/>
      <c r="AM5155"/>
      <c r="AN5155"/>
      <c r="AO5155"/>
    </row>
    <row r="5156" spans="1:41" s="2" customFormat="1" x14ac:dyDescent="0.2">
      <c r="A5156"/>
      <c r="B5156"/>
      <c r="C5156"/>
      <c r="D5156"/>
      <c r="E5156"/>
      <c r="F5156"/>
      <c r="G5156"/>
      <c r="U5156"/>
      <c r="V5156"/>
      <c r="W5156"/>
      <c r="X5156"/>
      <c r="Y5156"/>
      <c r="Z5156"/>
      <c r="AA5156"/>
      <c r="AB5156"/>
      <c r="AL5156"/>
      <c r="AM5156"/>
      <c r="AN5156"/>
      <c r="AO5156"/>
    </row>
    <row r="5157" spans="1:41" s="2" customFormat="1" x14ac:dyDescent="0.2">
      <c r="A5157"/>
      <c r="B5157"/>
      <c r="C5157"/>
      <c r="D5157"/>
      <c r="E5157"/>
      <c r="F5157"/>
      <c r="G5157"/>
      <c r="U5157"/>
      <c r="V5157"/>
      <c r="W5157"/>
      <c r="X5157"/>
      <c r="Y5157"/>
      <c r="Z5157"/>
      <c r="AA5157"/>
      <c r="AB5157"/>
      <c r="AL5157"/>
      <c r="AM5157"/>
      <c r="AN5157"/>
      <c r="AO5157"/>
    </row>
    <row r="5158" spans="1:41" s="2" customFormat="1" x14ac:dyDescent="0.2">
      <c r="A5158"/>
      <c r="B5158"/>
      <c r="C5158"/>
      <c r="D5158"/>
      <c r="E5158"/>
      <c r="F5158"/>
      <c r="G5158"/>
      <c r="U5158"/>
      <c r="V5158"/>
      <c r="W5158"/>
      <c r="X5158"/>
      <c r="Y5158"/>
      <c r="Z5158"/>
      <c r="AA5158"/>
      <c r="AB5158"/>
      <c r="AL5158"/>
      <c r="AM5158"/>
      <c r="AN5158"/>
      <c r="AO5158"/>
    </row>
    <row r="5159" spans="1:41" s="2" customFormat="1" x14ac:dyDescent="0.2">
      <c r="A5159"/>
      <c r="B5159"/>
      <c r="C5159"/>
      <c r="D5159"/>
      <c r="E5159"/>
      <c r="F5159"/>
      <c r="G5159"/>
      <c r="U5159"/>
      <c r="V5159"/>
      <c r="W5159"/>
      <c r="X5159"/>
      <c r="Y5159"/>
      <c r="Z5159"/>
      <c r="AA5159"/>
      <c r="AB5159"/>
      <c r="AL5159"/>
      <c r="AM5159"/>
      <c r="AN5159"/>
      <c r="AO5159"/>
    </row>
    <row r="5160" spans="1:41" s="2" customFormat="1" x14ac:dyDescent="0.2">
      <c r="A5160"/>
      <c r="B5160"/>
      <c r="C5160"/>
      <c r="D5160"/>
      <c r="E5160"/>
      <c r="F5160"/>
      <c r="G5160"/>
      <c r="U5160"/>
      <c r="V5160"/>
      <c r="W5160"/>
      <c r="X5160"/>
      <c r="Y5160"/>
      <c r="Z5160"/>
      <c r="AA5160"/>
      <c r="AB5160"/>
      <c r="AL5160"/>
      <c r="AM5160"/>
      <c r="AN5160"/>
      <c r="AO5160"/>
    </row>
    <row r="5161" spans="1:41" s="2" customFormat="1" x14ac:dyDescent="0.2">
      <c r="A5161"/>
      <c r="B5161"/>
      <c r="C5161"/>
      <c r="D5161"/>
      <c r="E5161"/>
      <c r="F5161"/>
      <c r="G5161"/>
      <c r="U5161"/>
      <c r="V5161"/>
      <c r="W5161"/>
      <c r="X5161"/>
      <c r="Y5161"/>
      <c r="Z5161"/>
      <c r="AA5161"/>
      <c r="AB5161"/>
      <c r="AL5161"/>
      <c r="AM5161"/>
      <c r="AN5161"/>
      <c r="AO5161"/>
    </row>
    <row r="5162" spans="1:41" s="2" customFormat="1" x14ac:dyDescent="0.2">
      <c r="A5162"/>
      <c r="B5162"/>
      <c r="C5162"/>
      <c r="D5162"/>
      <c r="E5162"/>
      <c r="F5162"/>
      <c r="G5162"/>
      <c r="U5162"/>
      <c r="V5162"/>
      <c r="W5162"/>
      <c r="X5162"/>
      <c r="Y5162"/>
      <c r="Z5162"/>
      <c r="AA5162"/>
      <c r="AB5162"/>
      <c r="AL5162"/>
      <c r="AM5162"/>
      <c r="AN5162"/>
      <c r="AO5162"/>
    </row>
    <row r="5163" spans="1:41" s="2" customFormat="1" x14ac:dyDescent="0.2">
      <c r="A5163"/>
      <c r="B5163"/>
      <c r="C5163"/>
      <c r="D5163"/>
      <c r="E5163"/>
      <c r="F5163"/>
      <c r="G5163"/>
      <c r="U5163"/>
      <c r="V5163"/>
      <c r="W5163"/>
      <c r="X5163"/>
      <c r="Y5163"/>
      <c r="Z5163"/>
      <c r="AA5163"/>
      <c r="AB5163"/>
      <c r="AL5163"/>
      <c r="AM5163"/>
      <c r="AN5163"/>
      <c r="AO5163"/>
    </row>
    <row r="5164" spans="1:41" s="2" customFormat="1" x14ac:dyDescent="0.2">
      <c r="A5164"/>
      <c r="B5164"/>
      <c r="C5164"/>
      <c r="D5164"/>
      <c r="E5164"/>
      <c r="F5164"/>
      <c r="G5164"/>
      <c r="U5164"/>
      <c r="V5164"/>
      <c r="W5164"/>
      <c r="X5164"/>
      <c r="Y5164"/>
      <c r="Z5164"/>
      <c r="AA5164"/>
      <c r="AB5164"/>
      <c r="AL5164"/>
      <c r="AM5164"/>
      <c r="AN5164"/>
      <c r="AO5164"/>
    </row>
    <row r="5165" spans="1:41" s="2" customFormat="1" x14ac:dyDescent="0.2">
      <c r="A5165"/>
      <c r="B5165"/>
      <c r="C5165"/>
      <c r="D5165"/>
      <c r="E5165"/>
      <c r="F5165"/>
      <c r="G5165"/>
      <c r="U5165"/>
      <c r="V5165"/>
      <c r="W5165"/>
      <c r="X5165"/>
      <c r="Y5165"/>
      <c r="Z5165"/>
      <c r="AA5165"/>
      <c r="AB5165"/>
      <c r="AL5165"/>
      <c r="AM5165"/>
      <c r="AN5165"/>
      <c r="AO5165"/>
    </row>
    <row r="5166" spans="1:41" s="2" customFormat="1" x14ac:dyDescent="0.2">
      <c r="A5166"/>
      <c r="B5166"/>
      <c r="C5166"/>
      <c r="D5166"/>
      <c r="E5166"/>
      <c r="F5166"/>
      <c r="G5166"/>
      <c r="U5166"/>
      <c r="V5166"/>
      <c r="W5166"/>
      <c r="X5166"/>
      <c r="Y5166"/>
      <c r="Z5166"/>
      <c r="AA5166"/>
      <c r="AB5166"/>
      <c r="AL5166"/>
      <c r="AM5166"/>
      <c r="AN5166"/>
      <c r="AO5166"/>
    </row>
    <row r="5167" spans="1:41" s="2" customFormat="1" x14ac:dyDescent="0.2">
      <c r="A5167"/>
      <c r="B5167"/>
      <c r="C5167"/>
      <c r="D5167"/>
      <c r="E5167"/>
      <c r="F5167"/>
      <c r="G5167"/>
      <c r="U5167"/>
      <c r="V5167"/>
      <c r="W5167"/>
      <c r="X5167"/>
      <c r="Y5167"/>
      <c r="Z5167"/>
      <c r="AA5167"/>
      <c r="AB5167"/>
      <c r="AL5167"/>
      <c r="AM5167"/>
      <c r="AN5167"/>
      <c r="AO5167"/>
    </row>
    <row r="5168" spans="1:41" s="2" customFormat="1" x14ac:dyDescent="0.2">
      <c r="A5168"/>
      <c r="B5168"/>
      <c r="C5168"/>
      <c r="D5168"/>
      <c r="E5168"/>
      <c r="F5168"/>
      <c r="G5168"/>
      <c r="U5168"/>
      <c r="V5168"/>
      <c r="W5168"/>
      <c r="X5168"/>
      <c r="Y5168"/>
      <c r="Z5168"/>
      <c r="AA5168"/>
      <c r="AB5168"/>
      <c r="AL5168"/>
      <c r="AM5168"/>
      <c r="AN5168"/>
      <c r="AO5168"/>
    </row>
    <row r="5169" spans="1:41" s="2" customFormat="1" x14ac:dyDescent="0.2">
      <c r="A5169"/>
      <c r="B5169"/>
      <c r="C5169"/>
      <c r="D5169"/>
      <c r="E5169"/>
      <c r="F5169"/>
      <c r="G5169"/>
      <c r="U5169"/>
      <c r="V5169"/>
      <c r="W5169"/>
      <c r="X5169"/>
      <c r="Y5169"/>
      <c r="Z5169"/>
      <c r="AA5169"/>
      <c r="AB5169"/>
      <c r="AL5169"/>
      <c r="AM5169"/>
      <c r="AN5169"/>
      <c r="AO5169"/>
    </row>
    <row r="5170" spans="1:41" s="2" customFormat="1" x14ac:dyDescent="0.2">
      <c r="A5170"/>
      <c r="B5170"/>
      <c r="C5170"/>
      <c r="D5170"/>
      <c r="E5170"/>
      <c r="F5170"/>
      <c r="G5170"/>
      <c r="U5170"/>
      <c r="V5170"/>
      <c r="W5170"/>
      <c r="X5170"/>
      <c r="Y5170"/>
      <c r="Z5170"/>
      <c r="AA5170"/>
      <c r="AB5170"/>
      <c r="AL5170"/>
      <c r="AM5170"/>
      <c r="AN5170"/>
      <c r="AO5170"/>
    </row>
    <row r="5171" spans="1:41" s="2" customFormat="1" x14ac:dyDescent="0.2">
      <c r="A5171"/>
      <c r="B5171"/>
      <c r="C5171"/>
      <c r="D5171"/>
      <c r="E5171"/>
      <c r="F5171"/>
      <c r="G5171"/>
      <c r="U5171"/>
      <c r="V5171"/>
      <c r="W5171"/>
      <c r="X5171"/>
      <c r="Y5171"/>
      <c r="Z5171"/>
      <c r="AA5171"/>
      <c r="AB5171"/>
      <c r="AL5171"/>
      <c r="AM5171"/>
      <c r="AN5171"/>
      <c r="AO5171"/>
    </row>
    <row r="5172" spans="1:41" s="2" customFormat="1" x14ac:dyDescent="0.2">
      <c r="A5172"/>
      <c r="B5172"/>
      <c r="C5172"/>
      <c r="D5172"/>
      <c r="E5172"/>
      <c r="F5172"/>
      <c r="G5172"/>
      <c r="U5172"/>
      <c r="V5172"/>
      <c r="W5172"/>
      <c r="X5172"/>
      <c r="Y5172"/>
      <c r="Z5172"/>
      <c r="AA5172"/>
      <c r="AB5172"/>
      <c r="AL5172"/>
      <c r="AM5172"/>
      <c r="AN5172"/>
      <c r="AO5172"/>
    </row>
    <row r="5173" spans="1:41" s="2" customFormat="1" x14ac:dyDescent="0.2">
      <c r="A5173"/>
      <c r="B5173"/>
      <c r="C5173"/>
      <c r="D5173"/>
      <c r="E5173"/>
      <c r="F5173"/>
      <c r="G5173"/>
      <c r="U5173"/>
      <c r="V5173"/>
      <c r="W5173"/>
      <c r="X5173"/>
      <c r="Y5173"/>
      <c r="Z5173"/>
      <c r="AA5173"/>
      <c r="AB5173"/>
      <c r="AL5173"/>
      <c r="AM5173"/>
      <c r="AN5173"/>
      <c r="AO5173"/>
    </row>
    <row r="5174" spans="1:41" s="2" customFormat="1" x14ac:dyDescent="0.2">
      <c r="A5174"/>
      <c r="B5174"/>
      <c r="C5174"/>
      <c r="D5174"/>
      <c r="E5174"/>
      <c r="F5174"/>
      <c r="G5174"/>
      <c r="U5174"/>
      <c r="V5174"/>
      <c r="W5174"/>
      <c r="X5174"/>
      <c r="Y5174"/>
      <c r="Z5174"/>
      <c r="AA5174"/>
      <c r="AB5174"/>
      <c r="AL5174"/>
      <c r="AM5174"/>
      <c r="AN5174"/>
      <c r="AO5174"/>
    </row>
    <row r="5175" spans="1:41" s="2" customFormat="1" x14ac:dyDescent="0.2">
      <c r="A5175"/>
      <c r="B5175"/>
      <c r="C5175"/>
      <c r="D5175"/>
      <c r="E5175"/>
      <c r="F5175"/>
      <c r="G5175"/>
      <c r="U5175"/>
      <c r="V5175"/>
      <c r="W5175"/>
      <c r="X5175"/>
      <c r="Y5175"/>
      <c r="Z5175"/>
      <c r="AA5175"/>
      <c r="AB5175"/>
      <c r="AL5175"/>
      <c r="AM5175"/>
      <c r="AN5175"/>
      <c r="AO5175"/>
    </row>
    <row r="5176" spans="1:41" s="2" customFormat="1" x14ac:dyDescent="0.2">
      <c r="A5176"/>
      <c r="B5176"/>
      <c r="C5176"/>
      <c r="D5176"/>
      <c r="E5176"/>
      <c r="F5176"/>
      <c r="G5176"/>
      <c r="U5176"/>
      <c r="V5176"/>
      <c r="W5176"/>
      <c r="X5176"/>
      <c r="Y5176"/>
      <c r="Z5176"/>
      <c r="AA5176"/>
      <c r="AB5176"/>
      <c r="AL5176"/>
      <c r="AM5176"/>
      <c r="AN5176"/>
      <c r="AO5176"/>
    </row>
    <row r="5177" spans="1:41" s="2" customFormat="1" x14ac:dyDescent="0.2">
      <c r="A5177"/>
      <c r="B5177"/>
      <c r="C5177"/>
      <c r="D5177"/>
      <c r="E5177"/>
      <c r="F5177"/>
      <c r="G5177"/>
      <c r="U5177"/>
      <c r="V5177"/>
      <c r="W5177"/>
      <c r="X5177"/>
      <c r="Y5177"/>
      <c r="Z5177"/>
      <c r="AA5177"/>
      <c r="AB5177"/>
      <c r="AL5177"/>
      <c r="AM5177"/>
      <c r="AN5177"/>
      <c r="AO5177"/>
    </row>
    <row r="5178" spans="1:41" s="2" customFormat="1" x14ac:dyDescent="0.2">
      <c r="A5178"/>
      <c r="B5178"/>
      <c r="C5178"/>
      <c r="D5178"/>
      <c r="E5178"/>
      <c r="F5178"/>
      <c r="G5178"/>
      <c r="U5178"/>
      <c r="V5178"/>
      <c r="W5178"/>
      <c r="X5178"/>
      <c r="Y5178"/>
      <c r="Z5178"/>
      <c r="AA5178"/>
      <c r="AB5178"/>
      <c r="AL5178"/>
      <c r="AM5178"/>
      <c r="AN5178"/>
      <c r="AO5178"/>
    </row>
    <row r="5179" spans="1:41" s="2" customFormat="1" x14ac:dyDescent="0.2">
      <c r="A5179"/>
      <c r="B5179"/>
      <c r="C5179"/>
      <c r="D5179"/>
      <c r="E5179"/>
      <c r="F5179"/>
      <c r="G5179"/>
      <c r="U5179"/>
      <c r="V5179"/>
      <c r="W5179"/>
      <c r="X5179"/>
      <c r="Y5179"/>
      <c r="Z5179"/>
      <c r="AA5179"/>
      <c r="AB5179"/>
      <c r="AL5179"/>
      <c r="AM5179"/>
      <c r="AN5179"/>
      <c r="AO5179"/>
    </row>
    <row r="5180" spans="1:41" s="2" customFormat="1" x14ac:dyDescent="0.2">
      <c r="A5180"/>
      <c r="B5180"/>
      <c r="C5180"/>
      <c r="D5180"/>
      <c r="E5180"/>
      <c r="F5180"/>
      <c r="G5180"/>
      <c r="U5180"/>
      <c r="V5180"/>
      <c r="W5180"/>
      <c r="X5180"/>
      <c r="Y5180"/>
      <c r="Z5180"/>
      <c r="AA5180"/>
      <c r="AB5180"/>
      <c r="AL5180"/>
      <c r="AM5180"/>
      <c r="AN5180"/>
      <c r="AO5180"/>
    </row>
    <row r="5181" spans="1:41" s="2" customFormat="1" x14ac:dyDescent="0.2">
      <c r="A5181"/>
      <c r="B5181"/>
      <c r="C5181"/>
      <c r="D5181"/>
      <c r="E5181"/>
      <c r="F5181"/>
      <c r="G5181"/>
      <c r="U5181"/>
      <c r="V5181"/>
      <c r="W5181"/>
      <c r="X5181"/>
      <c r="Y5181"/>
      <c r="Z5181"/>
      <c r="AA5181"/>
      <c r="AB5181"/>
      <c r="AL5181"/>
      <c r="AM5181"/>
      <c r="AN5181"/>
      <c r="AO5181"/>
    </row>
    <row r="5182" spans="1:41" s="2" customFormat="1" x14ac:dyDescent="0.2">
      <c r="A5182"/>
      <c r="B5182"/>
      <c r="C5182"/>
      <c r="D5182"/>
      <c r="E5182"/>
      <c r="F5182"/>
      <c r="G5182"/>
      <c r="U5182"/>
      <c r="V5182"/>
      <c r="W5182"/>
      <c r="X5182"/>
      <c r="Y5182"/>
      <c r="Z5182"/>
      <c r="AA5182"/>
      <c r="AB5182"/>
      <c r="AL5182"/>
      <c r="AM5182"/>
      <c r="AN5182"/>
      <c r="AO5182"/>
    </row>
    <row r="5183" spans="1:41" s="2" customFormat="1" x14ac:dyDescent="0.2">
      <c r="A5183"/>
      <c r="B5183"/>
      <c r="C5183"/>
      <c r="D5183"/>
      <c r="E5183"/>
      <c r="F5183"/>
      <c r="G5183"/>
      <c r="U5183"/>
      <c r="V5183"/>
      <c r="W5183"/>
      <c r="X5183"/>
      <c r="Y5183"/>
      <c r="Z5183"/>
      <c r="AA5183"/>
      <c r="AB5183"/>
      <c r="AL5183"/>
      <c r="AM5183"/>
      <c r="AN5183"/>
      <c r="AO5183"/>
    </row>
    <row r="5184" spans="1:41" s="2" customFormat="1" x14ac:dyDescent="0.2">
      <c r="A5184"/>
      <c r="B5184"/>
      <c r="C5184"/>
      <c r="D5184"/>
      <c r="E5184"/>
      <c r="F5184"/>
      <c r="G5184"/>
      <c r="U5184"/>
      <c r="V5184"/>
      <c r="W5184"/>
      <c r="X5184"/>
      <c r="Y5184"/>
      <c r="Z5184"/>
      <c r="AA5184"/>
      <c r="AB5184"/>
      <c r="AL5184"/>
      <c r="AM5184"/>
      <c r="AN5184"/>
      <c r="AO5184"/>
    </row>
    <row r="5185" spans="1:41" s="2" customFormat="1" x14ac:dyDescent="0.2">
      <c r="A5185"/>
      <c r="B5185"/>
      <c r="C5185"/>
      <c r="D5185"/>
      <c r="E5185"/>
      <c r="F5185"/>
      <c r="G5185"/>
      <c r="U5185"/>
      <c r="V5185"/>
      <c r="W5185"/>
      <c r="X5185"/>
      <c r="Y5185"/>
      <c r="Z5185"/>
      <c r="AA5185"/>
      <c r="AB5185"/>
      <c r="AL5185"/>
      <c r="AM5185"/>
      <c r="AN5185"/>
      <c r="AO5185"/>
    </row>
    <row r="5186" spans="1:41" s="2" customFormat="1" x14ac:dyDescent="0.2">
      <c r="A5186"/>
      <c r="B5186"/>
      <c r="C5186"/>
      <c r="D5186"/>
      <c r="E5186"/>
      <c r="F5186"/>
      <c r="G5186"/>
      <c r="U5186"/>
      <c r="V5186"/>
      <c r="W5186"/>
      <c r="X5186"/>
      <c r="Y5186"/>
      <c r="Z5186"/>
      <c r="AA5186"/>
      <c r="AB5186"/>
      <c r="AL5186"/>
      <c r="AM5186"/>
      <c r="AN5186"/>
      <c r="AO5186"/>
    </row>
    <row r="5187" spans="1:41" s="2" customFormat="1" x14ac:dyDescent="0.2">
      <c r="A5187"/>
      <c r="B5187"/>
      <c r="C5187"/>
      <c r="D5187"/>
      <c r="E5187"/>
      <c r="F5187"/>
      <c r="G5187"/>
      <c r="U5187"/>
      <c r="V5187"/>
      <c r="W5187"/>
      <c r="X5187"/>
      <c r="Y5187"/>
      <c r="Z5187"/>
      <c r="AA5187"/>
      <c r="AB5187"/>
      <c r="AL5187"/>
      <c r="AM5187"/>
      <c r="AN5187"/>
      <c r="AO5187"/>
    </row>
    <row r="5188" spans="1:41" s="2" customFormat="1" x14ac:dyDescent="0.2">
      <c r="A5188"/>
      <c r="B5188"/>
      <c r="C5188"/>
      <c r="D5188"/>
      <c r="E5188"/>
      <c r="F5188"/>
      <c r="G5188"/>
      <c r="U5188"/>
      <c r="V5188"/>
      <c r="W5188"/>
      <c r="X5188"/>
      <c r="Y5188"/>
      <c r="Z5188"/>
      <c r="AA5188"/>
      <c r="AB5188"/>
      <c r="AL5188"/>
      <c r="AM5188"/>
      <c r="AN5188"/>
      <c r="AO5188"/>
    </row>
    <row r="5189" spans="1:41" s="2" customFormat="1" x14ac:dyDescent="0.2">
      <c r="A5189"/>
      <c r="B5189"/>
      <c r="C5189"/>
      <c r="D5189"/>
      <c r="E5189"/>
      <c r="F5189"/>
      <c r="G5189"/>
      <c r="U5189"/>
      <c r="V5189"/>
      <c r="W5189"/>
      <c r="X5189"/>
      <c r="Y5189"/>
      <c r="Z5189"/>
      <c r="AA5189"/>
      <c r="AB5189"/>
      <c r="AL5189"/>
      <c r="AM5189"/>
      <c r="AN5189"/>
      <c r="AO5189"/>
    </row>
    <row r="5190" spans="1:41" s="2" customFormat="1" x14ac:dyDescent="0.2">
      <c r="A5190"/>
      <c r="B5190"/>
      <c r="C5190"/>
      <c r="D5190"/>
      <c r="E5190"/>
      <c r="F5190"/>
      <c r="G5190"/>
      <c r="U5190"/>
      <c r="V5190"/>
      <c r="W5190"/>
      <c r="X5190"/>
      <c r="Y5190"/>
      <c r="Z5190"/>
      <c r="AA5190"/>
      <c r="AB5190"/>
      <c r="AL5190"/>
      <c r="AM5190"/>
      <c r="AN5190"/>
      <c r="AO5190"/>
    </row>
    <row r="5191" spans="1:41" s="2" customFormat="1" x14ac:dyDescent="0.2">
      <c r="A5191"/>
      <c r="B5191"/>
      <c r="C5191"/>
      <c r="D5191"/>
      <c r="E5191"/>
      <c r="F5191"/>
      <c r="G5191"/>
      <c r="U5191"/>
      <c r="V5191"/>
      <c r="W5191"/>
      <c r="X5191"/>
      <c r="Y5191"/>
      <c r="Z5191"/>
      <c r="AA5191"/>
      <c r="AB5191"/>
      <c r="AL5191"/>
      <c r="AM5191"/>
      <c r="AN5191"/>
      <c r="AO5191"/>
    </row>
    <row r="5192" spans="1:41" s="2" customFormat="1" x14ac:dyDescent="0.2">
      <c r="A5192"/>
      <c r="B5192"/>
      <c r="C5192"/>
      <c r="D5192"/>
      <c r="E5192"/>
      <c r="F5192"/>
      <c r="G5192"/>
      <c r="U5192"/>
      <c r="V5192"/>
      <c r="W5192"/>
      <c r="X5192"/>
      <c r="Y5192"/>
      <c r="Z5192"/>
      <c r="AA5192"/>
      <c r="AB5192"/>
      <c r="AL5192"/>
      <c r="AM5192"/>
      <c r="AN5192"/>
      <c r="AO5192"/>
    </row>
    <row r="5193" spans="1:41" s="2" customFormat="1" x14ac:dyDescent="0.2">
      <c r="A5193"/>
      <c r="B5193"/>
      <c r="C5193"/>
      <c r="D5193"/>
      <c r="E5193"/>
      <c r="F5193"/>
      <c r="G5193"/>
      <c r="U5193"/>
      <c r="V5193"/>
      <c r="W5193"/>
      <c r="X5193"/>
      <c r="Y5193"/>
      <c r="Z5193"/>
      <c r="AA5193"/>
      <c r="AB5193"/>
      <c r="AL5193"/>
      <c r="AM5193"/>
      <c r="AN5193"/>
      <c r="AO5193"/>
    </row>
    <row r="5194" spans="1:41" s="2" customFormat="1" x14ac:dyDescent="0.2">
      <c r="A5194"/>
      <c r="B5194"/>
      <c r="C5194"/>
      <c r="D5194"/>
      <c r="E5194"/>
      <c r="F5194"/>
      <c r="G5194"/>
      <c r="U5194"/>
      <c r="V5194"/>
      <c r="W5194"/>
      <c r="X5194"/>
      <c r="Y5194"/>
      <c r="Z5194"/>
      <c r="AA5194"/>
      <c r="AB5194"/>
      <c r="AL5194"/>
      <c r="AM5194"/>
      <c r="AN5194"/>
      <c r="AO5194"/>
    </row>
    <row r="5195" spans="1:41" s="2" customFormat="1" x14ac:dyDescent="0.2">
      <c r="A5195"/>
      <c r="B5195"/>
      <c r="C5195"/>
      <c r="D5195"/>
      <c r="E5195"/>
      <c r="F5195"/>
      <c r="G5195"/>
      <c r="U5195"/>
      <c r="V5195"/>
      <c r="W5195"/>
      <c r="X5195"/>
      <c r="Y5195"/>
      <c r="Z5195"/>
      <c r="AA5195"/>
      <c r="AB5195"/>
      <c r="AL5195"/>
      <c r="AM5195"/>
      <c r="AN5195"/>
      <c r="AO5195"/>
    </row>
    <row r="5196" spans="1:41" s="2" customFormat="1" x14ac:dyDescent="0.2">
      <c r="A5196"/>
      <c r="B5196"/>
      <c r="C5196"/>
      <c r="D5196"/>
      <c r="E5196"/>
      <c r="F5196"/>
      <c r="G5196"/>
      <c r="U5196"/>
      <c r="V5196"/>
      <c r="W5196"/>
      <c r="X5196"/>
      <c r="Y5196"/>
      <c r="Z5196"/>
      <c r="AA5196"/>
      <c r="AB5196"/>
      <c r="AL5196"/>
      <c r="AM5196"/>
      <c r="AN5196"/>
      <c r="AO5196"/>
    </row>
    <row r="5197" spans="1:41" s="2" customFormat="1" x14ac:dyDescent="0.2">
      <c r="A5197"/>
      <c r="B5197"/>
      <c r="C5197"/>
      <c r="D5197"/>
      <c r="E5197"/>
      <c r="F5197"/>
      <c r="G5197"/>
      <c r="U5197"/>
      <c r="V5197"/>
      <c r="W5197"/>
      <c r="X5197"/>
      <c r="Y5197"/>
      <c r="Z5197"/>
      <c r="AA5197"/>
      <c r="AB5197"/>
      <c r="AL5197"/>
      <c r="AM5197"/>
      <c r="AN5197"/>
      <c r="AO5197"/>
    </row>
    <row r="5198" spans="1:41" s="2" customFormat="1" x14ac:dyDescent="0.2">
      <c r="A5198"/>
      <c r="B5198"/>
      <c r="C5198"/>
      <c r="D5198"/>
      <c r="E5198"/>
      <c r="F5198"/>
      <c r="G5198"/>
      <c r="U5198"/>
      <c r="V5198"/>
      <c r="W5198"/>
      <c r="X5198"/>
      <c r="Y5198"/>
      <c r="Z5198"/>
      <c r="AA5198"/>
      <c r="AB5198"/>
      <c r="AL5198"/>
      <c r="AM5198"/>
      <c r="AN5198"/>
      <c r="AO5198"/>
    </row>
    <row r="5199" spans="1:41" s="2" customFormat="1" x14ac:dyDescent="0.2">
      <c r="A5199"/>
      <c r="B5199"/>
      <c r="C5199"/>
      <c r="D5199"/>
      <c r="E5199"/>
      <c r="F5199"/>
      <c r="G5199"/>
      <c r="U5199"/>
      <c r="V5199"/>
      <c r="W5199"/>
      <c r="X5199"/>
      <c r="Y5199"/>
      <c r="Z5199"/>
      <c r="AA5199"/>
      <c r="AB5199"/>
      <c r="AL5199"/>
      <c r="AM5199"/>
      <c r="AN5199"/>
      <c r="AO5199"/>
    </row>
    <row r="5200" spans="1:41" s="2" customFormat="1" x14ac:dyDescent="0.2">
      <c r="A5200"/>
      <c r="B5200"/>
      <c r="C5200"/>
      <c r="D5200"/>
      <c r="E5200"/>
      <c r="F5200"/>
      <c r="G5200"/>
      <c r="U5200"/>
      <c r="V5200"/>
      <c r="W5200"/>
      <c r="X5200"/>
      <c r="Y5200"/>
      <c r="Z5200"/>
      <c r="AA5200"/>
      <c r="AB5200"/>
      <c r="AL5200"/>
      <c r="AM5200"/>
      <c r="AN5200"/>
      <c r="AO5200"/>
    </row>
    <row r="5201" spans="1:41" s="2" customFormat="1" x14ac:dyDescent="0.2">
      <c r="A5201"/>
      <c r="B5201"/>
      <c r="C5201"/>
      <c r="D5201"/>
      <c r="E5201"/>
      <c r="F5201"/>
      <c r="G5201"/>
      <c r="U5201"/>
      <c r="V5201"/>
      <c r="W5201"/>
      <c r="X5201"/>
      <c r="Y5201"/>
      <c r="Z5201"/>
      <c r="AA5201"/>
      <c r="AB5201"/>
      <c r="AL5201"/>
      <c r="AM5201"/>
      <c r="AN5201"/>
      <c r="AO5201"/>
    </row>
    <row r="5202" spans="1:41" s="2" customFormat="1" x14ac:dyDescent="0.2">
      <c r="A5202"/>
      <c r="B5202"/>
      <c r="C5202"/>
      <c r="D5202"/>
      <c r="E5202"/>
      <c r="F5202"/>
      <c r="G5202"/>
      <c r="U5202"/>
      <c r="V5202"/>
      <c r="W5202"/>
      <c r="X5202"/>
      <c r="Y5202"/>
      <c r="Z5202"/>
      <c r="AA5202"/>
      <c r="AB5202"/>
      <c r="AL5202"/>
      <c r="AM5202"/>
      <c r="AN5202"/>
      <c r="AO5202"/>
    </row>
    <row r="5203" spans="1:41" s="2" customFormat="1" x14ac:dyDescent="0.2">
      <c r="A5203"/>
      <c r="B5203"/>
      <c r="C5203"/>
      <c r="D5203"/>
      <c r="E5203"/>
      <c r="F5203"/>
      <c r="G5203"/>
      <c r="U5203"/>
      <c r="V5203"/>
      <c r="W5203"/>
      <c r="X5203"/>
      <c r="Y5203"/>
      <c r="Z5203"/>
      <c r="AA5203"/>
      <c r="AB5203"/>
      <c r="AL5203"/>
      <c r="AM5203"/>
      <c r="AN5203"/>
      <c r="AO5203"/>
    </row>
    <row r="5204" spans="1:41" s="2" customFormat="1" x14ac:dyDescent="0.2">
      <c r="A5204"/>
      <c r="B5204"/>
      <c r="C5204"/>
      <c r="D5204"/>
      <c r="E5204"/>
      <c r="F5204"/>
      <c r="G5204"/>
      <c r="U5204"/>
      <c r="V5204"/>
      <c r="W5204"/>
      <c r="X5204"/>
      <c r="Y5204"/>
      <c r="Z5204"/>
      <c r="AA5204"/>
      <c r="AB5204"/>
      <c r="AL5204"/>
      <c r="AM5204"/>
      <c r="AN5204"/>
      <c r="AO5204"/>
    </row>
    <row r="5205" spans="1:41" s="2" customFormat="1" x14ac:dyDescent="0.2">
      <c r="A5205"/>
      <c r="B5205"/>
      <c r="C5205"/>
      <c r="D5205"/>
      <c r="E5205"/>
      <c r="F5205"/>
      <c r="G5205"/>
      <c r="U5205"/>
      <c r="V5205"/>
      <c r="W5205"/>
      <c r="X5205"/>
      <c r="Y5205"/>
      <c r="Z5205"/>
      <c r="AA5205"/>
      <c r="AB5205"/>
      <c r="AL5205"/>
      <c r="AM5205"/>
      <c r="AN5205"/>
      <c r="AO5205"/>
    </row>
    <row r="5206" spans="1:41" s="2" customFormat="1" x14ac:dyDescent="0.2">
      <c r="A5206"/>
      <c r="B5206"/>
      <c r="C5206"/>
      <c r="D5206"/>
      <c r="E5206"/>
      <c r="F5206"/>
      <c r="G5206"/>
      <c r="U5206"/>
      <c r="V5206"/>
      <c r="W5206"/>
      <c r="X5206"/>
      <c r="Y5206"/>
      <c r="Z5206"/>
      <c r="AA5206"/>
      <c r="AB5206"/>
      <c r="AL5206"/>
      <c r="AM5206"/>
      <c r="AN5206"/>
      <c r="AO5206"/>
    </row>
    <row r="5207" spans="1:41" s="2" customFormat="1" x14ac:dyDescent="0.2">
      <c r="A5207"/>
      <c r="B5207"/>
      <c r="C5207"/>
      <c r="D5207"/>
      <c r="E5207"/>
      <c r="F5207"/>
      <c r="G5207"/>
      <c r="U5207"/>
      <c r="V5207"/>
      <c r="W5207"/>
      <c r="X5207"/>
      <c r="Y5207"/>
      <c r="Z5207"/>
      <c r="AA5207"/>
      <c r="AB5207"/>
      <c r="AL5207"/>
      <c r="AM5207"/>
      <c r="AN5207"/>
      <c r="AO5207"/>
    </row>
    <row r="5208" spans="1:41" s="2" customFormat="1" x14ac:dyDescent="0.2">
      <c r="A5208"/>
      <c r="B5208"/>
      <c r="C5208"/>
      <c r="D5208"/>
      <c r="E5208"/>
      <c r="F5208"/>
      <c r="G5208"/>
      <c r="U5208"/>
      <c r="V5208"/>
      <c r="W5208"/>
      <c r="X5208"/>
      <c r="Y5208"/>
      <c r="Z5208"/>
      <c r="AA5208"/>
      <c r="AB5208"/>
      <c r="AL5208"/>
      <c r="AM5208"/>
      <c r="AN5208"/>
      <c r="AO5208"/>
    </row>
    <row r="5209" spans="1:41" s="2" customFormat="1" x14ac:dyDescent="0.2">
      <c r="A5209"/>
      <c r="B5209"/>
      <c r="C5209"/>
      <c r="D5209"/>
      <c r="E5209"/>
      <c r="F5209"/>
      <c r="G5209"/>
      <c r="U5209"/>
      <c r="V5209"/>
      <c r="W5209"/>
      <c r="X5209"/>
      <c r="Y5209"/>
      <c r="Z5209"/>
      <c r="AA5209"/>
      <c r="AB5209"/>
      <c r="AL5209"/>
      <c r="AM5209"/>
      <c r="AN5209"/>
      <c r="AO5209"/>
    </row>
    <row r="5210" spans="1:41" s="2" customFormat="1" x14ac:dyDescent="0.2">
      <c r="A5210"/>
      <c r="B5210"/>
      <c r="C5210"/>
      <c r="D5210"/>
      <c r="E5210"/>
      <c r="F5210"/>
      <c r="G5210"/>
      <c r="U5210"/>
      <c r="V5210"/>
      <c r="W5210"/>
      <c r="X5210"/>
      <c r="Y5210"/>
      <c r="Z5210"/>
      <c r="AA5210"/>
      <c r="AB5210"/>
      <c r="AL5210"/>
      <c r="AM5210"/>
      <c r="AN5210"/>
      <c r="AO5210"/>
    </row>
    <row r="5211" spans="1:41" s="2" customFormat="1" x14ac:dyDescent="0.2">
      <c r="A5211"/>
      <c r="B5211"/>
      <c r="C5211"/>
      <c r="D5211"/>
      <c r="E5211"/>
      <c r="F5211"/>
      <c r="G5211"/>
      <c r="U5211"/>
      <c r="V5211"/>
      <c r="W5211"/>
      <c r="X5211"/>
      <c r="Y5211"/>
      <c r="Z5211"/>
      <c r="AA5211"/>
      <c r="AB5211"/>
      <c r="AL5211"/>
      <c r="AM5211"/>
      <c r="AN5211"/>
      <c r="AO5211"/>
    </row>
    <row r="5212" spans="1:41" s="2" customFormat="1" x14ac:dyDescent="0.2">
      <c r="A5212"/>
      <c r="B5212"/>
      <c r="C5212"/>
      <c r="D5212"/>
      <c r="E5212"/>
      <c r="F5212"/>
      <c r="G5212"/>
      <c r="U5212"/>
      <c r="V5212"/>
      <c r="W5212"/>
      <c r="X5212"/>
      <c r="Y5212"/>
      <c r="Z5212"/>
      <c r="AA5212"/>
      <c r="AB5212"/>
      <c r="AL5212"/>
      <c r="AM5212"/>
      <c r="AN5212"/>
      <c r="AO5212"/>
    </row>
    <row r="5213" spans="1:41" s="2" customFormat="1" x14ac:dyDescent="0.2">
      <c r="A5213"/>
      <c r="B5213"/>
      <c r="C5213"/>
      <c r="D5213"/>
      <c r="E5213"/>
      <c r="F5213"/>
      <c r="G5213"/>
      <c r="U5213"/>
      <c r="V5213"/>
      <c r="W5213"/>
      <c r="X5213"/>
      <c r="Y5213"/>
      <c r="Z5213"/>
      <c r="AA5213"/>
      <c r="AB5213"/>
      <c r="AL5213"/>
      <c r="AM5213"/>
      <c r="AN5213"/>
      <c r="AO5213"/>
    </row>
    <row r="5214" spans="1:41" s="2" customFormat="1" x14ac:dyDescent="0.2">
      <c r="A5214"/>
      <c r="B5214"/>
      <c r="C5214"/>
      <c r="D5214"/>
      <c r="E5214"/>
      <c r="F5214"/>
      <c r="G5214"/>
      <c r="U5214"/>
      <c r="V5214"/>
      <c r="W5214"/>
      <c r="X5214"/>
      <c r="Y5214"/>
      <c r="Z5214"/>
      <c r="AA5214"/>
      <c r="AB5214"/>
      <c r="AL5214"/>
      <c r="AM5214"/>
      <c r="AN5214"/>
      <c r="AO5214"/>
    </row>
    <row r="5215" spans="1:41" s="2" customFormat="1" x14ac:dyDescent="0.2">
      <c r="A5215"/>
      <c r="B5215"/>
      <c r="C5215"/>
      <c r="D5215"/>
      <c r="E5215"/>
      <c r="F5215"/>
      <c r="G5215"/>
      <c r="U5215"/>
      <c r="V5215"/>
      <c r="W5215"/>
      <c r="X5215"/>
      <c r="Y5215"/>
      <c r="Z5215"/>
      <c r="AA5215"/>
      <c r="AB5215"/>
      <c r="AL5215"/>
      <c r="AM5215"/>
      <c r="AN5215"/>
      <c r="AO5215"/>
    </row>
    <row r="5216" spans="1:41" s="2" customFormat="1" x14ac:dyDescent="0.2">
      <c r="A5216"/>
      <c r="B5216"/>
      <c r="C5216"/>
      <c r="D5216"/>
      <c r="E5216"/>
      <c r="F5216"/>
      <c r="G5216"/>
      <c r="U5216"/>
      <c r="V5216"/>
      <c r="W5216"/>
      <c r="X5216"/>
      <c r="Y5216"/>
      <c r="Z5216"/>
      <c r="AA5216"/>
      <c r="AB5216"/>
      <c r="AL5216"/>
      <c r="AM5216"/>
      <c r="AN5216"/>
      <c r="AO5216"/>
    </row>
    <row r="5217" spans="1:41" s="2" customFormat="1" x14ac:dyDescent="0.2">
      <c r="A5217"/>
      <c r="B5217"/>
      <c r="C5217"/>
      <c r="D5217"/>
      <c r="E5217"/>
      <c r="F5217"/>
      <c r="G5217"/>
      <c r="U5217"/>
      <c r="V5217"/>
      <c r="W5217"/>
      <c r="X5217"/>
      <c r="Y5217"/>
      <c r="Z5217"/>
      <c r="AA5217"/>
      <c r="AB5217"/>
      <c r="AL5217"/>
      <c r="AM5217"/>
      <c r="AN5217"/>
      <c r="AO52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Otis Russia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Zaitsev</dc:creator>
  <cp:lastModifiedBy>Zaytsev, Maxim</cp:lastModifiedBy>
  <cp:lastPrinted>2008-02-11T06:54:05Z</cp:lastPrinted>
  <dcterms:created xsi:type="dcterms:W3CDTF">2008-02-11T06:53:02Z</dcterms:created>
  <dcterms:modified xsi:type="dcterms:W3CDTF">2020-12-25T11:17:28Z</dcterms:modified>
</cp:coreProperties>
</file>