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lehjke/Desktop/Dokumentatsia/"/>
    </mc:Choice>
  </mc:AlternateContent>
  <xr:revisionPtr revIDLastSave="0" documentId="8_{6C767EEC-ECBD-C947-A298-5AE91AA1108A}" xr6:coauthVersionLast="47" xr6:coauthVersionMax="47" xr10:uidLastSave="{00000000-0000-0000-0000-000000000000}"/>
  <bookViews>
    <workbookView xWindow="480" yWindow="780" windowWidth="13960" windowHeight="11420" firstSheet="7" activeTab="9" xr2:uid="{00000000-000D-0000-FFFF-FFFF00000000}"/>
  </bookViews>
  <sheets>
    <sheet name="Л1" sheetId="1" r:id="rId1"/>
    <sheet name="Л2" sheetId="3" r:id="rId2"/>
    <sheet name="Л3" sheetId="4" r:id="rId3"/>
    <sheet name="Л4" sheetId="5" r:id="rId4"/>
    <sheet name="ЛC1" sheetId="6" r:id="rId5"/>
    <sheet name="ЛC2" sheetId="7" r:id="rId6"/>
    <sheet name="ЛC3, ЛС4" sheetId="8" r:id="rId7"/>
    <sheet name="ЛC5" sheetId="9" r:id="rId8"/>
    <sheet name="ЛC6" sheetId="10" r:id="rId9"/>
    <sheet name="Quotation" sheetId="2" r:id="rId10"/>
  </sheets>
  <definedNames>
    <definedName name="_xlnm.Print_Area" localSheetId="0">Л1!$A$1:$J$39</definedName>
    <definedName name="_xlnm.Print_Area" localSheetId="1">Л2!$A$1:$J$39</definedName>
    <definedName name="_xlnm.Print_Area" localSheetId="2">Л3!$A$1:$J$39</definedName>
    <definedName name="_xlnm.Print_Area" localSheetId="3">Л4!$A$1:$J$39</definedName>
    <definedName name="_xlnm.Print_Area" localSheetId="4">ЛC1!$A$1:$J$39</definedName>
    <definedName name="_xlnm.Print_Area" localSheetId="5">ЛC2!$A$1:$J$39</definedName>
    <definedName name="_xlnm.Print_Area" localSheetId="6">'ЛC3, ЛС4'!$A$1:$J$39</definedName>
    <definedName name="_xlnm.Print_Area" localSheetId="7">ЛC5!$A$1:$J$39</definedName>
    <definedName name="_xlnm.Print_Area" localSheetId="8">ЛC6!$A$1:$J$39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AF202" i="10" l="1"/>
  <c r="AF201" i="10"/>
  <c r="AF200" i="10"/>
  <c r="AF199" i="10"/>
  <c r="AF198" i="10"/>
  <c r="AF197" i="10"/>
  <c r="AF196" i="10"/>
  <c r="AF195" i="10"/>
  <c r="AF194" i="10"/>
  <c r="AF193" i="10"/>
  <c r="AF192" i="10"/>
  <c r="AF191" i="10"/>
  <c r="AF190" i="10"/>
  <c r="AF189" i="10"/>
  <c r="AF188" i="10"/>
  <c r="AF187" i="10"/>
  <c r="AF186" i="10"/>
  <c r="P186" i="10"/>
  <c r="AF185" i="10"/>
  <c r="P185" i="10"/>
  <c r="AF184" i="10"/>
  <c r="AF183" i="10"/>
  <c r="AF182" i="10"/>
  <c r="P182" i="10"/>
  <c r="AF181" i="10"/>
  <c r="P181" i="10"/>
  <c r="AF180" i="10"/>
  <c r="AF179" i="10"/>
  <c r="AF178" i="10"/>
  <c r="P178" i="10"/>
  <c r="AF177" i="10"/>
  <c r="P177" i="10"/>
  <c r="AF176" i="10"/>
  <c r="AF175" i="10"/>
  <c r="AF174" i="10"/>
  <c r="P174" i="10"/>
  <c r="AF173" i="10"/>
  <c r="P173" i="10"/>
  <c r="AF172" i="10"/>
  <c r="AF171" i="10"/>
  <c r="AF170" i="10"/>
  <c r="P170" i="10"/>
  <c r="AF169" i="10"/>
  <c r="P169" i="10"/>
  <c r="AF168" i="10"/>
  <c r="AF167" i="10"/>
  <c r="AF166" i="10"/>
  <c r="P166" i="10"/>
  <c r="AF165" i="10"/>
  <c r="P165" i="10"/>
  <c r="AF164" i="10"/>
  <c r="AF163" i="10"/>
  <c r="AF162" i="10"/>
  <c r="P162" i="10"/>
  <c r="AF161" i="10"/>
  <c r="P161" i="10"/>
  <c r="AF160" i="10"/>
  <c r="AF159" i="10"/>
  <c r="AF158" i="10"/>
  <c r="P158" i="10"/>
  <c r="AF157" i="10"/>
  <c r="P157" i="10"/>
  <c r="AF156" i="10"/>
  <c r="AF155" i="10"/>
  <c r="AF154" i="10"/>
  <c r="P154" i="10"/>
  <c r="AF153" i="10"/>
  <c r="P153" i="10"/>
  <c r="AF152" i="10"/>
  <c r="AF151" i="10"/>
  <c r="AF150" i="10"/>
  <c r="P150" i="10"/>
  <c r="AF149" i="10"/>
  <c r="P149" i="10"/>
  <c r="AF148" i="10"/>
  <c r="AF147" i="10"/>
  <c r="AF146" i="10"/>
  <c r="P146" i="10"/>
  <c r="AF145" i="10"/>
  <c r="P145" i="10"/>
  <c r="AF144" i="10"/>
  <c r="AF143" i="10"/>
  <c r="AF142" i="10"/>
  <c r="P142" i="10"/>
  <c r="AF141" i="10"/>
  <c r="P141" i="10"/>
  <c r="AF140" i="10"/>
  <c r="AF139" i="10"/>
  <c r="AF138" i="10"/>
  <c r="P138" i="10"/>
  <c r="AF137" i="10"/>
  <c r="P137" i="10"/>
  <c r="AF136" i="10"/>
  <c r="AF135" i="10"/>
  <c r="AF134" i="10"/>
  <c r="P134" i="10"/>
  <c r="AF133" i="10"/>
  <c r="P133" i="10"/>
  <c r="AF132" i="10"/>
  <c r="AF131" i="10"/>
  <c r="AF130" i="10"/>
  <c r="P130" i="10"/>
  <c r="AF129" i="10"/>
  <c r="P129" i="10"/>
  <c r="AF128" i="10"/>
  <c r="AF127" i="10"/>
  <c r="AF126" i="10"/>
  <c r="P126" i="10"/>
  <c r="AF125" i="10"/>
  <c r="P125" i="10"/>
  <c r="AF124" i="10"/>
  <c r="AF123" i="10"/>
  <c r="AF122" i="10"/>
  <c r="P122" i="10"/>
  <c r="AF121" i="10"/>
  <c r="P121" i="10"/>
  <c r="AF120" i="10"/>
  <c r="AF119" i="10"/>
  <c r="AF118" i="10"/>
  <c r="P118" i="10"/>
  <c r="AF117" i="10"/>
  <c r="P117" i="10"/>
  <c r="AF116" i="10"/>
  <c r="AF115" i="10"/>
  <c r="AF114" i="10"/>
  <c r="P114" i="10"/>
  <c r="AF113" i="10"/>
  <c r="P113" i="10"/>
  <c r="AF112" i="10"/>
  <c r="AF111" i="10"/>
  <c r="AF110" i="10"/>
  <c r="P110" i="10"/>
  <c r="AF109" i="10"/>
  <c r="P109" i="10"/>
  <c r="AF108" i="10"/>
  <c r="AF107" i="10"/>
  <c r="AF106" i="10"/>
  <c r="P106" i="10"/>
  <c r="AF105" i="10"/>
  <c r="P105" i="10"/>
  <c r="AF104" i="10"/>
  <c r="AF103" i="10"/>
  <c r="AF102" i="10"/>
  <c r="P102" i="10"/>
  <c r="AF101" i="10"/>
  <c r="P101" i="10"/>
  <c r="AF100" i="10"/>
  <c r="AF99" i="10"/>
  <c r="AF98" i="10"/>
  <c r="P98" i="10"/>
  <c r="AF97" i="10"/>
  <c r="P97" i="10"/>
  <c r="AF96" i="10"/>
  <c r="AF95" i="10"/>
  <c r="AF94" i="10"/>
  <c r="P94" i="10"/>
  <c r="AF93" i="10"/>
  <c r="P93" i="10"/>
  <c r="AF92" i="10"/>
  <c r="AF91" i="10"/>
  <c r="AF90" i="10"/>
  <c r="P90" i="10"/>
  <c r="AF89" i="10"/>
  <c r="P89" i="10"/>
  <c r="AF88" i="10"/>
  <c r="AF87" i="10"/>
  <c r="AF86" i="10"/>
  <c r="P86" i="10"/>
  <c r="AF85" i="10"/>
  <c r="P85" i="10"/>
  <c r="AF84" i="10"/>
  <c r="AF83" i="10"/>
  <c r="AF82" i="10"/>
  <c r="P82" i="10"/>
  <c r="AF81" i="10"/>
  <c r="P81" i="10"/>
  <c r="AF80" i="10"/>
  <c r="AF79" i="10"/>
  <c r="AF78" i="10"/>
  <c r="P78" i="10"/>
  <c r="AF77" i="10"/>
  <c r="P77" i="10"/>
  <c r="AF76" i="10"/>
  <c r="AF75" i="10"/>
  <c r="AF74" i="10"/>
  <c r="P74" i="10"/>
  <c r="AF73" i="10"/>
  <c r="P73" i="10"/>
  <c r="AF72" i="10"/>
  <c r="AF71" i="10"/>
  <c r="AF70" i="10"/>
  <c r="P70" i="10"/>
  <c r="AF69" i="10"/>
  <c r="P69" i="10"/>
  <c r="AF68" i="10"/>
  <c r="AF67" i="10"/>
  <c r="AF66" i="10"/>
  <c r="P66" i="10"/>
  <c r="AF65" i="10"/>
  <c r="P65" i="10"/>
  <c r="AF64" i="10"/>
  <c r="AF63" i="10"/>
  <c r="AF62" i="10"/>
  <c r="P62" i="10"/>
  <c r="AF61" i="10"/>
  <c r="P61" i="10"/>
  <c r="AF60" i="10"/>
  <c r="AF59" i="10"/>
  <c r="AF58" i="10"/>
  <c r="P58" i="10"/>
  <c r="AF57" i="10"/>
  <c r="P57" i="10"/>
  <c r="AF56" i="10"/>
  <c r="AF55" i="10"/>
  <c r="AF54" i="10"/>
  <c r="P54" i="10"/>
  <c r="AF53" i="10"/>
  <c r="P53" i="10"/>
  <c r="AF52" i="10"/>
  <c r="AF51" i="10"/>
  <c r="AF50" i="10"/>
  <c r="P50" i="10"/>
  <c r="AF49" i="10"/>
  <c r="P49" i="10"/>
  <c r="AF48" i="10"/>
  <c r="AF47" i="10"/>
  <c r="AF46" i="10"/>
  <c r="P46" i="10"/>
  <c r="AF45" i="10"/>
  <c r="P45" i="10"/>
  <c r="AF44" i="10"/>
  <c r="AF43" i="10"/>
  <c r="AF42" i="10"/>
  <c r="P42" i="10"/>
  <c r="P41" i="10"/>
  <c r="BC39" i="10"/>
  <c r="BC38" i="10"/>
  <c r="N38" i="10"/>
  <c r="O38" i="10" s="1"/>
  <c r="BC37" i="10"/>
  <c r="N37" i="10"/>
  <c r="O37" i="10" s="1"/>
  <c r="BC36" i="10"/>
  <c r="P36" i="10"/>
  <c r="N36" i="10"/>
  <c r="O36" i="10" s="1"/>
  <c r="BC35" i="10"/>
  <c r="P35" i="10"/>
  <c r="N35" i="10"/>
  <c r="O35" i="10" s="1"/>
  <c r="BC34" i="10"/>
  <c r="P34" i="10"/>
  <c r="N34" i="10"/>
  <c r="O34" i="10" s="1"/>
  <c r="BC33" i="10"/>
  <c r="P33" i="10"/>
  <c r="N33" i="10"/>
  <c r="O33" i="10" s="1"/>
  <c r="BC32" i="10"/>
  <c r="N32" i="10"/>
  <c r="O32" i="10" s="1"/>
  <c r="BC31" i="10"/>
  <c r="N31" i="10"/>
  <c r="O31" i="10" s="1"/>
  <c r="BC30" i="10"/>
  <c r="N30" i="10"/>
  <c r="O30" i="10" s="1"/>
  <c r="BC29" i="10"/>
  <c r="N29" i="10"/>
  <c r="O29" i="10" s="1"/>
  <c r="BC28" i="10"/>
  <c r="N28" i="10"/>
  <c r="O28" i="10" s="1"/>
  <c r="BC27" i="10"/>
  <c r="P27" i="10"/>
  <c r="R19" i="10" s="1"/>
  <c r="N27" i="10"/>
  <c r="O27" i="10" s="1"/>
  <c r="BC26" i="10"/>
  <c r="P26" i="10"/>
  <c r="N26" i="10"/>
  <c r="O26" i="10" s="1"/>
  <c r="BC25" i="10"/>
  <c r="P25" i="10"/>
  <c r="N25" i="10"/>
  <c r="O25" i="10" s="1"/>
  <c r="BC24" i="10"/>
  <c r="P24" i="10"/>
  <c r="N24" i="10"/>
  <c r="O24" i="10" s="1"/>
  <c r="BC23" i="10"/>
  <c r="P23" i="10"/>
  <c r="N23" i="10"/>
  <c r="O23" i="10" s="1"/>
  <c r="BC22" i="10"/>
  <c r="P22" i="10"/>
  <c r="N22" i="10"/>
  <c r="O22" i="10" s="1"/>
  <c r="BC21" i="10"/>
  <c r="P21" i="10"/>
  <c r="N21" i="10"/>
  <c r="O21" i="10" s="1"/>
  <c r="BC20" i="10"/>
  <c r="BC19" i="10"/>
  <c r="Q19" i="10"/>
  <c r="BC18" i="10"/>
  <c r="BC17" i="10"/>
  <c r="N17" i="10"/>
  <c r="N18" i="10" s="1"/>
  <c r="BC16" i="10"/>
  <c r="BC15" i="10"/>
  <c r="BC14" i="10"/>
  <c r="P14" i="10"/>
  <c r="BC13" i="10"/>
  <c r="P13" i="10"/>
  <c r="BC12" i="10"/>
  <c r="P12" i="10"/>
  <c r="BC11" i="10"/>
  <c r="P11" i="10"/>
  <c r="BC10" i="10"/>
  <c r="P10" i="10"/>
  <c r="BC9" i="10"/>
  <c r="P9" i="10"/>
  <c r="N9" i="10"/>
  <c r="N10" i="10" s="1"/>
  <c r="BC8" i="10"/>
  <c r="N8" i="10"/>
  <c r="BC7" i="10"/>
  <c r="BC6" i="10"/>
  <c r="BC5" i="10"/>
  <c r="BC4" i="10"/>
  <c r="BC3" i="10"/>
  <c r="N19" i="10" l="1"/>
  <c r="O19" i="10" s="1"/>
  <c r="O18" i="10"/>
  <c r="AF202" i="9"/>
  <c r="AF201" i="9"/>
  <c r="AF200" i="9"/>
  <c r="AF199" i="9"/>
  <c r="AF198" i="9"/>
  <c r="AF197" i="9"/>
  <c r="AF196" i="9"/>
  <c r="AF195" i="9"/>
  <c r="AF194" i="9"/>
  <c r="AF193" i="9"/>
  <c r="AF192" i="9"/>
  <c r="AF191" i="9"/>
  <c r="AF190" i="9"/>
  <c r="AF189" i="9"/>
  <c r="AF188" i="9"/>
  <c r="AF187" i="9"/>
  <c r="AF186" i="9"/>
  <c r="P186" i="9"/>
  <c r="AF185" i="9"/>
  <c r="P185" i="9"/>
  <c r="AF184" i="9"/>
  <c r="AF183" i="9"/>
  <c r="AF182" i="9"/>
  <c r="P182" i="9"/>
  <c r="AF181" i="9"/>
  <c r="P181" i="9"/>
  <c r="AF180" i="9"/>
  <c r="AF179" i="9"/>
  <c r="AF178" i="9"/>
  <c r="P178" i="9"/>
  <c r="AF177" i="9"/>
  <c r="P177" i="9"/>
  <c r="AF176" i="9"/>
  <c r="AF175" i="9"/>
  <c r="AF174" i="9"/>
  <c r="P174" i="9"/>
  <c r="AF173" i="9"/>
  <c r="P173" i="9"/>
  <c r="AF172" i="9"/>
  <c r="AF171" i="9"/>
  <c r="AF170" i="9"/>
  <c r="P170" i="9"/>
  <c r="AF169" i="9"/>
  <c r="P169" i="9"/>
  <c r="AF168" i="9"/>
  <c r="AF167" i="9"/>
  <c r="AF166" i="9"/>
  <c r="P166" i="9"/>
  <c r="AF165" i="9"/>
  <c r="P165" i="9"/>
  <c r="AF164" i="9"/>
  <c r="AF163" i="9"/>
  <c r="AF162" i="9"/>
  <c r="P162" i="9"/>
  <c r="AF161" i="9"/>
  <c r="P161" i="9"/>
  <c r="AF160" i="9"/>
  <c r="AF159" i="9"/>
  <c r="AF158" i="9"/>
  <c r="P158" i="9"/>
  <c r="AF157" i="9"/>
  <c r="P157" i="9"/>
  <c r="AF156" i="9"/>
  <c r="AF155" i="9"/>
  <c r="AF154" i="9"/>
  <c r="P154" i="9"/>
  <c r="AF153" i="9"/>
  <c r="P153" i="9"/>
  <c r="AF152" i="9"/>
  <c r="AF151" i="9"/>
  <c r="AF150" i="9"/>
  <c r="P150" i="9"/>
  <c r="AF149" i="9"/>
  <c r="P149" i="9"/>
  <c r="AF148" i="9"/>
  <c r="AF147" i="9"/>
  <c r="AF146" i="9"/>
  <c r="P146" i="9"/>
  <c r="AF145" i="9"/>
  <c r="P145" i="9"/>
  <c r="AF144" i="9"/>
  <c r="AF143" i="9"/>
  <c r="AF142" i="9"/>
  <c r="P142" i="9"/>
  <c r="AF141" i="9"/>
  <c r="P141" i="9"/>
  <c r="AF140" i="9"/>
  <c r="AF139" i="9"/>
  <c r="AF138" i="9"/>
  <c r="P138" i="9"/>
  <c r="AF137" i="9"/>
  <c r="P137" i="9"/>
  <c r="AF136" i="9"/>
  <c r="AF135" i="9"/>
  <c r="AF134" i="9"/>
  <c r="P134" i="9"/>
  <c r="AF133" i="9"/>
  <c r="P133" i="9"/>
  <c r="AF132" i="9"/>
  <c r="AF131" i="9"/>
  <c r="AF130" i="9"/>
  <c r="P130" i="9"/>
  <c r="AF129" i="9"/>
  <c r="P129" i="9"/>
  <c r="AF128" i="9"/>
  <c r="AF127" i="9"/>
  <c r="AF126" i="9"/>
  <c r="P126" i="9"/>
  <c r="AF125" i="9"/>
  <c r="P125" i="9"/>
  <c r="AF124" i="9"/>
  <c r="AF123" i="9"/>
  <c r="AF122" i="9"/>
  <c r="P122" i="9"/>
  <c r="AF121" i="9"/>
  <c r="P121" i="9"/>
  <c r="AF120" i="9"/>
  <c r="AF119" i="9"/>
  <c r="AF118" i="9"/>
  <c r="P118" i="9"/>
  <c r="AF117" i="9"/>
  <c r="P117" i="9"/>
  <c r="AF116" i="9"/>
  <c r="AF115" i="9"/>
  <c r="AF114" i="9"/>
  <c r="P114" i="9"/>
  <c r="AF113" i="9"/>
  <c r="P113" i="9"/>
  <c r="AF112" i="9"/>
  <c r="AF111" i="9"/>
  <c r="AF110" i="9"/>
  <c r="P110" i="9"/>
  <c r="AF109" i="9"/>
  <c r="P109" i="9"/>
  <c r="AF108" i="9"/>
  <c r="AF107" i="9"/>
  <c r="AF106" i="9"/>
  <c r="P106" i="9"/>
  <c r="AF105" i="9"/>
  <c r="P105" i="9"/>
  <c r="AF104" i="9"/>
  <c r="AF103" i="9"/>
  <c r="AF102" i="9"/>
  <c r="P102" i="9"/>
  <c r="AF101" i="9"/>
  <c r="P101" i="9"/>
  <c r="AF100" i="9"/>
  <c r="AF99" i="9"/>
  <c r="AF98" i="9"/>
  <c r="P98" i="9"/>
  <c r="AF97" i="9"/>
  <c r="P97" i="9"/>
  <c r="AF96" i="9"/>
  <c r="AF95" i="9"/>
  <c r="AF94" i="9"/>
  <c r="P94" i="9"/>
  <c r="AF93" i="9"/>
  <c r="P93" i="9"/>
  <c r="AF92" i="9"/>
  <c r="AF91" i="9"/>
  <c r="AF90" i="9"/>
  <c r="P90" i="9"/>
  <c r="AF89" i="9"/>
  <c r="P89" i="9"/>
  <c r="AF88" i="9"/>
  <c r="AF87" i="9"/>
  <c r="AF86" i="9"/>
  <c r="P86" i="9"/>
  <c r="AF85" i="9"/>
  <c r="P85" i="9"/>
  <c r="AF84" i="9"/>
  <c r="AF83" i="9"/>
  <c r="AF82" i="9"/>
  <c r="P82" i="9"/>
  <c r="AF81" i="9"/>
  <c r="P81" i="9"/>
  <c r="AF80" i="9"/>
  <c r="AF79" i="9"/>
  <c r="AF78" i="9"/>
  <c r="P78" i="9"/>
  <c r="AF77" i="9"/>
  <c r="P77" i="9"/>
  <c r="AF76" i="9"/>
  <c r="AF75" i="9"/>
  <c r="AF74" i="9"/>
  <c r="P74" i="9"/>
  <c r="AF73" i="9"/>
  <c r="P73" i="9"/>
  <c r="AF72" i="9"/>
  <c r="AF71" i="9"/>
  <c r="AF70" i="9"/>
  <c r="P70" i="9"/>
  <c r="AF69" i="9"/>
  <c r="P69" i="9"/>
  <c r="AF68" i="9"/>
  <c r="AF67" i="9"/>
  <c r="AF66" i="9"/>
  <c r="P66" i="9"/>
  <c r="AF65" i="9"/>
  <c r="P65" i="9"/>
  <c r="AF64" i="9"/>
  <c r="AF63" i="9"/>
  <c r="AF62" i="9"/>
  <c r="P62" i="9"/>
  <c r="AF61" i="9"/>
  <c r="P61" i="9"/>
  <c r="AF60" i="9"/>
  <c r="AF59" i="9"/>
  <c r="AF58" i="9"/>
  <c r="P58" i="9"/>
  <c r="AF57" i="9"/>
  <c r="P57" i="9"/>
  <c r="AF56" i="9"/>
  <c r="AF55" i="9"/>
  <c r="AF54" i="9"/>
  <c r="P54" i="9"/>
  <c r="AF53" i="9"/>
  <c r="P53" i="9"/>
  <c r="AF52" i="9"/>
  <c r="AF51" i="9"/>
  <c r="AF50" i="9"/>
  <c r="P50" i="9"/>
  <c r="AF49" i="9"/>
  <c r="P49" i="9"/>
  <c r="AF48" i="9"/>
  <c r="AF47" i="9"/>
  <c r="AF46" i="9"/>
  <c r="P46" i="9"/>
  <c r="AF45" i="9"/>
  <c r="P45" i="9"/>
  <c r="AF44" i="9"/>
  <c r="AF43" i="9"/>
  <c r="AF42" i="9"/>
  <c r="P42" i="9"/>
  <c r="P41" i="9"/>
  <c r="BC39" i="9"/>
  <c r="BC38" i="9"/>
  <c r="N38" i="9"/>
  <c r="O38" i="9" s="1"/>
  <c r="BC37" i="9"/>
  <c r="N37" i="9"/>
  <c r="O37" i="9" s="1"/>
  <c r="BC36" i="9"/>
  <c r="P36" i="9"/>
  <c r="N36" i="9"/>
  <c r="O36" i="9" s="1"/>
  <c r="BC35" i="9"/>
  <c r="P35" i="9"/>
  <c r="N35" i="9"/>
  <c r="O35" i="9" s="1"/>
  <c r="BC34" i="9"/>
  <c r="P34" i="9"/>
  <c r="N34" i="9"/>
  <c r="O34" i="9" s="1"/>
  <c r="BC33" i="9"/>
  <c r="P33" i="9"/>
  <c r="N33" i="9"/>
  <c r="O33" i="9" s="1"/>
  <c r="BC32" i="9"/>
  <c r="N32" i="9"/>
  <c r="O32" i="9" s="1"/>
  <c r="BC31" i="9"/>
  <c r="N31" i="9"/>
  <c r="O31" i="9" s="1"/>
  <c r="BC30" i="9"/>
  <c r="N30" i="9"/>
  <c r="O30" i="9" s="1"/>
  <c r="BC29" i="9"/>
  <c r="N29" i="9"/>
  <c r="O29" i="9" s="1"/>
  <c r="BC28" i="9"/>
  <c r="N28" i="9"/>
  <c r="O28" i="9" s="1"/>
  <c r="BC27" i="9"/>
  <c r="P27" i="9"/>
  <c r="R19" i="9" s="1"/>
  <c r="N27" i="9"/>
  <c r="BC26" i="9"/>
  <c r="P26" i="9"/>
  <c r="N26" i="9"/>
  <c r="O26" i="9" s="1"/>
  <c r="BC25" i="9"/>
  <c r="P25" i="9"/>
  <c r="N25" i="9"/>
  <c r="O25" i="9" s="1"/>
  <c r="BC24" i="9"/>
  <c r="P24" i="9"/>
  <c r="N24" i="9"/>
  <c r="O24" i="9" s="1"/>
  <c r="BC23" i="9"/>
  <c r="P23" i="9"/>
  <c r="N23" i="9"/>
  <c r="O23" i="9" s="1"/>
  <c r="BC22" i="9"/>
  <c r="P22" i="9"/>
  <c r="N22" i="9"/>
  <c r="O22" i="9" s="1"/>
  <c r="BC21" i="9"/>
  <c r="P21" i="9"/>
  <c r="N21" i="9"/>
  <c r="O21" i="9" s="1"/>
  <c r="BC20" i="9"/>
  <c r="BC19" i="9"/>
  <c r="Q19" i="9"/>
  <c r="BC18" i="9"/>
  <c r="BC17" i="9"/>
  <c r="N17" i="9"/>
  <c r="N18" i="9" s="1"/>
  <c r="BC16" i="9"/>
  <c r="BC15" i="9"/>
  <c r="BC14" i="9"/>
  <c r="P14" i="9"/>
  <c r="BC13" i="9"/>
  <c r="P13" i="9"/>
  <c r="BC12" i="9"/>
  <c r="P12" i="9"/>
  <c r="BC11" i="9"/>
  <c r="P11" i="9"/>
  <c r="BC10" i="9"/>
  <c r="P10" i="9"/>
  <c r="BC9" i="9"/>
  <c r="P9" i="9"/>
  <c r="N9" i="9"/>
  <c r="N10" i="9" s="1"/>
  <c r="BC8" i="9"/>
  <c r="N8" i="9"/>
  <c r="BC7" i="9"/>
  <c r="BC6" i="9"/>
  <c r="BC5" i="9"/>
  <c r="BC4" i="9"/>
  <c r="BC3" i="9"/>
  <c r="O27" i="9" l="1"/>
  <c r="N19" i="9"/>
  <c r="O19" i="9" s="1"/>
  <c r="O18" i="9"/>
  <c r="AF202" i="8"/>
  <c r="AF201" i="8"/>
  <c r="AF200" i="8"/>
  <c r="AF199" i="8"/>
  <c r="AF198" i="8"/>
  <c r="AF197" i="8"/>
  <c r="AF196" i="8"/>
  <c r="AF195" i="8"/>
  <c r="AF194" i="8"/>
  <c r="AF193" i="8"/>
  <c r="AF192" i="8"/>
  <c r="AF191" i="8"/>
  <c r="AF190" i="8"/>
  <c r="AF189" i="8"/>
  <c r="AF188" i="8"/>
  <c r="AF187" i="8"/>
  <c r="AF186" i="8"/>
  <c r="P186" i="8"/>
  <c r="AF185" i="8"/>
  <c r="P185" i="8"/>
  <c r="AF184" i="8"/>
  <c r="AF183" i="8"/>
  <c r="AF182" i="8"/>
  <c r="P182" i="8"/>
  <c r="AF181" i="8"/>
  <c r="P181" i="8"/>
  <c r="AF180" i="8"/>
  <c r="AF179" i="8"/>
  <c r="AF178" i="8"/>
  <c r="P178" i="8"/>
  <c r="AF177" i="8"/>
  <c r="P177" i="8"/>
  <c r="AF176" i="8"/>
  <c r="AF175" i="8"/>
  <c r="AF174" i="8"/>
  <c r="P174" i="8"/>
  <c r="AF173" i="8"/>
  <c r="P173" i="8"/>
  <c r="AF172" i="8"/>
  <c r="AF171" i="8"/>
  <c r="AF170" i="8"/>
  <c r="P170" i="8"/>
  <c r="AF169" i="8"/>
  <c r="P169" i="8"/>
  <c r="AF168" i="8"/>
  <c r="AF167" i="8"/>
  <c r="AF166" i="8"/>
  <c r="P166" i="8"/>
  <c r="AF165" i="8"/>
  <c r="P165" i="8"/>
  <c r="AF164" i="8"/>
  <c r="AF163" i="8"/>
  <c r="AF162" i="8"/>
  <c r="P162" i="8"/>
  <c r="AF161" i="8"/>
  <c r="P161" i="8"/>
  <c r="AF160" i="8"/>
  <c r="AF159" i="8"/>
  <c r="AF158" i="8"/>
  <c r="P158" i="8"/>
  <c r="AF157" i="8"/>
  <c r="P157" i="8"/>
  <c r="AF156" i="8"/>
  <c r="AF155" i="8"/>
  <c r="AF154" i="8"/>
  <c r="P154" i="8"/>
  <c r="AF153" i="8"/>
  <c r="P153" i="8"/>
  <c r="AF152" i="8"/>
  <c r="AF151" i="8"/>
  <c r="AF150" i="8"/>
  <c r="P150" i="8"/>
  <c r="AF149" i="8"/>
  <c r="P149" i="8"/>
  <c r="AF148" i="8"/>
  <c r="AF147" i="8"/>
  <c r="AF146" i="8"/>
  <c r="P146" i="8"/>
  <c r="AF145" i="8"/>
  <c r="P145" i="8"/>
  <c r="AF144" i="8"/>
  <c r="AF143" i="8"/>
  <c r="AF142" i="8"/>
  <c r="P142" i="8"/>
  <c r="AF141" i="8"/>
  <c r="P141" i="8"/>
  <c r="AF140" i="8"/>
  <c r="AF139" i="8"/>
  <c r="AF138" i="8"/>
  <c r="P138" i="8"/>
  <c r="AF137" i="8"/>
  <c r="P137" i="8"/>
  <c r="AF136" i="8"/>
  <c r="AF135" i="8"/>
  <c r="AF134" i="8"/>
  <c r="P134" i="8"/>
  <c r="AF133" i="8"/>
  <c r="P133" i="8"/>
  <c r="AF132" i="8"/>
  <c r="AF131" i="8"/>
  <c r="AF130" i="8"/>
  <c r="P130" i="8"/>
  <c r="AF129" i="8"/>
  <c r="P129" i="8"/>
  <c r="AF128" i="8"/>
  <c r="AF127" i="8"/>
  <c r="AF126" i="8"/>
  <c r="P126" i="8"/>
  <c r="AF125" i="8"/>
  <c r="P125" i="8"/>
  <c r="AF124" i="8"/>
  <c r="AF123" i="8"/>
  <c r="AF122" i="8"/>
  <c r="P122" i="8"/>
  <c r="AF121" i="8"/>
  <c r="P121" i="8"/>
  <c r="AF120" i="8"/>
  <c r="AF119" i="8"/>
  <c r="AF118" i="8"/>
  <c r="P118" i="8"/>
  <c r="AF117" i="8"/>
  <c r="P117" i="8"/>
  <c r="AF116" i="8"/>
  <c r="AF115" i="8"/>
  <c r="AF114" i="8"/>
  <c r="P114" i="8"/>
  <c r="AF113" i="8"/>
  <c r="P113" i="8"/>
  <c r="AF112" i="8"/>
  <c r="AF111" i="8"/>
  <c r="AF110" i="8"/>
  <c r="P110" i="8"/>
  <c r="AF109" i="8"/>
  <c r="P109" i="8"/>
  <c r="AF108" i="8"/>
  <c r="AF107" i="8"/>
  <c r="AF106" i="8"/>
  <c r="P106" i="8"/>
  <c r="AF105" i="8"/>
  <c r="P105" i="8"/>
  <c r="AF104" i="8"/>
  <c r="AF103" i="8"/>
  <c r="AF102" i="8"/>
  <c r="P102" i="8"/>
  <c r="AF101" i="8"/>
  <c r="P101" i="8"/>
  <c r="AF100" i="8"/>
  <c r="AF99" i="8"/>
  <c r="AF98" i="8"/>
  <c r="P98" i="8"/>
  <c r="AF97" i="8"/>
  <c r="P97" i="8"/>
  <c r="AF96" i="8"/>
  <c r="AF95" i="8"/>
  <c r="AF94" i="8"/>
  <c r="P94" i="8"/>
  <c r="AF93" i="8"/>
  <c r="P93" i="8"/>
  <c r="AF92" i="8"/>
  <c r="AF91" i="8"/>
  <c r="AF90" i="8"/>
  <c r="P90" i="8"/>
  <c r="AF89" i="8"/>
  <c r="P89" i="8"/>
  <c r="AF88" i="8"/>
  <c r="AF87" i="8"/>
  <c r="AF86" i="8"/>
  <c r="P86" i="8"/>
  <c r="AF85" i="8"/>
  <c r="P85" i="8"/>
  <c r="AF84" i="8"/>
  <c r="AF83" i="8"/>
  <c r="AF82" i="8"/>
  <c r="P82" i="8"/>
  <c r="AF81" i="8"/>
  <c r="P81" i="8"/>
  <c r="AF80" i="8"/>
  <c r="AF79" i="8"/>
  <c r="AF78" i="8"/>
  <c r="P78" i="8"/>
  <c r="AF77" i="8"/>
  <c r="P77" i="8"/>
  <c r="AF76" i="8"/>
  <c r="AF75" i="8"/>
  <c r="AF74" i="8"/>
  <c r="P74" i="8"/>
  <c r="AF73" i="8"/>
  <c r="P73" i="8"/>
  <c r="AF72" i="8"/>
  <c r="AF71" i="8"/>
  <c r="AF70" i="8"/>
  <c r="P70" i="8"/>
  <c r="AF69" i="8"/>
  <c r="P69" i="8"/>
  <c r="AF68" i="8"/>
  <c r="AF67" i="8"/>
  <c r="AF66" i="8"/>
  <c r="P66" i="8"/>
  <c r="AF65" i="8"/>
  <c r="P65" i="8"/>
  <c r="AF64" i="8"/>
  <c r="AF63" i="8"/>
  <c r="AF62" i="8"/>
  <c r="P62" i="8"/>
  <c r="AF61" i="8"/>
  <c r="P61" i="8"/>
  <c r="AF60" i="8"/>
  <c r="AF59" i="8"/>
  <c r="AF58" i="8"/>
  <c r="P58" i="8"/>
  <c r="AF57" i="8"/>
  <c r="P57" i="8"/>
  <c r="AF56" i="8"/>
  <c r="AF55" i="8"/>
  <c r="AF54" i="8"/>
  <c r="P54" i="8"/>
  <c r="AF53" i="8"/>
  <c r="P53" i="8"/>
  <c r="AF52" i="8"/>
  <c r="AF51" i="8"/>
  <c r="AF50" i="8"/>
  <c r="P50" i="8"/>
  <c r="AF49" i="8"/>
  <c r="P49" i="8"/>
  <c r="AF48" i="8"/>
  <c r="AF47" i="8"/>
  <c r="AF46" i="8"/>
  <c r="P46" i="8"/>
  <c r="AF45" i="8"/>
  <c r="P45" i="8"/>
  <c r="AF44" i="8"/>
  <c r="AF43" i="8"/>
  <c r="AF42" i="8"/>
  <c r="P42" i="8"/>
  <c r="P41" i="8"/>
  <c r="BC39" i="8"/>
  <c r="BC38" i="8"/>
  <c r="N38" i="8"/>
  <c r="BC37" i="8"/>
  <c r="N37" i="8"/>
  <c r="BC36" i="8"/>
  <c r="P36" i="8"/>
  <c r="N36" i="8"/>
  <c r="O36" i="8" s="1"/>
  <c r="BC35" i="8"/>
  <c r="P35" i="8"/>
  <c r="N35" i="8"/>
  <c r="O35" i="8" s="1"/>
  <c r="BC34" i="8"/>
  <c r="P34" i="8"/>
  <c r="N34" i="8"/>
  <c r="O34" i="8" s="1"/>
  <c r="BC33" i="8"/>
  <c r="P33" i="8"/>
  <c r="N33" i="8"/>
  <c r="O33" i="8" s="1"/>
  <c r="BC32" i="8"/>
  <c r="N32" i="8"/>
  <c r="O32" i="8" s="1"/>
  <c r="BC31" i="8"/>
  <c r="N31" i="8"/>
  <c r="O31" i="8" s="1"/>
  <c r="BC30" i="8"/>
  <c r="N30" i="8"/>
  <c r="O30" i="8" s="1"/>
  <c r="BC29" i="8"/>
  <c r="N29" i="8"/>
  <c r="BC28" i="8"/>
  <c r="N28" i="8"/>
  <c r="O28" i="8" s="1"/>
  <c r="BC27" i="8"/>
  <c r="P27" i="8"/>
  <c r="N27" i="8"/>
  <c r="BC26" i="8"/>
  <c r="P26" i="8"/>
  <c r="N26" i="8"/>
  <c r="O26" i="8" s="1"/>
  <c r="BC25" i="8"/>
  <c r="P25" i="8"/>
  <c r="N25" i="8"/>
  <c r="O25" i="8" s="1"/>
  <c r="BC24" i="8"/>
  <c r="P24" i="8"/>
  <c r="N24" i="8"/>
  <c r="O24" i="8" s="1"/>
  <c r="BC23" i="8"/>
  <c r="P23" i="8"/>
  <c r="N23" i="8"/>
  <c r="O23" i="8" s="1"/>
  <c r="BC22" i="8"/>
  <c r="P22" i="8"/>
  <c r="N22" i="8"/>
  <c r="O22" i="8" s="1"/>
  <c r="BC21" i="8"/>
  <c r="P21" i="8"/>
  <c r="N21" i="8"/>
  <c r="BC20" i="8"/>
  <c r="BC19" i="8"/>
  <c r="R19" i="8"/>
  <c r="Q19" i="8"/>
  <c r="BC18" i="8"/>
  <c r="BC17" i="8"/>
  <c r="N17" i="8"/>
  <c r="N18" i="8" s="1"/>
  <c r="BC16" i="8"/>
  <c r="BC15" i="8"/>
  <c r="BC14" i="8"/>
  <c r="P14" i="8"/>
  <c r="BC13" i="8"/>
  <c r="P13" i="8"/>
  <c r="BC12" i="8"/>
  <c r="P12" i="8"/>
  <c r="BC11" i="8"/>
  <c r="P11" i="8"/>
  <c r="BC10" i="8"/>
  <c r="P10" i="8"/>
  <c r="BC9" i="8"/>
  <c r="P9" i="8"/>
  <c r="N9" i="8"/>
  <c r="N10" i="8" s="1"/>
  <c r="BC8" i="8"/>
  <c r="N8" i="8"/>
  <c r="BC7" i="8"/>
  <c r="BC6" i="8"/>
  <c r="BC5" i="8"/>
  <c r="BC4" i="8"/>
  <c r="BC3" i="8"/>
  <c r="O27" i="8" l="1"/>
  <c r="O21" i="8"/>
  <c r="O38" i="8"/>
  <c r="O37" i="8"/>
  <c r="O29" i="8"/>
  <c r="N19" i="8"/>
  <c r="O19" i="8" s="1"/>
  <c r="O18" i="8"/>
  <c r="AF202" i="7"/>
  <c r="AF201" i="7"/>
  <c r="AF200" i="7"/>
  <c r="AF199" i="7"/>
  <c r="AF198" i="7"/>
  <c r="AF197" i="7"/>
  <c r="AF196" i="7"/>
  <c r="AF195" i="7"/>
  <c r="AF194" i="7"/>
  <c r="AF193" i="7"/>
  <c r="AF192" i="7"/>
  <c r="AF191" i="7"/>
  <c r="AF190" i="7"/>
  <c r="AF189" i="7"/>
  <c r="AF188" i="7"/>
  <c r="AF187" i="7"/>
  <c r="AF186" i="7"/>
  <c r="P186" i="7"/>
  <c r="AF185" i="7"/>
  <c r="P185" i="7"/>
  <c r="AF184" i="7"/>
  <c r="AF183" i="7"/>
  <c r="AF182" i="7"/>
  <c r="P182" i="7"/>
  <c r="AF181" i="7"/>
  <c r="P181" i="7"/>
  <c r="AF180" i="7"/>
  <c r="AF179" i="7"/>
  <c r="AF178" i="7"/>
  <c r="P178" i="7"/>
  <c r="AF177" i="7"/>
  <c r="P177" i="7"/>
  <c r="AF176" i="7"/>
  <c r="AF175" i="7"/>
  <c r="AF174" i="7"/>
  <c r="P174" i="7"/>
  <c r="AF173" i="7"/>
  <c r="P173" i="7"/>
  <c r="AF172" i="7"/>
  <c r="AF171" i="7"/>
  <c r="AF170" i="7"/>
  <c r="P170" i="7"/>
  <c r="AF169" i="7"/>
  <c r="P169" i="7"/>
  <c r="AF168" i="7"/>
  <c r="AF167" i="7"/>
  <c r="AF166" i="7"/>
  <c r="P166" i="7"/>
  <c r="AF165" i="7"/>
  <c r="P165" i="7"/>
  <c r="AF164" i="7"/>
  <c r="AF163" i="7"/>
  <c r="AF162" i="7"/>
  <c r="P162" i="7"/>
  <c r="AF161" i="7"/>
  <c r="P161" i="7"/>
  <c r="AF160" i="7"/>
  <c r="AF159" i="7"/>
  <c r="AF158" i="7"/>
  <c r="P158" i="7"/>
  <c r="AF157" i="7"/>
  <c r="P157" i="7"/>
  <c r="AF156" i="7"/>
  <c r="AF155" i="7"/>
  <c r="AF154" i="7"/>
  <c r="P154" i="7"/>
  <c r="AF153" i="7"/>
  <c r="P153" i="7"/>
  <c r="AF152" i="7"/>
  <c r="AF151" i="7"/>
  <c r="AF150" i="7"/>
  <c r="P150" i="7"/>
  <c r="AF149" i="7"/>
  <c r="P149" i="7"/>
  <c r="AF148" i="7"/>
  <c r="AF147" i="7"/>
  <c r="AF146" i="7"/>
  <c r="P146" i="7"/>
  <c r="AF145" i="7"/>
  <c r="P145" i="7"/>
  <c r="AF144" i="7"/>
  <c r="AF143" i="7"/>
  <c r="AF142" i="7"/>
  <c r="P142" i="7"/>
  <c r="AF141" i="7"/>
  <c r="P141" i="7"/>
  <c r="AF140" i="7"/>
  <c r="AF139" i="7"/>
  <c r="AF138" i="7"/>
  <c r="P138" i="7"/>
  <c r="AF137" i="7"/>
  <c r="P137" i="7"/>
  <c r="AF136" i="7"/>
  <c r="AF135" i="7"/>
  <c r="AF134" i="7"/>
  <c r="P134" i="7"/>
  <c r="AF133" i="7"/>
  <c r="P133" i="7"/>
  <c r="AF132" i="7"/>
  <c r="AF131" i="7"/>
  <c r="AF130" i="7"/>
  <c r="P130" i="7"/>
  <c r="AF129" i="7"/>
  <c r="P129" i="7"/>
  <c r="AF128" i="7"/>
  <c r="AF127" i="7"/>
  <c r="AF126" i="7"/>
  <c r="P126" i="7"/>
  <c r="AF125" i="7"/>
  <c r="P125" i="7"/>
  <c r="AF124" i="7"/>
  <c r="AF123" i="7"/>
  <c r="AF122" i="7"/>
  <c r="P122" i="7"/>
  <c r="AF121" i="7"/>
  <c r="P121" i="7"/>
  <c r="AF120" i="7"/>
  <c r="AF119" i="7"/>
  <c r="AF118" i="7"/>
  <c r="P118" i="7"/>
  <c r="AF117" i="7"/>
  <c r="P117" i="7"/>
  <c r="AF116" i="7"/>
  <c r="AF115" i="7"/>
  <c r="AF114" i="7"/>
  <c r="P114" i="7"/>
  <c r="AF113" i="7"/>
  <c r="P113" i="7"/>
  <c r="AF112" i="7"/>
  <c r="AF111" i="7"/>
  <c r="AF110" i="7"/>
  <c r="P110" i="7"/>
  <c r="AF109" i="7"/>
  <c r="P109" i="7"/>
  <c r="AF108" i="7"/>
  <c r="AF107" i="7"/>
  <c r="AF106" i="7"/>
  <c r="P106" i="7"/>
  <c r="AF105" i="7"/>
  <c r="P105" i="7"/>
  <c r="AF104" i="7"/>
  <c r="AF103" i="7"/>
  <c r="AF102" i="7"/>
  <c r="P102" i="7"/>
  <c r="AF101" i="7"/>
  <c r="P101" i="7"/>
  <c r="AF100" i="7"/>
  <c r="AF99" i="7"/>
  <c r="AF98" i="7"/>
  <c r="P98" i="7"/>
  <c r="AF97" i="7"/>
  <c r="P97" i="7"/>
  <c r="AF96" i="7"/>
  <c r="AF95" i="7"/>
  <c r="AF94" i="7"/>
  <c r="P94" i="7"/>
  <c r="AF93" i="7"/>
  <c r="P93" i="7"/>
  <c r="AF92" i="7"/>
  <c r="AF91" i="7"/>
  <c r="AF90" i="7"/>
  <c r="P90" i="7"/>
  <c r="AF89" i="7"/>
  <c r="P89" i="7"/>
  <c r="AF88" i="7"/>
  <c r="AF87" i="7"/>
  <c r="AF86" i="7"/>
  <c r="P86" i="7"/>
  <c r="AF85" i="7"/>
  <c r="P85" i="7"/>
  <c r="AF84" i="7"/>
  <c r="AF83" i="7"/>
  <c r="AF82" i="7"/>
  <c r="P82" i="7"/>
  <c r="AF81" i="7"/>
  <c r="P81" i="7"/>
  <c r="AF80" i="7"/>
  <c r="AF79" i="7"/>
  <c r="AF78" i="7"/>
  <c r="P78" i="7"/>
  <c r="AF77" i="7"/>
  <c r="P77" i="7"/>
  <c r="AF76" i="7"/>
  <c r="AF75" i="7"/>
  <c r="AF74" i="7"/>
  <c r="P74" i="7"/>
  <c r="AF73" i="7"/>
  <c r="P73" i="7"/>
  <c r="AF72" i="7"/>
  <c r="AF71" i="7"/>
  <c r="AF70" i="7"/>
  <c r="P70" i="7"/>
  <c r="AF69" i="7"/>
  <c r="P69" i="7"/>
  <c r="AF68" i="7"/>
  <c r="AF67" i="7"/>
  <c r="AF66" i="7"/>
  <c r="P66" i="7"/>
  <c r="AF65" i="7"/>
  <c r="P65" i="7"/>
  <c r="AF64" i="7"/>
  <c r="AF63" i="7"/>
  <c r="AF62" i="7"/>
  <c r="P62" i="7"/>
  <c r="AF61" i="7"/>
  <c r="P61" i="7"/>
  <c r="AF60" i="7"/>
  <c r="AF59" i="7"/>
  <c r="AF58" i="7"/>
  <c r="P58" i="7"/>
  <c r="AF57" i="7"/>
  <c r="P57" i="7"/>
  <c r="AF56" i="7"/>
  <c r="AF55" i="7"/>
  <c r="AF54" i="7"/>
  <c r="P54" i="7"/>
  <c r="AF53" i="7"/>
  <c r="P53" i="7"/>
  <c r="AF52" i="7"/>
  <c r="AF51" i="7"/>
  <c r="AF50" i="7"/>
  <c r="P50" i="7"/>
  <c r="AF49" i="7"/>
  <c r="P49" i="7"/>
  <c r="AF48" i="7"/>
  <c r="AF47" i="7"/>
  <c r="AF46" i="7"/>
  <c r="P46" i="7"/>
  <c r="AF45" i="7"/>
  <c r="P45" i="7"/>
  <c r="AF44" i="7"/>
  <c r="AF43" i="7"/>
  <c r="AF42" i="7"/>
  <c r="O21" i="7" s="1"/>
  <c r="P42" i="7"/>
  <c r="P41" i="7"/>
  <c r="BC39" i="7"/>
  <c r="BC38" i="7"/>
  <c r="N38" i="7"/>
  <c r="O38" i="7" s="1"/>
  <c r="BC37" i="7"/>
  <c r="N37" i="7"/>
  <c r="O37" i="7" s="1"/>
  <c r="BC36" i="7"/>
  <c r="P36" i="7"/>
  <c r="N36" i="7"/>
  <c r="O36" i="7" s="1"/>
  <c r="BC35" i="7"/>
  <c r="P35" i="7"/>
  <c r="N35" i="7"/>
  <c r="O35" i="7" s="1"/>
  <c r="BC34" i="7"/>
  <c r="P34" i="7"/>
  <c r="N34" i="7"/>
  <c r="O34" i="7" s="1"/>
  <c r="BC33" i="7"/>
  <c r="P33" i="7"/>
  <c r="N33" i="7"/>
  <c r="O33" i="7" s="1"/>
  <c r="BC32" i="7"/>
  <c r="N32" i="7"/>
  <c r="O32" i="7" s="1"/>
  <c r="BC31" i="7"/>
  <c r="N31" i="7"/>
  <c r="O31" i="7" s="1"/>
  <c r="BC30" i="7"/>
  <c r="N30" i="7"/>
  <c r="O30" i="7" s="1"/>
  <c r="BC29" i="7"/>
  <c r="N29" i="7"/>
  <c r="O29" i="7" s="1"/>
  <c r="BC28" i="7"/>
  <c r="N28" i="7"/>
  <c r="O28" i="7" s="1"/>
  <c r="BC27" i="7"/>
  <c r="P27" i="7"/>
  <c r="R19" i="7" s="1"/>
  <c r="N27" i="7"/>
  <c r="BC26" i="7"/>
  <c r="P26" i="7"/>
  <c r="N26" i="7"/>
  <c r="O26" i="7" s="1"/>
  <c r="BC25" i="7"/>
  <c r="P25" i="7"/>
  <c r="N25" i="7"/>
  <c r="O25" i="7" s="1"/>
  <c r="BC24" i="7"/>
  <c r="P24" i="7"/>
  <c r="N24" i="7"/>
  <c r="O24" i="7" s="1"/>
  <c r="BC23" i="7"/>
  <c r="P23" i="7"/>
  <c r="N23" i="7"/>
  <c r="O23" i="7" s="1"/>
  <c r="BC22" i="7"/>
  <c r="P22" i="7"/>
  <c r="N22" i="7"/>
  <c r="O22" i="7" s="1"/>
  <c r="BC21" i="7"/>
  <c r="P21" i="7"/>
  <c r="N21" i="7"/>
  <c r="BC20" i="7"/>
  <c r="BC19" i="7"/>
  <c r="Q19" i="7"/>
  <c r="BC18" i="7"/>
  <c r="BC17" i="7"/>
  <c r="N17" i="7"/>
  <c r="N18" i="7" s="1"/>
  <c r="BC16" i="7"/>
  <c r="BC15" i="7"/>
  <c r="BC14" i="7"/>
  <c r="P14" i="7"/>
  <c r="BC13" i="7"/>
  <c r="P13" i="7"/>
  <c r="BC12" i="7"/>
  <c r="P12" i="7"/>
  <c r="BC11" i="7"/>
  <c r="P11" i="7"/>
  <c r="BC10" i="7"/>
  <c r="P10" i="7"/>
  <c r="BC9" i="7"/>
  <c r="P9" i="7"/>
  <c r="N9" i="7"/>
  <c r="N10" i="7" s="1"/>
  <c r="BC8" i="7"/>
  <c r="N8" i="7"/>
  <c r="BC7" i="7"/>
  <c r="BC6" i="7"/>
  <c r="BC5" i="7"/>
  <c r="BC4" i="7"/>
  <c r="BC3" i="7"/>
  <c r="O27" i="7" l="1"/>
  <c r="N19" i="7"/>
  <c r="O19" i="7" s="1"/>
  <c r="O18" i="7"/>
  <c r="AF202" i="6"/>
  <c r="AF201" i="6"/>
  <c r="AF200" i="6"/>
  <c r="AF199" i="6"/>
  <c r="AF198" i="6"/>
  <c r="AF197" i="6"/>
  <c r="AF196" i="6"/>
  <c r="AF195" i="6"/>
  <c r="AF194" i="6"/>
  <c r="AF193" i="6"/>
  <c r="AF192" i="6"/>
  <c r="AF191" i="6"/>
  <c r="AF190" i="6"/>
  <c r="AF189" i="6"/>
  <c r="AF188" i="6"/>
  <c r="AF187" i="6"/>
  <c r="AF186" i="6"/>
  <c r="P186" i="6"/>
  <c r="AF185" i="6"/>
  <c r="P185" i="6"/>
  <c r="AF184" i="6"/>
  <c r="AF183" i="6"/>
  <c r="AF182" i="6"/>
  <c r="P182" i="6"/>
  <c r="AF181" i="6"/>
  <c r="P181" i="6"/>
  <c r="AF180" i="6"/>
  <c r="AF179" i="6"/>
  <c r="AF178" i="6"/>
  <c r="P178" i="6"/>
  <c r="AF177" i="6"/>
  <c r="P177" i="6"/>
  <c r="AF176" i="6"/>
  <c r="AF175" i="6"/>
  <c r="AF174" i="6"/>
  <c r="P174" i="6"/>
  <c r="AF173" i="6"/>
  <c r="P173" i="6"/>
  <c r="AF172" i="6"/>
  <c r="AF171" i="6"/>
  <c r="AF170" i="6"/>
  <c r="P170" i="6"/>
  <c r="AF169" i="6"/>
  <c r="P169" i="6"/>
  <c r="AF168" i="6"/>
  <c r="AF167" i="6"/>
  <c r="AF166" i="6"/>
  <c r="P166" i="6"/>
  <c r="AF165" i="6"/>
  <c r="P165" i="6"/>
  <c r="AF164" i="6"/>
  <c r="AF163" i="6"/>
  <c r="AF162" i="6"/>
  <c r="P162" i="6"/>
  <c r="AF161" i="6"/>
  <c r="P161" i="6"/>
  <c r="AF160" i="6"/>
  <c r="AF159" i="6"/>
  <c r="AF158" i="6"/>
  <c r="P158" i="6"/>
  <c r="AF157" i="6"/>
  <c r="P157" i="6"/>
  <c r="AF156" i="6"/>
  <c r="AF155" i="6"/>
  <c r="AF154" i="6"/>
  <c r="P154" i="6"/>
  <c r="AF153" i="6"/>
  <c r="P153" i="6"/>
  <c r="AF152" i="6"/>
  <c r="AF151" i="6"/>
  <c r="AF150" i="6"/>
  <c r="P150" i="6"/>
  <c r="AF149" i="6"/>
  <c r="P149" i="6"/>
  <c r="AF148" i="6"/>
  <c r="AF147" i="6"/>
  <c r="AF146" i="6"/>
  <c r="P146" i="6"/>
  <c r="AF145" i="6"/>
  <c r="P145" i="6"/>
  <c r="AF144" i="6"/>
  <c r="AF143" i="6"/>
  <c r="AF142" i="6"/>
  <c r="P142" i="6"/>
  <c r="AF141" i="6"/>
  <c r="P141" i="6"/>
  <c r="AF140" i="6"/>
  <c r="AF139" i="6"/>
  <c r="AF138" i="6"/>
  <c r="P138" i="6"/>
  <c r="AF137" i="6"/>
  <c r="P137" i="6"/>
  <c r="AF136" i="6"/>
  <c r="AF135" i="6"/>
  <c r="AF134" i="6"/>
  <c r="P134" i="6"/>
  <c r="AF133" i="6"/>
  <c r="P133" i="6"/>
  <c r="AF132" i="6"/>
  <c r="AF131" i="6"/>
  <c r="AF130" i="6"/>
  <c r="P130" i="6"/>
  <c r="AF129" i="6"/>
  <c r="P129" i="6"/>
  <c r="AF128" i="6"/>
  <c r="AF127" i="6"/>
  <c r="AF126" i="6"/>
  <c r="P126" i="6"/>
  <c r="AF125" i="6"/>
  <c r="P125" i="6"/>
  <c r="AF124" i="6"/>
  <c r="AF123" i="6"/>
  <c r="AF122" i="6"/>
  <c r="P122" i="6"/>
  <c r="AF121" i="6"/>
  <c r="P121" i="6"/>
  <c r="AF120" i="6"/>
  <c r="AF119" i="6"/>
  <c r="AF118" i="6"/>
  <c r="P118" i="6"/>
  <c r="AF117" i="6"/>
  <c r="P117" i="6"/>
  <c r="AF116" i="6"/>
  <c r="AF115" i="6"/>
  <c r="AF114" i="6"/>
  <c r="P114" i="6"/>
  <c r="AF113" i="6"/>
  <c r="P113" i="6"/>
  <c r="AF112" i="6"/>
  <c r="AF111" i="6"/>
  <c r="AF110" i="6"/>
  <c r="P110" i="6"/>
  <c r="AF109" i="6"/>
  <c r="P109" i="6"/>
  <c r="AF108" i="6"/>
  <c r="AF107" i="6"/>
  <c r="AF106" i="6"/>
  <c r="P106" i="6"/>
  <c r="AF105" i="6"/>
  <c r="P105" i="6"/>
  <c r="AF104" i="6"/>
  <c r="AF103" i="6"/>
  <c r="AF102" i="6"/>
  <c r="P102" i="6"/>
  <c r="AF101" i="6"/>
  <c r="P101" i="6"/>
  <c r="AF100" i="6"/>
  <c r="AF99" i="6"/>
  <c r="AF98" i="6"/>
  <c r="P98" i="6"/>
  <c r="AF97" i="6"/>
  <c r="P97" i="6"/>
  <c r="AF96" i="6"/>
  <c r="AF95" i="6"/>
  <c r="AF94" i="6"/>
  <c r="P94" i="6"/>
  <c r="AF93" i="6"/>
  <c r="P93" i="6"/>
  <c r="AF92" i="6"/>
  <c r="AF91" i="6"/>
  <c r="AF90" i="6"/>
  <c r="P90" i="6"/>
  <c r="AF89" i="6"/>
  <c r="P89" i="6"/>
  <c r="AF88" i="6"/>
  <c r="AF87" i="6"/>
  <c r="AF86" i="6"/>
  <c r="P86" i="6"/>
  <c r="AF85" i="6"/>
  <c r="P85" i="6"/>
  <c r="AF84" i="6"/>
  <c r="AF83" i="6"/>
  <c r="AF82" i="6"/>
  <c r="P82" i="6"/>
  <c r="AF81" i="6"/>
  <c r="P81" i="6"/>
  <c r="AF80" i="6"/>
  <c r="AF79" i="6"/>
  <c r="AF78" i="6"/>
  <c r="P78" i="6"/>
  <c r="AF77" i="6"/>
  <c r="P77" i="6"/>
  <c r="AF76" i="6"/>
  <c r="AF75" i="6"/>
  <c r="AF74" i="6"/>
  <c r="P74" i="6"/>
  <c r="AF73" i="6"/>
  <c r="P73" i="6"/>
  <c r="AF72" i="6"/>
  <c r="AF71" i="6"/>
  <c r="AF70" i="6"/>
  <c r="P70" i="6"/>
  <c r="AF69" i="6"/>
  <c r="P69" i="6"/>
  <c r="AF68" i="6"/>
  <c r="AF67" i="6"/>
  <c r="AF66" i="6"/>
  <c r="P66" i="6"/>
  <c r="AF65" i="6"/>
  <c r="P65" i="6"/>
  <c r="AF64" i="6"/>
  <c r="AF63" i="6"/>
  <c r="AF62" i="6"/>
  <c r="P62" i="6"/>
  <c r="AF61" i="6"/>
  <c r="P61" i="6"/>
  <c r="AF60" i="6"/>
  <c r="AF59" i="6"/>
  <c r="AF58" i="6"/>
  <c r="P58" i="6"/>
  <c r="AF57" i="6"/>
  <c r="P57" i="6"/>
  <c r="AF56" i="6"/>
  <c r="AF55" i="6"/>
  <c r="AF54" i="6"/>
  <c r="P54" i="6"/>
  <c r="AF53" i="6"/>
  <c r="P53" i="6"/>
  <c r="AF52" i="6"/>
  <c r="AF51" i="6"/>
  <c r="AF50" i="6"/>
  <c r="P50" i="6"/>
  <c r="AF49" i="6"/>
  <c r="P49" i="6"/>
  <c r="AF48" i="6"/>
  <c r="AF47" i="6"/>
  <c r="AF46" i="6"/>
  <c r="P46" i="6"/>
  <c r="AF45" i="6"/>
  <c r="P45" i="6"/>
  <c r="AF44" i="6"/>
  <c r="AF43" i="6"/>
  <c r="AF42" i="6"/>
  <c r="P42" i="6"/>
  <c r="P41" i="6"/>
  <c r="BC39" i="6"/>
  <c r="BC38" i="6"/>
  <c r="N38" i="6"/>
  <c r="BC37" i="6"/>
  <c r="N37" i="6"/>
  <c r="O37" i="6" s="1"/>
  <c r="BC36" i="6"/>
  <c r="P36" i="6"/>
  <c r="N36" i="6"/>
  <c r="O36" i="6" s="1"/>
  <c r="BC35" i="6"/>
  <c r="P35" i="6"/>
  <c r="N35" i="6"/>
  <c r="O35" i="6" s="1"/>
  <c r="BC34" i="6"/>
  <c r="P34" i="6"/>
  <c r="N34" i="6"/>
  <c r="O34" i="6" s="1"/>
  <c r="BC33" i="6"/>
  <c r="P33" i="6"/>
  <c r="N33" i="6"/>
  <c r="O33" i="6" s="1"/>
  <c r="BC32" i="6"/>
  <c r="N32" i="6"/>
  <c r="O32" i="6" s="1"/>
  <c r="BC31" i="6"/>
  <c r="N31" i="6"/>
  <c r="O31" i="6" s="1"/>
  <c r="BC30" i="6"/>
  <c r="N30" i="6"/>
  <c r="O30" i="6" s="1"/>
  <c r="BC29" i="6"/>
  <c r="N29" i="6"/>
  <c r="O29" i="6" s="1"/>
  <c r="BC28" i="6"/>
  <c r="N28" i="6"/>
  <c r="O28" i="6" s="1"/>
  <c r="BC27" i="6"/>
  <c r="P27" i="6"/>
  <c r="N27" i="6"/>
  <c r="O27" i="6" s="1"/>
  <c r="BC26" i="6"/>
  <c r="P26" i="6"/>
  <c r="N26" i="6"/>
  <c r="O26" i="6" s="1"/>
  <c r="BC25" i="6"/>
  <c r="P25" i="6"/>
  <c r="N25" i="6"/>
  <c r="O25" i="6" s="1"/>
  <c r="BC24" i="6"/>
  <c r="P24" i="6"/>
  <c r="N24" i="6"/>
  <c r="O24" i="6" s="1"/>
  <c r="BC23" i="6"/>
  <c r="P23" i="6"/>
  <c r="N23" i="6"/>
  <c r="O23" i="6" s="1"/>
  <c r="BC22" i="6"/>
  <c r="P22" i="6"/>
  <c r="N22" i="6"/>
  <c r="O22" i="6" s="1"/>
  <c r="BC21" i="6"/>
  <c r="P21" i="6"/>
  <c r="N21" i="6"/>
  <c r="O21" i="6" s="1"/>
  <c r="BC20" i="6"/>
  <c r="BC19" i="6"/>
  <c r="R19" i="6"/>
  <c r="Q19" i="6"/>
  <c r="BC18" i="6"/>
  <c r="BC17" i="6"/>
  <c r="N17" i="6"/>
  <c r="N18" i="6" s="1"/>
  <c r="BC16" i="6"/>
  <c r="BC15" i="6"/>
  <c r="BC14" i="6"/>
  <c r="P14" i="6"/>
  <c r="BC13" i="6"/>
  <c r="P13" i="6"/>
  <c r="BC12" i="6"/>
  <c r="P12" i="6"/>
  <c r="BC11" i="6"/>
  <c r="P11" i="6"/>
  <c r="BC10" i="6"/>
  <c r="P10" i="6"/>
  <c r="BC9" i="6"/>
  <c r="P9" i="6"/>
  <c r="N9" i="6"/>
  <c r="N10" i="6" s="1"/>
  <c r="BC8" i="6"/>
  <c r="N8" i="6"/>
  <c r="BC7" i="6"/>
  <c r="BC6" i="6"/>
  <c r="BC5" i="6"/>
  <c r="BC4" i="6"/>
  <c r="BC3" i="6"/>
  <c r="O38" i="6" l="1"/>
  <c r="O18" i="6"/>
  <c r="N19" i="6"/>
  <c r="O19" i="6" s="1"/>
  <c r="AF202" i="5"/>
  <c r="AF201" i="5"/>
  <c r="AF200" i="5"/>
  <c r="AF199" i="5"/>
  <c r="AF198" i="5"/>
  <c r="AF197" i="5"/>
  <c r="AF196" i="5"/>
  <c r="AF195" i="5"/>
  <c r="AF194" i="5"/>
  <c r="AF193" i="5"/>
  <c r="AF192" i="5"/>
  <c r="AF191" i="5"/>
  <c r="AF190" i="5"/>
  <c r="AF189" i="5"/>
  <c r="AF188" i="5"/>
  <c r="AF187" i="5"/>
  <c r="AF186" i="5"/>
  <c r="P186" i="5"/>
  <c r="AF185" i="5"/>
  <c r="P185" i="5"/>
  <c r="AF184" i="5"/>
  <c r="AF183" i="5"/>
  <c r="AF182" i="5"/>
  <c r="P182" i="5"/>
  <c r="AF181" i="5"/>
  <c r="P181" i="5"/>
  <c r="AF180" i="5"/>
  <c r="AF179" i="5"/>
  <c r="AF178" i="5"/>
  <c r="P178" i="5"/>
  <c r="AF177" i="5"/>
  <c r="P177" i="5"/>
  <c r="AF176" i="5"/>
  <c r="AF175" i="5"/>
  <c r="AF174" i="5"/>
  <c r="P174" i="5"/>
  <c r="AF173" i="5"/>
  <c r="P173" i="5"/>
  <c r="AF172" i="5"/>
  <c r="AF171" i="5"/>
  <c r="AF170" i="5"/>
  <c r="O35" i="5" s="1"/>
  <c r="P170" i="5"/>
  <c r="AF169" i="5"/>
  <c r="P169" i="5"/>
  <c r="AF168" i="5"/>
  <c r="AF167" i="5"/>
  <c r="AF166" i="5"/>
  <c r="P166" i="5"/>
  <c r="AF165" i="5"/>
  <c r="P165" i="5"/>
  <c r="AF164" i="5"/>
  <c r="AF163" i="5"/>
  <c r="AF162" i="5"/>
  <c r="P162" i="5"/>
  <c r="AF161" i="5"/>
  <c r="P161" i="5"/>
  <c r="AF160" i="5"/>
  <c r="AF159" i="5"/>
  <c r="AF158" i="5"/>
  <c r="P158" i="5"/>
  <c r="AF157" i="5"/>
  <c r="P157" i="5"/>
  <c r="AF156" i="5"/>
  <c r="AF155" i="5"/>
  <c r="AF154" i="5"/>
  <c r="P154" i="5"/>
  <c r="AF153" i="5"/>
  <c r="P153" i="5"/>
  <c r="AF152" i="5"/>
  <c r="AF151" i="5"/>
  <c r="AF150" i="5"/>
  <c r="P150" i="5"/>
  <c r="AF149" i="5"/>
  <c r="P149" i="5"/>
  <c r="AF148" i="5"/>
  <c r="AF147" i="5"/>
  <c r="AF146" i="5"/>
  <c r="P146" i="5"/>
  <c r="AF145" i="5"/>
  <c r="P145" i="5"/>
  <c r="AF144" i="5"/>
  <c r="AF143" i="5"/>
  <c r="AF142" i="5"/>
  <c r="P142" i="5"/>
  <c r="AF141" i="5"/>
  <c r="P141" i="5"/>
  <c r="AF140" i="5"/>
  <c r="AF139" i="5"/>
  <c r="AF138" i="5"/>
  <c r="P138" i="5"/>
  <c r="AF137" i="5"/>
  <c r="P137" i="5"/>
  <c r="AF136" i="5"/>
  <c r="AF135" i="5"/>
  <c r="AF134" i="5"/>
  <c r="P134" i="5"/>
  <c r="AF133" i="5"/>
  <c r="P133" i="5"/>
  <c r="AF132" i="5"/>
  <c r="AF131" i="5"/>
  <c r="AF130" i="5"/>
  <c r="P130" i="5"/>
  <c r="AF129" i="5"/>
  <c r="P129" i="5"/>
  <c r="AF128" i="5"/>
  <c r="AF127" i="5"/>
  <c r="AF126" i="5"/>
  <c r="P126" i="5"/>
  <c r="AF125" i="5"/>
  <c r="P125" i="5"/>
  <c r="AF124" i="5"/>
  <c r="AF123" i="5"/>
  <c r="AF122" i="5"/>
  <c r="P122" i="5"/>
  <c r="AF121" i="5"/>
  <c r="P121" i="5"/>
  <c r="AF120" i="5"/>
  <c r="AF119" i="5"/>
  <c r="AF118" i="5"/>
  <c r="P118" i="5"/>
  <c r="AF117" i="5"/>
  <c r="P117" i="5"/>
  <c r="AF116" i="5"/>
  <c r="AF115" i="5"/>
  <c r="AF114" i="5"/>
  <c r="P114" i="5"/>
  <c r="AF113" i="5"/>
  <c r="P113" i="5"/>
  <c r="AF112" i="5"/>
  <c r="AF111" i="5"/>
  <c r="AF110" i="5"/>
  <c r="P110" i="5"/>
  <c r="AF109" i="5"/>
  <c r="P109" i="5"/>
  <c r="AF108" i="5"/>
  <c r="AF107" i="5"/>
  <c r="AF106" i="5"/>
  <c r="P106" i="5"/>
  <c r="AF105" i="5"/>
  <c r="P105" i="5"/>
  <c r="AF104" i="5"/>
  <c r="AF103" i="5"/>
  <c r="AF102" i="5"/>
  <c r="P102" i="5"/>
  <c r="AF101" i="5"/>
  <c r="P101" i="5"/>
  <c r="AF100" i="5"/>
  <c r="AF99" i="5"/>
  <c r="AF98" i="5"/>
  <c r="P98" i="5"/>
  <c r="AF97" i="5"/>
  <c r="P97" i="5"/>
  <c r="AF96" i="5"/>
  <c r="AF95" i="5"/>
  <c r="AF94" i="5"/>
  <c r="P94" i="5"/>
  <c r="AF93" i="5"/>
  <c r="P93" i="5"/>
  <c r="AF92" i="5"/>
  <c r="AF91" i="5"/>
  <c r="AF90" i="5"/>
  <c r="P90" i="5"/>
  <c r="AF89" i="5"/>
  <c r="P89" i="5"/>
  <c r="AF88" i="5"/>
  <c r="AF87" i="5"/>
  <c r="AF86" i="5"/>
  <c r="P86" i="5"/>
  <c r="AF85" i="5"/>
  <c r="P85" i="5"/>
  <c r="AF84" i="5"/>
  <c r="AF83" i="5"/>
  <c r="AF82" i="5"/>
  <c r="P82" i="5"/>
  <c r="AF81" i="5"/>
  <c r="P81" i="5"/>
  <c r="AF80" i="5"/>
  <c r="AF79" i="5"/>
  <c r="AF78" i="5"/>
  <c r="P78" i="5"/>
  <c r="AF77" i="5"/>
  <c r="P77" i="5"/>
  <c r="AF76" i="5"/>
  <c r="AF75" i="5"/>
  <c r="AF74" i="5"/>
  <c r="P74" i="5"/>
  <c r="AF73" i="5"/>
  <c r="P73" i="5"/>
  <c r="AF72" i="5"/>
  <c r="AF71" i="5"/>
  <c r="AF70" i="5"/>
  <c r="P70" i="5"/>
  <c r="AF69" i="5"/>
  <c r="P69" i="5"/>
  <c r="AF68" i="5"/>
  <c r="AF67" i="5"/>
  <c r="AF66" i="5"/>
  <c r="P66" i="5"/>
  <c r="AF65" i="5"/>
  <c r="P65" i="5"/>
  <c r="AF64" i="5"/>
  <c r="AF63" i="5"/>
  <c r="AF62" i="5"/>
  <c r="P62" i="5"/>
  <c r="AF61" i="5"/>
  <c r="P61" i="5"/>
  <c r="AF60" i="5"/>
  <c r="AF59" i="5"/>
  <c r="AF58" i="5"/>
  <c r="P58" i="5"/>
  <c r="AF57" i="5"/>
  <c r="P57" i="5"/>
  <c r="AF56" i="5"/>
  <c r="AF55" i="5"/>
  <c r="AF54" i="5"/>
  <c r="P54" i="5"/>
  <c r="AF53" i="5"/>
  <c r="P53" i="5"/>
  <c r="AF52" i="5"/>
  <c r="AF51" i="5"/>
  <c r="AF50" i="5"/>
  <c r="P50" i="5"/>
  <c r="AF49" i="5"/>
  <c r="P49" i="5"/>
  <c r="AF48" i="5"/>
  <c r="AF47" i="5"/>
  <c r="AF46" i="5"/>
  <c r="P46" i="5"/>
  <c r="AF45" i="5"/>
  <c r="P45" i="5"/>
  <c r="AF44" i="5"/>
  <c r="AF43" i="5"/>
  <c r="AF42" i="5"/>
  <c r="P42" i="5"/>
  <c r="P41" i="5"/>
  <c r="BC39" i="5"/>
  <c r="BC38" i="5"/>
  <c r="N38" i="5"/>
  <c r="BC37" i="5"/>
  <c r="N37" i="5"/>
  <c r="BC36" i="5"/>
  <c r="P36" i="5"/>
  <c r="N36" i="5"/>
  <c r="BC35" i="5"/>
  <c r="P35" i="5"/>
  <c r="N35" i="5"/>
  <c r="BC34" i="5"/>
  <c r="P34" i="5"/>
  <c r="N34" i="5"/>
  <c r="BC33" i="5"/>
  <c r="P33" i="5"/>
  <c r="N33" i="5"/>
  <c r="BC32" i="5"/>
  <c r="N32" i="5"/>
  <c r="O32" i="5" s="1"/>
  <c r="BC31" i="5"/>
  <c r="N31" i="5"/>
  <c r="O31" i="5" s="1"/>
  <c r="BC30" i="5"/>
  <c r="N30" i="5"/>
  <c r="O30" i="5" s="1"/>
  <c r="BC29" i="5"/>
  <c r="N29" i="5"/>
  <c r="O29" i="5" s="1"/>
  <c r="BC28" i="5"/>
  <c r="N28" i="5"/>
  <c r="O28" i="5" s="1"/>
  <c r="BC27" i="5"/>
  <c r="P27" i="5"/>
  <c r="N27" i="5"/>
  <c r="BC26" i="5"/>
  <c r="P26" i="5"/>
  <c r="N26" i="5"/>
  <c r="O26" i="5" s="1"/>
  <c r="BC25" i="5"/>
  <c r="P25" i="5"/>
  <c r="N25" i="5"/>
  <c r="O25" i="5" s="1"/>
  <c r="BC24" i="5"/>
  <c r="P24" i="5"/>
  <c r="N24" i="5"/>
  <c r="O24" i="5" s="1"/>
  <c r="BC23" i="5"/>
  <c r="P23" i="5"/>
  <c r="N23" i="5"/>
  <c r="O23" i="5" s="1"/>
  <c r="BC22" i="5"/>
  <c r="P22" i="5"/>
  <c r="N22" i="5"/>
  <c r="O22" i="5" s="1"/>
  <c r="BC21" i="5"/>
  <c r="P21" i="5"/>
  <c r="N21" i="5"/>
  <c r="O21" i="5" s="1"/>
  <c r="BC20" i="5"/>
  <c r="BC19" i="5"/>
  <c r="R19" i="5"/>
  <c r="Q19" i="5"/>
  <c r="BC18" i="5"/>
  <c r="BC17" i="5"/>
  <c r="N17" i="5"/>
  <c r="N18" i="5" s="1"/>
  <c r="BC16" i="5"/>
  <c r="BC15" i="5"/>
  <c r="BC14" i="5"/>
  <c r="P14" i="5"/>
  <c r="BC13" i="5"/>
  <c r="P13" i="5"/>
  <c r="BC12" i="5"/>
  <c r="P12" i="5"/>
  <c r="BC11" i="5"/>
  <c r="P11" i="5"/>
  <c r="BC10" i="5"/>
  <c r="P10" i="5"/>
  <c r="BC9" i="5"/>
  <c r="P9" i="5"/>
  <c r="N9" i="5"/>
  <c r="N10" i="5" s="1"/>
  <c r="BC8" i="5"/>
  <c r="N8" i="5"/>
  <c r="BC7" i="5"/>
  <c r="BC6" i="5"/>
  <c r="BC5" i="5"/>
  <c r="BC4" i="5"/>
  <c r="BC3" i="5"/>
  <c r="O27" i="5" l="1"/>
  <c r="O38" i="5"/>
  <c r="O37" i="5"/>
  <c r="O36" i="5"/>
  <c r="O34" i="5"/>
  <c r="O33" i="5"/>
  <c r="O18" i="5"/>
  <c r="N19" i="5"/>
  <c r="O19" i="5" s="1"/>
  <c r="AF202" i="4"/>
  <c r="AF201" i="4"/>
  <c r="AF200" i="4"/>
  <c r="AF199" i="4"/>
  <c r="AF198" i="4"/>
  <c r="AF197" i="4"/>
  <c r="AF196" i="4"/>
  <c r="AF195" i="4"/>
  <c r="AF194" i="4"/>
  <c r="AF193" i="4"/>
  <c r="AF192" i="4"/>
  <c r="AF191" i="4"/>
  <c r="AF190" i="4"/>
  <c r="AF189" i="4"/>
  <c r="AF188" i="4"/>
  <c r="AF187" i="4"/>
  <c r="AF186" i="4"/>
  <c r="P186" i="4"/>
  <c r="AF185" i="4"/>
  <c r="P185" i="4"/>
  <c r="AF184" i="4"/>
  <c r="AF183" i="4"/>
  <c r="AF182" i="4"/>
  <c r="P182" i="4"/>
  <c r="AF181" i="4"/>
  <c r="P181" i="4"/>
  <c r="AF180" i="4"/>
  <c r="AF179" i="4"/>
  <c r="AF178" i="4"/>
  <c r="P178" i="4"/>
  <c r="AF177" i="4"/>
  <c r="P177" i="4"/>
  <c r="AF176" i="4"/>
  <c r="AF175" i="4"/>
  <c r="AF174" i="4"/>
  <c r="P174" i="4"/>
  <c r="AF173" i="4"/>
  <c r="P173" i="4"/>
  <c r="AF172" i="4"/>
  <c r="AF171" i="4"/>
  <c r="AF170" i="4"/>
  <c r="P170" i="4"/>
  <c r="AF169" i="4"/>
  <c r="P169" i="4"/>
  <c r="AF168" i="4"/>
  <c r="AF167" i="4"/>
  <c r="AF166" i="4"/>
  <c r="P166" i="4"/>
  <c r="AF165" i="4"/>
  <c r="P165" i="4"/>
  <c r="AF164" i="4"/>
  <c r="AF163" i="4"/>
  <c r="AF162" i="4"/>
  <c r="P162" i="4"/>
  <c r="AF161" i="4"/>
  <c r="P161" i="4"/>
  <c r="AF160" i="4"/>
  <c r="AF159" i="4"/>
  <c r="AF158" i="4"/>
  <c r="P158" i="4"/>
  <c r="AF157" i="4"/>
  <c r="P157" i="4"/>
  <c r="AF156" i="4"/>
  <c r="AF155" i="4"/>
  <c r="AF154" i="4"/>
  <c r="P154" i="4"/>
  <c r="AF153" i="4"/>
  <c r="P153" i="4"/>
  <c r="AF152" i="4"/>
  <c r="AF151" i="4"/>
  <c r="AF150" i="4"/>
  <c r="P150" i="4"/>
  <c r="AF149" i="4"/>
  <c r="P149" i="4"/>
  <c r="AF148" i="4"/>
  <c r="AF147" i="4"/>
  <c r="AF146" i="4"/>
  <c r="P146" i="4"/>
  <c r="AF145" i="4"/>
  <c r="P145" i="4"/>
  <c r="AF144" i="4"/>
  <c r="AF143" i="4"/>
  <c r="AF142" i="4"/>
  <c r="P142" i="4"/>
  <c r="AF141" i="4"/>
  <c r="P141" i="4"/>
  <c r="AF140" i="4"/>
  <c r="AF139" i="4"/>
  <c r="AF138" i="4"/>
  <c r="P138" i="4"/>
  <c r="AF137" i="4"/>
  <c r="P137" i="4"/>
  <c r="AF136" i="4"/>
  <c r="AF135" i="4"/>
  <c r="AF134" i="4"/>
  <c r="P134" i="4"/>
  <c r="AF133" i="4"/>
  <c r="P133" i="4"/>
  <c r="AF132" i="4"/>
  <c r="AF131" i="4"/>
  <c r="AF130" i="4"/>
  <c r="P130" i="4"/>
  <c r="AF129" i="4"/>
  <c r="P129" i="4"/>
  <c r="AF128" i="4"/>
  <c r="AF127" i="4"/>
  <c r="AF126" i="4"/>
  <c r="P126" i="4"/>
  <c r="AF125" i="4"/>
  <c r="P125" i="4"/>
  <c r="AF124" i="4"/>
  <c r="AF123" i="4"/>
  <c r="AF122" i="4"/>
  <c r="P122" i="4"/>
  <c r="AF121" i="4"/>
  <c r="P121" i="4"/>
  <c r="AF120" i="4"/>
  <c r="AF119" i="4"/>
  <c r="AF118" i="4"/>
  <c r="P118" i="4"/>
  <c r="AF117" i="4"/>
  <c r="P117" i="4"/>
  <c r="AF116" i="4"/>
  <c r="AF115" i="4"/>
  <c r="AF114" i="4"/>
  <c r="P114" i="4"/>
  <c r="AF113" i="4"/>
  <c r="P113" i="4"/>
  <c r="AF112" i="4"/>
  <c r="AF111" i="4"/>
  <c r="AF110" i="4"/>
  <c r="P110" i="4"/>
  <c r="AF109" i="4"/>
  <c r="P109" i="4"/>
  <c r="AF108" i="4"/>
  <c r="AF107" i="4"/>
  <c r="AF106" i="4"/>
  <c r="P106" i="4"/>
  <c r="AF105" i="4"/>
  <c r="P105" i="4"/>
  <c r="AF104" i="4"/>
  <c r="AF103" i="4"/>
  <c r="AF102" i="4"/>
  <c r="P102" i="4"/>
  <c r="AF101" i="4"/>
  <c r="P101" i="4"/>
  <c r="AF100" i="4"/>
  <c r="AF99" i="4"/>
  <c r="AF98" i="4"/>
  <c r="P98" i="4"/>
  <c r="AF97" i="4"/>
  <c r="P97" i="4"/>
  <c r="AF96" i="4"/>
  <c r="AF95" i="4"/>
  <c r="AF94" i="4"/>
  <c r="P94" i="4"/>
  <c r="AF93" i="4"/>
  <c r="P93" i="4"/>
  <c r="AF92" i="4"/>
  <c r="AF91" i="4"/>
  <c r="AF90" i="4"/>
  <c r="P90" i="4"/>
  <c r="AF89" i="4"/>
  <c r="P89" i="4"/>
  <c r="AF88" i="4"/>
  <c r="AF87" i="4"/>
  <c r="AF86" i="4"/>
  <c r="P86" i="4"/>
  <c r="AF85" i="4"/>
  <c r="P85" i="4"/>
  <c r="AF84" i="4"/>
  <c r="AF83" i="4"/>
  <c r="AF82" i="4"/>
  <c r="P82" i="4"/>
  <c r="AF81" i="4"/>
  <c r="P81" i="4"/>
  <c r="AF80" i="4"/>
  <c r="AF79" i="4"/>
  <c r="AF78" i="4"/>
  <c r="P78" i="4"/>
  <c r="AF77" i="4"/>
  <c r="P77" i="4"/>
  <c r="AF76" i="4"/>
  <c r="AF75" i="4"/>
  <c r="AF74" i="4"/>
  <c r="P74" i="4"/>
  <c r="AF73" i="4"/>
  <c r="P73" i="4"/>
  <c r="AF72" i="4"/>
  <c r="AF71" i="4"/>
  <c r="AF70" i="4"/>
  <c r="P70" i="4"/>
  <c r="AF69" i="4"/>
  <c r="P69" i="4"/>
  <c r="AF68" i="4"/>
  <c r="AF67" i="4"/>
  <c r="AF66" i="4"/>
  <c r="P66" i="4"/>
  <c r="AF65" i="4"/>
  <c r="P65" i="4"/>
  <c r="AF64" i="4"/>
  <c r="AF63" i="4"/>
  <c r="AF62" i="4"/>
  <c r="P62" i="4"/>
  <c r="AF61" i="4"/>
  <c r="P61" i="4"/>
  <c r="AF60" i="4"/>
  <c r="AF59" i="4"/>
  <c r="AF58" i="4"/>
  <c r="P58" i="4"/>
  <c r="AF57" i="4"/>
  <c r="P57" i="4"/>
  <c r="AF56" i="4"/>
  <c r="AF55" i="4"/>
  <c r="AF54" i="4"/>
  <c r="P54" i="4"/>
  <c r="AF53" i="4"/>
  <c r="P53" i="4"/>
  <c r="AF52" i="4"/>
  <c r="AF51" i="4"/>
  <c r="AF50" i="4"/>
  <c r="P50" i="4"/>
  <c r="AF49" i="4"/>
  <c r="P49" i="4"/>
  <c r="AF48" i="4"/>
  <c r="AF47" i="4"/>
  <c r="AF46" i="4"/>
  <c r="P46" i="4"/>
  <c r="AF45" i="4"/>
  <c r="P45" i="4"/>
  <c r="AF44" i="4"/>
  <c r="AF43" i="4"/>
  <c r="AF42" i="4"/>
  <c r="P42" i="4"/>
  <c r="P41" i="4"/>
  <c r="BC39" i="4"/>
  <c r="BC38" i="4"/>
  <c r="N38" i="4"/>
  <c r="BC37" i="4"/>
  <c r="N37" i="4"/>
  <c r="O37" i="4" s="1"/>
  <c r="BC36" i="4"/>
  <c r="P36" i="4"/>
  <c r="N36" i="4"/>
  <c r="O36" i="4" s="1"/>
  <c r="BC35" i="4"/>
  <c r="P35" i="4"/>
  <c r="N35" i="4"/>
  <c r="O35" i="4" s="1"/>
  <c r="BC34" i="4"/>
  <c r="P34" i="4"/>
  <c r="N34" i="4"/>
  <c r="O34" i="4" s="1"/>
  <c r="BC33" i="4"/>
  <c r="P33" i="4"/>
  <c r="N33" i="4"/>
  <c r="O33" i="4" s="1"/>
  <c r="BC32" i="4"/>
  <c r="N32" i="4"/>
  <c r="O32" i="4" s="1"/>
  <c r="BC31" i="4"/>
  <c r="N31" i="4"/>
  <c r="O31" i="4" s="1"/>
  <c r="BC30" i="4"/>
  <c r="N30" i="4"/>
  <c r="O30" i="4" s="1"/>
  <c r="BC29" i="4"/>
  <c r="N29" i="4"/>
  <c r="O29" i="4" s="1"/>
  <c r="BC28" i="4"/>
  <c r="N28" i="4"/>
  <c r="BC27" i="4"/>
  <c r="P27" i="4"/>
  <c r="R19" i="4" s="1"/>
  <c r="N27" i="4"/>
  <c r="O27" i="4" s="1"/>
  <c r="BC26" i="4"/>
  <c r="P26" i="4"/>
  <c r="N26" i="4"/>
  <c r="BC25" i="4"/>
  <c r="P25" i="4"/>
  <c r="N25" i="4"/>
  <c r="O25" i="4" s="1"/>
  <c r="BC24" i="4"/>
  <c r="P24" i="4"/>
  <c r="N24" i="4"/>
  <c r="O24" i="4" s="1"/>
  <c r="BC23" i="4"/>
  <c r="P23" i="4"/>
  <c r="N23" i="4"/>
  <c r="O23" i="4" s="1"/>
  <c r="BC22" i="4"/>
  <c r="P22" i="4"/>
  <c r="N22" i="4"/>
  <c r="O22" i="4" s="1"/>
  <c r="BC21" i="4"/>
  <c r="P21" i="4"/>
  <c r="N21" i="4"/>
  <c r="O21" i="4" s="1"/>
  <c r="BC20" i="4"/>
  <c r="BC19" i="4"/>
  <c r="Q19" i="4"/>
  <c r="BC18" i="4"/>
  <c r="BC17" i="4"/>
  <c r="N17" i="4"/>
  <c r="N18" i="4" s="1"/>
  <c r="BC16" i="4"/>
  <c r="BC15" i="4"/>
  <c r="BC14" i="4"/>
  <c r="P14" i="4"/>
  <c r="BC13" i="4"/>
  <c r="P13" i="4"/>
  <c r="BC12" i="4"/>
  <c r="P12" i="4"/>
  <c r="BC11" i="4"/>
  <c r="P11" i="4"/>
  <c r="BC10" i="4"/>
  <c r="P10" i="4"/>
  <c r="BC9" i="4"/>
  <c r="P9" i="4"/>
  <c r="N9" i="4"/>
  <c r="N10" i="4" s="1"/>
  <c r="BC8" i="4"/>
  <c r="N8" i="4"/>
  <c r="BC7" i="4"/>
  <c r="BC6" i="4"/>
  <c r="BC5" i="4"/>
  <c r="BC4" i="4"/>
  <c r="BC3" i="4"/>
  <c r="O26" i="4" l="1"/>
  <c r="O38" i="4"/>
  <c r="O28" i="4"/>
  <c r="O18" i="4"/>
  <c r="N19" i="4"/>
  <c r="O19" i="4" s="1"/>
  <c r="AF202" i="3"/>
  <c r="AF201" i="3"/>
  <c r="AF200" i="3"/>
  <c r="AF199" i="3"/>
  <c r="AF198" i="3"/>
  <c r="AF197" i="3"/>
  <c r="AF196" i="3"/>
  <c r="AF195" i="3"/>
  <c r="AF194" i="3"/>
  <c r="AF193" i="3"/>
  <c r="AF192" i="3"/>
  <c r="AF191" i="3"/>
  <c r="AF190" i="3"/>
  <c r="AF189" i="3"/>
  <c r="AF188" i="3"/>
  <c r="AF187" i="3"/>
  <c r="AF186" i="3"/>
  <c r="P186" i="3"/>
  <c r="AF185" i="3"/>
  <c r="P185" i="3"/>
  <c r="AF184" i="3"/>
  <c r="AF183" i="3"/>
  <c r="AF182" i="3"/>
  <c r="P182" i="3"/>
  <c r="AF181" i="3"/>
  <c r="P181" i="3"/>
  <c r="AF180" i="3"/>
  <c r="AF179" i="3"/>
  <c r="AF178" i="3"/>
  <c r="P178" i="3"/>
  <c r="AF177" i="3"/>
  <c r="P177" i="3"/>
  <c r="AF176" i="3"/>
  <c r="AF175" i="3"/>
  <c r="AF174" i="3"/>
  <c r="P174" i="3"/>
  <c r="AF173" i="3"/>
  <c r="P173" i="3"/>
  <c r="AF172" i="3"/>
  <c r="AF171" i="3"/>
  <c r="AF170" i="3"/>
  <c r="P170" i="3"/>
  <c r="AF169" i="3"/>
  <c r="P169" i="3"/>
  <c r="AF168" i="3"/>
  <c r="AF167" i="3"/>
  <c r="AF166" i="3"/>
  <c r="P166" i="3"/>
  <c r="AF165" i="3"/>
  <c r="P165" i="3"/>
  <c r="AF164" i="3"/>
  <c r="AF163" i="3"/>
  <c r="AF162" i="3"/>
  <c r="P162" i="3"/>
  <c r="AF161" i="3"/>
  <c r="P161" i="3"/>
  <c r="AF160" i="3"/>
  <c r="AF159" i="3"/>
  <c r="AF158" i="3"/>
  <c r="P158" i="3"/>
  <c r="AF157" i="3"/>
  <c r="P157" i="3"/>
  <c r="AF156" i="3"/>
  <c r="AF155" i="3"/>
  <c r="AF154" i="3"/>
  <c r="P154" i="3"/>
  <c r="AF153" i="3"/>
  <c r="P153" i="3"/>
  <c r="AF152" i="3"/>
  <c r="AF151" i="3"/>
  <c r="AF150" i="3"/>
  <c r="P150" i="3"/>
  <c r="AF149" i="3"/>
  <c r="P149" i="3"/>
  <c r="AF148" i="3"/>
  <c r="AF147" i="3"/>
  <c r="AF146" i="3"/>
  <c r="P146" i="3"/>
  <c r="AF145" i="3"/>
  <c r="P145" i="3"/>
  <c r="AF144" i="3"/>
  <c r="AF143" i="3"/>
  <c r="AF142" i="3"/>
  <c r="P142" i="3"/>
  <c r="AF141" i="3"/>
  <c r="P141" i="3"/>
  <c r="AF140" i="3"/>
  <c r="AF139" i="3"/>
  <c r="AF138" i="3"/>
  <c r="P138" i="3"/>
  <c r="AF137" i="3"/>
  <c r="P137" i="3"/>
  <c r="AF136" i="3"/>
  <c r="AF135" i="3"/>
  <c r="AF134" i="3"/>
  <c r="P134" i="3"/>
  <c r="AF133" i="3"/>
  <c r="P133" i="3"/>
  <c r="AF132" i="3"/>
  <c r="AF131" i="3"/>
  <c r="AF130" i="3"/>
  <c r="P130" i="3"/>
  <c r="AF129" i="3"/>
  <c r="P129" i="3"/>
  <c r="AF128" i="3"/>
  <c r="AF127" i="3"/>
  <c r="AF126" i="3"/>
  <c r="P126" i="3"/>
  <c r="AF125" i="3"/>
  <c r="P125" i="3"/>
  <c r="AF124" i="3"/>
  <c r="AF123" i="3"/>
  <c r="AF122" i="3"/>
  <c r="P122" i="3"/>
  <c r="AF121" i="3"/>
  <c r="P121" i="3"/>
  <c r="AF120" i="3"/>
  <c r="AF119" i="3"/>
  <c r="AF118" i="3"/>
  <c r="P118" i="3"/>
  <c r="AF117" i="3"/>
  <c r="P117" i="3"/>
  <c r="AF116" i="3"/>
  <c r="AF115" i="3"/>
  <c r="AF114" i="3"/>
  <c r="P114" i="3"/>
  <c r="AF113" i="3"/>
  <c r="P113" i="3"/>
  <c r="AF112" i="3"/>
  <c r="AF111" i="3"/>
  <c r="AF110" i="3"/>
  <c r="P110" i="3"/>
  <c r="AF109" i="3"/>
  <c r="P109" i="3"/>
  <c r="AF108" i="3"/>
  <c r="AF107" i="3"/>
  <c r="AF106" i="3"/>
  <c r="P106" i="3"/>
  <c r="AF105" i="3"/>
  <c r="P105" i="3"/>
  <c r="AF104" i="3"/>
  <c r="AF103" i="3"/>
  <c r="AF102" i="3"/>
  <c r="P102" i="3"/>
  <c r="AF101" i="3"/>
  <c r="P101" i="3"/>
  <c r="AF100" i="3"/>
  <c r="AF99" i="3"/>
  <c r="AF98" i="3"/>
  <c r="P98" i="3"/>
  <c r="AF97" i="3"/>
  <c r="P97" i="3"/>
  <c r="AF96" i="3"/>
  <c r="AF95" i="3"/>
  <c r="AF94" i="3"/>
  <c r="P94" i="3"/>
  <c r="AF93" i="3"/>
  <c r="P93" i="3"/>
  <c r="AF92" i="3"/>
  <c r="AF91" i="3"/>
  <c r="AF90" i="3"/>
  <c r="P90" i="3"/>
  <c r="AF89" i="3"/>
  <c r="P89" i="3"/>
  <c r="AF88" i="3"/>
  <c r="AF87" i="3"/>
  <c r="AF86" i="3"/>
  <c r="P86" i="3"/>
  <c r="AF85" i="3"/>
  <c r="P85" i="3"/>
  <c r="AF84" i="3"/>
  <c r="AF83" i="3"/>
  <c r="AF82" i="3"/>
  <c r="P82" i="3"/>
  <c r="AF81" i="3"/>
  <c r="O27" i="3" s="1"/>
  <c r="P81" i="3"/>
  <c r="AF80" i="3"/>
  <c r="AF79" i="3"/>
  <c r="AF78" i="3"/>
  <c r="P78" i="3"/>
  <c r="AF77" i="3"/>
  <c r="P77" i="3"/>
  <c r="AF76" i="3"/>
  <c r="AF75" i="3"/>
  <c r="AF74" i="3"/>
  <c r="P74" i="3"/>
  <c r="AF73" i="3"/>
  <c r="P73" i="3"/>
  <c r="AF72" i="3"/>
  <c r="AF71" i="3"/>
  <c r="AF70" i="3"/>
  <c r="P70" i="3"/>
  <c r="AF69" i="3"/>
  <c r="P69" i="3"/>
  <c r="AF68" i="3"/>
  <c r="AF67" i="3"/>
  <c r="AF66" i="3"/>
  <c r="P66" i="3"/>
  <c r="AF65" i="3"/>
  <c r="P65" i="3"/>
  <c r="AF64" i="3"/>
  <c r="AF63" i="3"/>
  <c r="AF62" i="3"/>
  <c r="P62" i="3"/>
  <c r="AF61" i="3"/>
  <c r="P61" i="3"/>
  <c r="AF60" i="3"/>
  <c r="AF59" i="3"/>
  <c r="AF58" i="3"/>
  <c r="P58" i="3"/>
  <c r="AF57" i="3"/>
  <c r="P57" i="3"/>
  <c r="AF56" i="3"/>
  <c r="AF55" i="3"/>
  <c r="AF54" i="3"/>
  <c r="P54" i="3"/>
  <c r="AF53" i="3"/>
  <c r="P53" i="3"/>
  <c r="AF52" i="3"/>
  <c r="AF51" i="3"/>
  <c r="AF50" i="3"/>
  <c r="P50" i="3"/>
  <c r="AF49" i="3"/>
  <c r="P49" i="3"/>
  <c r="AF48" i="3"/>
  <c r="AF47" i="3"/>
  <c r="AF46" i="3"/>
  <c r="P46" i="3"/>
  <c r="AF45" i="3"/>
  <c r="P45" i="3"/>
  <c r="AF44" i="3"/>
  <c r="AF43" i="3"/>
  <c r="AF42" i="3"/>
  <c r="O21" i="3" s="1"/>
  <c r="P42" i="3"/>
  <c r="P41" i="3"/>
  <c r="BC39" i="3"/>
  <c r="BC38" i="3"/>
  <c r="N38" i="3"/>
  <c r="O38" i="3" s="1"/>
  <c r="BC37" i="3"/>
  <c r="N37" i="3"/>
  <c r="O37" i="3" s="1"/>
  <c r="BC36" i="3"/>
  <c r="P36" i="3"/>
  <c r="N36" i="3"/>
  <c r="O36" i="3" s="1"/>
  <c r="BC35" i="3"/>
  <c r="P35" i="3"/>
  <c r="N35" i="3"/>
  <c r="O35" i="3" s="1"/>
  <c r="BC34" i="3"/>
  <c r="P34" i="3"/>
  <c r="N34" i="3"/>
  <c r="O34" i="3" s="1"/>
  <c r="BC33" i="3"/>
  <c r="P33" i="3"/>
  <c r="N33" i="3"/>
  <c r="O33" i="3" s="1"/>
  <c r="BC32" i="3"/>
  <c r="N32" i="3"/>
  <c r="O32" i="3" s="1"/>
  <c r="BC31" i="3"/>
  <c r="N31" i="3"/>
  <c r="BC30" i="3"/>
  <c r="N30" i="3"/>
  <c r="O30" i="3" s="1"/>
  <c r="BC29" i="3"/>
  <c r="N29" i="3"/>
  <c r="BC28" i="3"/>
  <c r="N28" i="3"/>
  <c r="BC27" i="3"/>
  <c r="P27" i="3"/>
  <c r="N27" i="3"/>
  <c r="BC26" i="3"/>
  <c r="P26" i="3"/>
  <c r="N26" i="3"/>
  <c r="BC25" i="3"/>
  <c r="P25" i="3"/>
  <c r="N25" i="3"/>
  <c r="BC24" i="3"/>
  <c r="P24" i="3"/>
  <c r="N24" i="3"/>
  <c r="O24" i="3" s="1"/>
  <c r="BC23" i="3"/>
  <c r="P23" i="3"/>
  <c r="N23" i="3"/>
  <c r="BC22" i="3"/>
  <c r="P22" i="3"/>
  <c r="N22" i="3"/>
  <c r="BC21" i="3"/>
  <c r="P21" i="3"/>
  <c r="N21" i="3"/>
  <c r="BC20" i="3"/>
  <c r="BC19" i="3"/>
  <c r="R19" i="3"/>
  <c r="Q19" i="3"/>
  <c r="BC18" i="3"/>
  <c r="BC17" i="3"/>
  <c r="N17" i="3"/>
  <c r="N18" i="3" s="1"/>
  <c r="BC16" i="3"/>
  <c r="BC15" i="3"/>
  <c r="BC14" i="3"/>
  <c r="P14" i="3"/>
  <c r="BC13" i="3"/>
  <c r="P13" i="3"/>
  <c r="BC12" i="3"/>
  <c r="P12" i="3"/>
  <c r="BC11" i="3"/>
  <c r="P11" i="3"/>
  <c r="BC10" i="3"/>
  <c r="P10" i="3"/>
  <c r="BC9" i="3"/>
  <c r="P9" i="3"/>
  <c r="N9" i="3"/>
  <c r="N10" i="3" s="1"/>
  <c r="BC8" i="3"/>
  <c r="N8" i="3"/>
  <c r="BC7" i="3"/>
  <c r="BC6" i="3"/>
  <c r="BC5" i="3"/>
  <c r="BC4" i="3"/>
  <c r="BC3" i="3"/>
  <c r="O31" i="3" l="1"/>
  <c r="O29" i="3"/>
  <c r="O28" i="3"/>
  <c r="O26" i="3"/>
  <c r="O25" i="3"/>
  <c r="O23" i="3"/>
  <c r="O22" i="3"/>
  <c r="N19" i="3"/>
  <c r="O19" i="3" s="1"/>
  <c r="O18" i="3"/>
  <c r="BC39" i="1"/>
  <c r="BC38" i="1"/>
  <c r="P186" i="1"/>
  <c r="P185" i="1"/>
  <c r="P182" i="1"/>
  <c r="P181" i="1"/>
  <c r="N37" i="1"/>
  <c r="O37" i="1" s="1"/>
  <c r="N38" i="1"/>
  <c r="O38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N30" i="1"/>
  <c r="N29" i="1"/>
  <c r="N28" i="1"/>
  <c r="N27" i="1"/>
  <c r="N26" i="1"/>
  <c r="N25" i="1"/>
  <c r="N24" i="1"/>
  <c r="N23" i="1"/>
  <c r="N22" i="1"/>
  <c r="N21" i="1"/>
  <c r="O21" i="1" s="1"/>
  <c r="BC37" i="1"/>
  <c r="N17" i="1"/>
  <c r="N18" i="1" s="1"/>
  <c r="P90" i="1"/>
  <c r="P89" i="1"/>
  <c r="AF182" i="1"/>
  <c r="P178" i="1"/>
  <c r="AF181" i="1"/>
  <c r="P177" i="1"/>
  <c r="AF180" i="1"/>
  <c r="P21" i="1"/>
  <c r="R19" i="1"/>
  <c r="Q19" i="1"/>
  <c r="P33" i="1"/>
  <c r="P36" i="1"/>
  <c r="P35" i="1"/>
  <c r="P34" i="1"/>
  <c r="AF192" i="1"/>
  <c r="AF193" i="1"/>
  <c r="AF194" i="1"/>
  <c r="AF195" i="1"/>
  <c r="AF196" i="1"/>
  <c r="AF197" i="1"/>
  <c r="AF198" i="1"/>
  <c r="AF199" i="1"/>
  <c r="AF200" i="1"/>
  <c r="AF201" i="1"/>
  <c r="AF202" i="1"/>
  <c r="P174" i="1"/>
  <c r="P173" i="1"/>
  <c r="P170" i="1"/>
  <c r="P169" i="1"/>
  <c r="P166" i="1"/>
  <c r="P165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" i="1"/>
  <c r="P12" i="1"/>
  <c r="P162" i="1"/>
  <c r="P161" i="1"/>
  <c r="P158" i="1"/>
  <c r="P157" i="1"/>
  <c r="P154" i="1"/>
  <c r="P153" i="1"/>
  <c r="P150" i="1"/>
  <c r="P149" i="1"/>
  <c r="P146" i="1"/>
  <c r="P145" i="1"/>
  <c r="P142" i="1"/>
  <c r="P141" i="1"/>
  <c r="P138" i="1"/>
  <c r="P137" i="1"/>
  <c r="P134" i="1"/>
  <c r="P133" i="1"/>
  <c r="P130" i="1"/>
  <c r="P129" i="1"/>
  <c r="P126" i="1"/>
  <c r="P125" i="1"/>
  <c r="P122" i="1"/>
  <c r="P121" i="1"/>
  <c r="P118" i="1"/>
  <c r="P117" i="1"/>
  <c r="P114" i="1"/>
  <c r="P113" i="1"/>
  <c r="P110" i="1"/>
  <c r="P109" i="1"/>
  <c r="P106" i="1"/>
  <c r="P105" i="1"/>
  <c r="P102" i="1"/>
  <c r="P101" i="1"/>
  <c r="P98" i="1"/>
  <c r="P97" i="1"/>
  <c r="P94" i="1"/>
  <c r="P93" i="1"/>
  <c r="P86" i="1"/>
  <c r="P85" i="1"/>
  <c r="P82" i="1"/>
  <c r="P81" i="1"/>
  <c r="P78" i="1"/>
  <c r="P77" i="1"/>
  <c r="P74" i="1"/>
  <c r="P73" i="1"/>
  <c r="P70" i="1"/>
  <c r="P69" i="1"/>
  <c r="P66" i="1"/>
  <c r="P65" i="1"/>
  <c r="P62" i="1"/>
  <c r="P61" i="1"/>
  <c r="P58" i="1"/>
  <c r="P57" i="1"/>
  <c r="P54" i="1"/>
  <c r="P53" i="1"/>
  <c r="P50" i="1"/>
  <c r="P49" i="1"/>
  <c r="P46" i="1"/>
  <c r="P45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3" i="1"/>
  <c r="AF184" i="1"/>
  <c r="AF185" i="1"/>
  <c r="AF186" i="1"/>
  <c r="AF187" i="1"/>
  <c r="AF188" i="1"/>
  <c r="AF189" i="1"/>
  <c r="AF190" i="1"/>
  <c r="AF191" i="1"/>
  <c r="P14" i="1"/>
  <c r="P13" i="1"/>
  <c r="P11" i="1"/>
  <c r="P10" i="1"/>
  <c r="P9" i="1"/>
  <c r="AF42" i="1"/>
  <c r="P42" i="1"/>
  <c r="P41" i="1"/>
  <c r="P27" i="1"/>
  <c r="P26" i="1"/>
  <c r="P25" i="1"/>
  <c r="P24" i="1"/>
  <c r="P23" i="1"/>
  <c r="P22" i="1"/>
  <c r="N8" i="1"/>
  <c r="N9" i="1"/>
  <c r="O27" i="1" l="1"/>
  <c r="O26" i="1"/>
  <c r="O22" i="1"/>
  <c r="O30" i="1"/>
  <c r="O29" i="1"/>
  <c r="O31" i="1"/>
  <c r="O28" i="1"/>
  <c r="O25" i="1"/>
  <c r="O24" i="1"/>
  <c r="O23" i="1"/>
  <c r="N10" i="1"/>
  <c r="N19" i="1"/>
  <c r="O19" i="1" s="1"/>
  <c r="O18" i="1"/>
</calcChain>
</file>

<file path=xl/sharedStrings.xml><?xml version="1.0" encoding="utf-8"?>
<sst xmlns="http://schemas.openxmlformats.org/spreadsheetml/2006/main" count="17229" uniqueCount="686">
  <si>
    <t>Capacity</t>
  </si>
  <si>
    <t>Speed</t>
  </si>
  <si>
    <t>Ceiling</t>
  </si>
  <si>
    <t xml:space="preserve">Wall </t>
  </si>
  <si>
    <t xml:space="preserve">Door </t>
  </si>
  <si>
    <t>Mirror</t>
  </si>
  <si>
    <t>Handrail</t>
  </si>
  <si>
    <t>Main floor</t>
  </si>
  <si>
    <t>Power supply</t>
  </si>
  <si>
    <t>Speed:</t>
    <phoneticPr fontId="1" type="noConversion"/>
  </si>
  <si>
    <t>Capacity:</t>
    <phoneticPr fontId="1" type="noConversion"/>
  </si>
  <si>
    <t>630kg</t>
    <phoneticPr fontId="1" type="noConversion"/>
  </si>
  <si>
    <t>1050kg</t>
    <phoneticPr fontId="1" type="noConversion"/>
  </si>
  <si>
    <t>1200kg</t>
    <phoneticPr fontId="1" type="noConversion"/>
  </si>
  <si>
    <t>1350kg</t>
    <phoneticPr fontId="1" type="noConversion"/>
  </si>
  <si>
    <t>1600kg</t>
    <phoneticPr fontId="1" type="noConversion"/>
  </si>
  <si>
    <t>ELENESSA</t>
    <phoneticPr fontId="1" type="noConversion"/>
  </si>
  <si>
    <t>\\</t>
    <phoneticPr fontId="1" type="noConversion"/>
  </si>
  <si>
    <t>Operation mode:</t>
    <phoneticPr fontId="1" type="noConversion"/>
  </si>
  <si>
    <t>C.O.P:</t>
    <phoneticPr fontId="1" type="noConversion"/>
  </si>
  <si>
    <t>Ceiling:</t>
    <phoneticPr fontId="1" type="noConversion"/>
  </si>
  <si>
    <t>TYPE_ROW_L8</t>
    <phoneticPr fontId="1" type="noConversion"/>
  </si>
  <si>
    <t>SPEC_ROW_OFFSET_L17</t>
    <phoneticPr fontId="1" type="noConversion"/>
  </si>
  <si>
    <t>length</t>
    <phoneticPr fontId="1" type="noConversion"/>
  </si>
  <si>
    <t>HID-A20</t>
    <phoneticPr fontId="1" type="noConversion"/>
  </si>
  <si>
    <t>ZCL-CN01</t>
    <phoneticPr fontId="1" type="noConversion"/>
  </si>
  <si>
    <t>Public Facilities</t>
    <phoneticPr fontId="1" type="noConversion"/>
  </si>
  <si>
    <t>Residence</t>
    <phoneticPr fontId="1" type="noConversion"/>
  </si>
  <si>
    <t>Shopping mall</t>
    <phoneticPr fontId="1" type="noConversion"/>
  </si>
  <si>
    <t>Office building</t>
    <phoneticPr fontId="1" type="noConversion"/>
  </si>
  <si>
    <t>Hotel</t>
    <phoneticPr fontId="1" type="noConversion"/>
  </si>
  <si>
    <t>Others</t>
    <phoneticPr fontId="1" type="noConversion"/>
  </si>
  <si>
    <t>Project_purpose:</t>
    <phoneticPr fontId="1" type="noConversion"/>
  </si>
  <si>
    <t>Building Complex</t>
    <phoneticPr fontId="1" type="noConversion"/>
  </si>
  <si>
    <t>Jamb:</t>
    <phoneticPr fontId="1" type="noConversion"/>
  </si>
  <si>
    <t>E-102</t>
    <phoneticPr fontId="1" type="noConversion"/>
  </si>
  <si>
    <t>E-302</t>
    <phoneticPr fontId="1" type="noConversion"/>
  </si>
  <si>
    <t>E-312</t>
    <phoneticPr fontId="1" type="noConversion"/>
  </si>
  <si>
    <t>Mirror:</t>
    <phoneticPr fontId="1" type="noConversion"/>
  </si>
  <si>
    <t>None</t>
    <phoneticPr fontId="1" type="noConversion"/>
  </si>
  <si>
    <t>E-322</t>
    <phoneticPr fontId="1" type="noConversion"/>
  </si>
  <si>
    <t>series:</t>
    <phoneticPr fontId="1" type="noConversion"/>
  </si>
  <si>
    <t>type:</t>
    <phoneticPr fontId="1" type="noConversion"/>
  </si>
  <si>
    <t>Shaft Size</t>
    <phoneticPr fontId="1" type="noConversion"/>
  </si>
  <si>
    <t>General</t>
    <phoneticPr fontId="1" type="noConversion"/>
  </si>
  <si>
    <t>Ele No.</t>
    <phoneticPr fontId="1" type="noConversion"/>
  </si>
  <si>
    <t>Decoration weight</t>
    <phoneticPr fontId="1" type="noConversion"/>
  </si>
  <si>
    <t>Floors</t>
    <phoneticPr fontId="1" type="noConversion"/>
  </si>
  <si>
    <t>Stops</t>
    <phoneticPr fontId="1" type="noConversion"/>
  </si>
  <si>
    <t>Doors</t>
    <phoneticPr fontId="1" type="noConversion"/>
  </si>
  <si>
    <t>Service floors</t>
    <phoneticPr fontId="1" type="noConversion"/>
  </si>
  <si>
    <t xml:space="preserve"> 380V,50 Hz </t>
    <phoneticPr fontId="1" type="noConversion"/>
  </si>
  <si>
    <t>220V, 50 Hz</t>
    <phoneticPr fontId="1" type="noConversion"/>
  </si>
  <si>
    <t>Cabin</t>
    <phoneticPr fontId="1" type="noConversion"/>
  </si>
  <si>
    <t>Other floors</t>
    <phoneticPr fontId="1" type="noConversion"/>
  </si>
  <si>
    <t>Jamb</t>
    <phoneticPr fontId="1" type="noConversion"/>
  </si>
  <si>
    <t>Door</t>
    <phoneticPr fontId="1" type="noConversion"/>
  </si>
  <si>
    <t>Project name</t>
    <phoneticPr fontId="1" type="noConversion"/>
  </si>
  <si>
    <t>Project Type</t>
    <phoneticPr fontId="1" type="noConversion"/>
  </si>
  <si>
    <t>ETD</t>
    <phoneticPr fontId="1" type="noConversion"/>
  </si>
  <si>
    <t>Country</t>
    <phoneticPr fontId="1" type="noConversion"/>
  </si>
  <si>
    <t>Address</t>
    <phoneticPr fontId="1" type="noConversion"/>
  </si>
  <si>
    <t>Ele Series</t>
    <phoneticPr fontId="1" type="noConversion"/>
  </si>
  <si>
    <t>Quantity</t>
    <phoneticPr fontId="1" type="noConversion"/>
  </si>
  <si>
    <t>Main floor</t>
    <phoneticPr fontId="1" type="noConversion"/>
  </si>
  <si>
    <t>Other floors</t>
    <phoneticPr fontId="1" type="noConversion"/>
  </si>
  <si>
    <t>JJ&amp;HH</t>
    <phoneticPr fontId="1" type="noConversion"/>
  </si>
  <si>
    <t>Car Inter Size</t>
    <phoneticPr fontId="1" type="noConversion"/>
  </si>
  <si>
    <t>TR,OH,PD</t>
    <phoneticPr fontId="1" type="noConversion"/>
  </si>
  <si>
    <t>Door type</t>
    <phoneticPr fontId="1" type="noConversion"/>
  </si>
  <si>
    <t>Door  mode</t>
    <phoneticPr fontId="1" type="noConversion"/>
  </si>
  <si>
    <t xml:space="preserve">BB(mm) </t>
    <phoneticPr fontId="1" type="noConversion"/>
  </si>
  <si>
    <t>BH(mm)</t>
    <phoneticPr fontId="1" type="noConversion"/>
  </si>
  <si>
    <t>OH(mm)</t>
    <phoneticPr fontId="1" type="noConversion"/>
  </si>
  <si>
    <t>AH(mm)</t>
    <phoneticPr fontId="1" type="noConversion"/>
  </si>
  <si>
    <t>TR(mm)</t>
    <phoneticPr fontId="1" type="noConversion"/>
  </si>
  <si>
    <t xml:space="preserve">JJ(mm) </t>
    <phoneticPr fontId="1" type="noConversion"/>
  </si>
  <si>
    <t>AA(mm)</t>
    <phoneticPr fontId="1" type="noConversion"/>
  </si>
  <si>
    <t>PD(mm)</t>
    <phoneticPr fontId="1" type="noConversion"/>
  </si>
  <si>
    <t xml:space="preserve">HH(mm) </t>
    <phoneticPr fontId="1" type="noConversion"/>
  </si>
  <si>
    <t xml:space="preserve">Lighting supply </t>
    <phoneticPr fontId="1" type="noConversion"/>
  </si>
  <si>
    <t>Half mirror</t>
    <phoneticPr fontId="1" type="noConversion"/>
  </si>
  <si>
    <t>Whole mirror</t>
    <phoneticPr fontId="1" type="noConversion"/>
  </si>
  <si>
    <t>Material</t>
    <phoneticPr fontId="1" type="noConversion"/>
  </si>
  <si>
    <t>ELEVATOR SPECIFICATION</t>
    <phoneticPr fontId="1" type="noConversion"/>
  </si>
  <si>
    <t>LEHY-III</t>
    <phoneticPr fontId="1" type="noConversion"/>
  </si>
  <si>
    <t>Additional C.O.P</t>
    <phoneticPr fontId="1" type="noConversion"/>
  </si>
  <si>
    <t>ZCL-GS08</t>
    <phoneticPr fontId="1" type="noConversion"/>
  </si>
  <si>
    <t>ZCL-GS06</t>
    <phoneticPr fontId="1" type="noConversion"/>
  </si>
  <si>
    <t>ZCL-CN08</t>
    <phoneticPr fontId="1" type="noConversion"/>
  </si>
  <si>
    <t>1.6m/s(96mpm)</t>
  </si>
  <si>
    <t>1.75m/s(105mpm)</t>
  </si>
  <si>
    <t>2.0m/s(120mpm)</t>
  </si>
  <si>
    <t>2.5m/s(150mpm)</t>
  </si>
  <si>
    <t>3.0m/s(180mpm)</t>
  </si>
  <si>
    <t>1.0m/s(60mpm)</t>
  </si>
  <si>
    <t>Operation</t>
    <phoneticPr fontId="1" type="noConversion"/>
  </si>
  <si>
    <t>Optional
functions</t>
    <phoneticPr fontId="1" type="noConversion"/>
  </si>
  <si>
    <t>Other
requirements</t>
    <phoneticPr fontId="1" type="noConversion"/>
  </si>
  <si>
    <r>
      <t>8</t>
    </r>
    <r>
      <rPr>
        <sz val="10"/>
        <rFont val="宋体"/>
        <family val="3"/>
        <charset val="134"/>
      </rPr>
      <t>25</t>
    </r>
    <r>
      <rPr>
        <sz val="10"/>
        <rFont val="宋体"/>
        <family val="3"/>
        <charset val="134"/>
      </rPr>
      <t>kg</t>
    </r>
    <phoneticPr fontId="1" type="noConversion"/>
  </si>
  <si>
    <t>LEHY-III-HY05S</t>
    <phoneticPr fontId="1" type="noConversion"/>
  </si>
  <si>
    <t>LEHY-III-SY06S</t>
    <phoneticPr fontId="1" type="noConversion"/>
  </si>
  <si>
    <t>CAGE:</t>
    <phoneticPr fontId="1" type="noConversion"/>
  </si>
  <si>
    <t>ZCD-025G</t>
    <phoneticPr fontId="1" type="noConversion"/>
  </si>
  <si>
    <t>ZCD-022T</t>
    <phoneticPr fontId="1" type="noConversion"/>
  </si>
  <si>
    <t>Wheelchair C.O.P</t>
    <phoneticPr fontId="1" type="noConversion"/>
  </si>
  <si>
    <t>Add_Wheelchair C.O.P</t>
    <phoneticPr fontId="1" type="noConversion"/>
  </si>
  <si>
    <t>ZCL-SS07</t>
    <phoneticPr fontId="1" type="noConversion"/>
  </si>
  <si>
    <t>ZCL-SS08</t>
    <phoneticPr fontId="1" type="noConversion"/>
  </si>
  <si>
    <t>A04</t>
    <phoneticPr fontId="1" type="noConversion"/>
  </si>
  <si>
    <t>A05</t>
    <phoneticPr fontId="1" type="noConversion"/>
  </si>
  <si>
    <t>B02</t>
    <phoneticPr fontId="1" type="noConversion"/>
  </si>
  <si>
    <t>A23</t>
    <phoneticPr fontId="1" type="noConversion"/>
  </si>
  <si>
    <t>A11</t>
    <phoneticPr fontId="1" type="noConversion"/>
  </si>
  <si>
    <t>A12</t>
    <phoneticPr fontId="1" type="noConversion"/>
  </si>
  <si>
    <t>A14</t>
  </si>
  <si>
    <t>A15</t>
  </si>
  <si>
    <t>ZHLV-H021</t>
    <phoneticPr fontId="1" type="noConversion"/>
  </si>
  <si>
    <t>ZHLV-R050</t>
    <phoneticPr fontId="1" type="noConversion"/>
  </si>
  <si>
    <t>ZHLV-B040</t>
    <phoneticPr fontId="1" type="noConversion"/>
  </si>
  <si>
    <t>Indicator</t>
    <phoneticPr fontId="1" type="noConversion"/>
  </si>
  <si>
    <t>HID-A10</t>
    <phoneticPr fontId="1" type="noConversion"/>
  </si>
  <si>
    <t>ZPIH-F301</t>
    <phoneticPr fontId="1" type="noConversion"/>
  </si>
  <si>
    <t>ZPIH-N301</t>
    <phoneticPr fontId="1" type="noConversion"/>
  </si>
  <si>
    <t>Floor</t>
    <phoneticPr fontId="1" type="noConversion"/>
  </si>
  <si>
    <t>Handrail</t>
    <phoneticPr fontId="1" type="noConversion"/>
  </si>
  <si>
    <t>LEHY-M-II</t>
    <phoneticPr fontId="1" type="noConversion"/>
  </si>
  <si>
    <t>Wheelchair Call</t>
    <phoneticPr fontId="1" type="noConversion"/>
  </si>
  <si>
    <t>630kg</t>
  </si>
  <si>
    <t>Button■</t>
    <phoneticPr fontId="1" type="noConversion"/>
  </si>
  <si>
    <t>Customized</t>
    <phoneticPr fontId="1" type="noConversion"/>
  </si>
  <si>
    <t>Car Design</t>
    <phoneticPr fontId="1" type="noConversion"/>
  </si>
  <si>
    <t>PVC real stone</t>
    <phoneticPr fontId="1" type="noConversion"/>
  </si>
  <si>
    <t>3.5m/s(210mpm)</t>
  </si>
  <si>
    <t>4.0m/s(240mpm)</t>
    <phoneticPr fontId="1" type="noConversion"/>
  </si>
  <si>
    <r>
      <t>1050</t>
    </r>
    <r>
      <rPr>
        <sz val="10"/>
        <rFont val="宋体"/>
        <family val="3"/>
        <charset val="134"/>
      </rPr>
      <t>kg</t>
    </r>
    <phoneticPr fontId="1" type="noConversion"/>
  </si>
  <si>
    <r>
      <t>1200</t>
    </r>
    <r>
      <rPr>
        <sz val="10"/>
        <rFont val="宋体"/>
        <family val="3"/>
        <charset val="134"/>
      </rPr>
      <t>kg</t>
    </r>
    <phoneticPr fontId="1" type="noConversion"/>
  </si>
  <si>
    <r>
      <t>1600</t>
    </r>
    <r>
      <rPr>
        <sz val="10"/>
        <rFont val="宋体"/>
        <family val="3"/>
        <charset val="134"/>
      </rPr>
      <t>kg</t>
    </r>
    <phoneticPr fontId="1" type="noConversion"/>
  </si>
  <si>
    <t>320kg</t>
    <phoneticPr fontId="1" type="noConversion"/>
  </si>
  <si>
    <t>450kg</t>
    <phoneticPr fontId="1" type="noConversion"/>
  </si>
  <si>
    <t>550kg</t>
    <phoneticPr fontId="1" type="noConversion"/>
  </si>
  <si>
    <t>1800kg</t>
    <phoneticPr fontId="1" type="noConversion"/>
  </si>
  <si>
    <t>2000kg</t>
    <phoneticPr fontId="1" type="noConversion"/>
  </si>
  <si>
    <t>2250KG</t>
    <phoneticPr fontId="1" type="noConversion"/>
  </si>
  <si>
    <t>2500KG</t>
    <phoneticPr fontId="1" type="noConversion"/>
  </si>
  <si>
    <t>LEHY-III-B</t>
    <phoneticPr fontId="1" type="noConversion"/>
  </si>
  <si>
    <r>
      <t>1</t>
    </r>
    <r>
      <rPr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>00kg</t>
    </r>
    <phoneticPr fontId="1" type="noConversion"/>
  </si>
  <si>
    <t>A14</t>
    <phoneticPr fontId="1" type="noConversion"/>
  </si>
  <si>
    <t>A15</t>
    <phoneticPr fontId="1" type="noConversion"/>
  </si>
  <si>
    <t>\\</t>
  </si>
  <si>
    <t>825kg</t>
  </si>
  <si>
    <t>1050kg</t>
  </si>
  <si>
    <t>1600kg</t>
  </si>
  <si>
    <t>320kg</t>
  </si>
  <si>
    <t>450kg</t>
  </si>
  <si>
    <t>550kg</t>
  </si>
  <si>
    <t>1350KG</t>
    <phoneticPr fontId="1" type="noConversion"/>
  </si>
  <si>
    <r>
      <t>2</t>
    </r>
    <r>
      <rPr>
        <sz val="10"/>
        <rFont val="宋体"/>
        <family val="3"/>
        <charset val="134"/>
      </rPr>
      <t>025kg</t>
    </r>
    <phoneticPr fontId="1" type="noConversion"/>
  </si>
  <si>
    <t>900kg</t>
    <phoneticPr fontId="1" type="noConversion"/>
  </si>
  <si>
    <t>LEHY-H</t>
    <phoneticPr fontId="1" type="noConversion"/>
  </si>
  <si>
    <t>5.0m/s(300mpm)</t>
    <phoneticPr fontId="1" type="noConversion"/>
  </si>
  <si>
    <t>6.0m/s(360mpm)</t>
    <phoneticPr fontId="1" type="noConversion"/>
  </si>
  <si>
    <t>COP</t>
    <phoneticPr fontId="1" type="noConversion"/>
  </si>
  <si>
    <t>COP 2</t>
    <phoneticPr fontId="1" type="noConversion"/>
  </si>
  <si>
    <t>Wheelchair COP2</t>
    <phoneticPr fontId="1" type="noConversion"/>
  </si>
  <si>
    <t>Wheelchair COP</t>
    <phoneticPr fontId="1" type="noConversion"/>
  </si>
  <si>
    <t>3000kg</t>
    <phoneticPr fontId="1" type="noConversion"/>
  </si>
  <si>
    <t>STD</t>
    <phoneticPr fontId="1" type="noConversion"/>
  </si>
  <si>
    <t>1200kg</t>
  </si>
  <si>
    <t>1350kg</t>
  </si>
  <si>
    <t>Landing</t>
    <phoneticPr fontId="1" type="noConversion"/>
  </si>
  <si>
    <t>Sill bracket</t>
    <phoneticPr fontId="1" type="noConversion"/>
  </si>
  <si>
    <t>750kg</t>
    <phoneticPr fontId="1" type="noConversion"/>
  </si>
  <si>
    <r>
      <t>1</t>
    </r>
    <r>
      <rPr>
        <sz val="10"/>
        <rFont val="宋体"/>
        <family val="3"/>
        <charset val="134"/>
      </rPr>
      <t>000kg</t>
    </r>
    <phoneticPr fontId="1" type="noConversion"/>
  </si>
  <si>
    <t>LEHY-III-HY05S</t>
  </si>
  <si>
    <t>LEHY-III-SY06S</t>
  </si>
  <si>
    <t>LEHY-III-S</t>
    <phoneticPr fontId="1" type="noConversion"/>
  </si>
  <si>
    <t>LEHY-MRL-II</t>
    <phoneticPr fontId="1" type="noConversion"/>
  </si>
  <si>
    <t>825kg</t>
    <phoneticPr fontId="1" type="noConversion"/>
  </si>
  <si>
    <t>SD-BS-II</t>
    <phoneticPr fontId="1" type="noConversion"/>
  </si>
  <si>
    <t>LEHY Series</t>
    <phoneticPr fontId="1" type="noConversion"/>
  </si>
  <si>
    <t xml:space="preserve">Panoramic </t>
    <phoneticPr fontId="1" type="noConversion"/>
  </si>
  <si>
    <t>SPEC</t>
    <phoneticPr fontId="1" type="noConversion"/>
  </si>
  <si>
    <t>SPEC_LENGTH</t>
    <phoneticPr fontId="1" type="noConversion"/>
  </si>
  <si>
    <t>OFFSET</t>
    <phoneticPr fontId="1" type="noConversion"/>
  </si>
  <si>
    <t>LENGTH</t>
    <phoneticPr fontId="1" type="noConversion"/>
  </si>
  <si>
    <t>Cargo/Dumbwaiter</t>
    <phoneticPr fontId="1" type="noConversion"/>
  </si>
  <si>
    <t>Ele Type:</t>
    <phoneticPr fontId="1" type="noConversion"/>
  </si>
  <si>
    <t>1.0m/s(60mpm)-for 200kg,300kg</t>
    <phoneticPr fontId="1" type="noConversion"/>
  </si>
  <si>
    <r>
      <t>0.5</t>
    </r>
    <r>
      <rPr>
        <sz val="10"/>
        <rFont val="宋体"/>
        <family val="3"/>
        <charset val="134"/>
      </rPr>
      <t>m/s(30mpm)-for 100kg,200kg</t>
    </r>
    <phoneticPr fontId="1" type="noConversion"/>
  </si>
  <si>
    <t>100kg</t>
    <phoneticPr fontId="1" type="noConversion"/>
  </si>
  <si>
    <t>200kg</t>
    <phoneticPr fontId="1" type="noConversion"/>
  </si>
  <si>
    <t>300kg</t>
    <phoneticPr fontId="1" type="noConversion"/>
  </si>
  <si>
    <t>5000kg</t>
    <phoneticPr fontId="1" type="noConversion"/>
  </si>
  <si>
    <t>ZCL-SS07F</t>
    <phoneticPr fontId="1" type="noConversion"/>
  </si>
  <si>
    <t>Firefighter Lift</t>
    <phoneticPr fontId="1" type="noConversion"/>
  </si>
  <si>
    <t>A64</t>
    <phoneticPr fontId="1" type="noConversion"/>
  </si>
  <si>
    <t>A71</t>
    <phoneticPr fontId="1" type="noConversion"/>
  </si>
  <si>
    <t>1350kg</t>
    <phoneticPr fontId="1" type="noConversion"/>
  </si>
  <si>
    <t>LEHY-MRL-IIG</t>
    <phoneticPr fontId="1" type="noConversion"/>
  </si>
  <si>
    <t xml:space="preserve">HL(mm) </t>
    <phoneticPr fontId="1" type="noConversion"/>
  </si>
  <si>
    <t>LOP</t>
    <phoneticPr fontId="1" type="noConversion"/>
  </si>
  <si>
    <t>Hall Lantern</t>
    <phoneticPr fontId="1" type="noConversion"/>
  </si>
  <si>
    <t>Villa Elevator</t>
    <phoneticPr fontId="1" type="noConversion"/>
  </si>
  <si>
    <t>LEON-II</t>
    <phoneticPr fontId="1" type="noConversion"/>
  </si>
  <si>
    <t>LEON-II</t>
    <phoneticPr fontId="1" type="noConversion"/>
  </si>
  <si>
    <t>0.4m/s(24mpm)</t>
    <phoneticPr fontId="1" type="noConversion"/>
  </si>
  <si>
    <t>320kg</t>
    <phoneticPr fontId="1" type="noConversion"/>
  </si>
  <si>
    <t>400kg</t>
    <phoneticPr fontId="1" type="noConversion"/>
  </si>
  <si>
    <t>ZCD-027T</t>
  </si>
  <si>
    <t>ZCD-026T</t>
    <phoneticPr fontId="1" type="noConversion"/>
  </si>
  <si>
    <t>ZCD-028T</t>
  </si>
  <si>
    <t>ZCD-029T</t>
  </si>
  <si>
    <t>ZCD-030T</t>
  </si>
  <si>
    <t>ZCD-031T</t>
  </si>
  <si>
    <t>ZCD-032T</t>
  </si>
  <si>
    <t>ZCD-033T</t>
  </si>
  <si>
    <t>ZCD-034T</t>
  </si>
  <si>
    <t>ZCD-035T</t>
  </si>
  <si>
    <t>ZCD-036T</t>
  </si>
  <si>
    <t>ZCD-037T</t>
  </si>
  <si>
    <t>ZCL-SN04</t>
    <phoneticPr fontId="1" type="noConversion"/>
  </si>
  <si>
    <t>ZCL-GS18</t>
    <phoneticPr fontId="1" type="noConversion"/>
  </si>
  <si>
    <t>ZCL-GS17</t>
    <phoneticPr fontId="1" type="noConversion"/>
  </si>
  <si>
    <t>ZCL-GN06</t>
    <phoneticPr fontId="1" type="noConversion"/>
  </si>
  <si>
    <t>Manufacturing Standard</t>
    <phoneticPr fontId="1" type="noConversion"/>
  </si>
  <si>
    <t>ELENESSA(GQXL3)</t>
    <phoneticPr fontId="1" type="noConversion"/>
  </si>
  <si>
    <t>ELENESSA(GQXM3)</t>
    <phoneticPr fontId="1" type="noConversion"/>
  </si>
  <si>
    <t>ELE-NZ11S(GQXV3)</t>
    <phoneticPr fontId="1" type="noConversion"/>
  </si>
  <si>
    <t>ELE-NZ22S(GQXV3)</t>
    <phoneticPr fontId="1" type="noConversion"/>
  </si>
  <si>
    <t>ELE-NZ31S(GQXV3)</t>
    <phoneticPr fontId="1" type="noConversion"/>
  </si>
  <si>
    <t>ELE-NZ42S(GQXV3)</t>
    <phoneticPr fontId="1" type="noConversion"/>
  </si>
  <si>
    <t>ELE-HY05S(GQXV3)</t>
    <phoneticPr fontId="1" type="noConversion"/>
  </si>
  <si>
    <t>1275kg</t>
    <phoneticPr fontId="1" type="noConversion"/>
  </si>
  <si>
    <r>
      <t>2.0m/s(</t>
    </r>
    <r>
      <rPr>
        <sz val="10"/>
        <rFont val="宋体"/>
        <family val="3"/>
        <charset val="134"/>
      </rPr>
      <t>12</t>
    </r>
    <r>
      <rPr>
        <sz val="10"/>
        <rFont val="宋体"/>
        <family val="3"/>
        <charset val="134"/>
      </rPr>
      <t>0mpm)</t>
    </r>
    <phoneticPr fontId="1" type="noConversion"/>
  </si>
  <si>
    <r>
      <t>2.5m/s(15</t>
    </r>
    <r>
      <rPr>
        <sz val="10"/>
        <rFont val="宋体"/>
        <family val="3"/>
        <charset val="134"/>
      </rPr>
      <t>0mpm)</t>
    </r>
    <phoneticPr fontId="1" type="noConversion"/>
  </si>
  <si>
    <t>ZCL-GS22</t>
    <phoneticPr fontId="1" type="noConversion"/>
  </si>
  <si>
    <t>ZCL-GS21</t>
    <phoneticPr fontId="1" type="noConversion"/>
  </si>
  <si>
    <t>ZCL-DN02</t>
    <phoneticPr fontId="1" type="noConversion"/>
  </si>
  <si>
    <t>ZCL-SS07S</t>
    <phoneticPr fontId="1" type="noConversion"/>
  </si>
  <si>
    <t>ZCL-SS10</t>
    <phoneticPr fontId="1" type="noConversion"/>
  </si>
  <si>
    <t>ZCL-GN07</t>
    <phoneticPr fontId="1" type="noConversion"/>
  </si>
  <si>
    <t>ZCD-020X</t>
    <phoneticPr fontId="1" type="noConversion"/>
  </si>
  <si>
    <t>ZCD-021X</t>
  </si>
  <si>
    <t>ZCD-022X</t>
  </si>
  <si>
    <t>ZCD-030G</t>
    <phoneticPr fontId="1" type="noConversion"/>
  </si>
  <si>
    <t>ZCD-039T</t>
    <phoneticPr fontId="1" type="noConversion"/>
  </si>
  <si>
    <t>ZCD-040T</t>
  </si>
  <si>
    <t>ZCD-041T</t>
  </si>
  <si>
    <t>ZCD-042T</t>
  </si>
  <si>
    <t>Anti-slip SUS</t>
    <phoneticPr fontId="1" type="noConversion"/>
  </si>
  <si>
    <t>Parquet Marble</t>
    <phoneticPr fontId="1" type="noConversion"/>
  </si>
  <si>
    <t>Parquet PVC</t>
    <phoneticPr fontId="1" type="noConversion"/>
  </si>
  <si>
    <t>Checked steel</t>
    <phoneticPr fontId="1" type="noConversion"/>
  </si>
  <si>
    <t>concave-down</t>
    <phoneticPr fontId="1" type="noConversion"/>
  </si>
  <si>
    <t>Floor type</t>
    <phoneticPr fontId="1" type="noConversion"/>
  </si>
  <si>
    <t>Floor Pattern</t>
    <phoneticPr fontId="1" type="noConversion"/>
  </si>
  <si>
    <t>1C-2BC</t>
    <phoneticPr fontId="1" type="noConversion"/>
  </si>
  <si>
    <t>2C-SM21</t>
    <phoneticPr fontId="1" type="noConversion"/>
  </si>
  <si>
    <t>2C-ITS-21</t>
    <phoneticPr fontId="1" type="noConversion"/>
  </si>
  <si>
    <t>3C-ITS-21</t>
    <phoneticPr fontId="1" type="noConversion"/>
  </si>
  <si>
    <t>4C-ITS-21</t>
    <phoneticPr fontId="1" type="noConversion"/>
  </si>
  <si>
    <t>3C-ITS-2100</t>
    <phoneticPr fontId="1" type="noConversion"/>
  </si>
  <si>
    <t>4C-ITS-2100</t>
    <phoneticPr fontId="1" type="noConversion"/>
  </si>
  <si>
    <t>5C-ITS-2100</t>
    <phoneticPr fontId="1" type="noConversion"/>
  </si>
  <si>
    <t>6C-ITS-2100</t>
    <phoneticPr fontId="1" type="noConversion"/>
  </si>
  <si>
    <t>7C-ITS-2100</t>
    <phoneticPr fontId="1" type="noConversion"/>
  </si>
  <si>
    <t>8C-ITS-2100</t>
    <phoneticPr fontId="1" type="noConversion"/>
  </si>
  <si>
    <t>其他</t>
    <phoneticPr fontId="1" type="noConversion"/>
  </si>
  <si>
    <t>ELENESSA系列</t>
    <phoneticPr fontId="1" type="noConversion"/>
  </si>
  <si>
    <t>2C-2BC</t>
    <phoneticPr fontId="1" type="noConversion"/>
  </si>
  <si>
    <t>2C-AI-22</t>
    <phoneticPr fontId="1" type="noConversion"/>
  </si>
  <si>
    <t>3C-AI-22</t>
    <phoneticPr fontId="1" type="noConversion"/>
  </si>
  <si>
    <t>4C-AI-22</t>
    <phoneticPr fontId="1" type="noConversion"/>
  </si>
  <si>
    <t>3C-AI-2200</t>
    <phoneticPr fontId="1" type="noConversion"/>
  </si>
  <si>
    <t>4C-AI-2200</t>
    <phoneticPr fontId="1" type="noConversion"/>
  </si>
  <si>
    <t>5C-AI-2200</t>
    <phoneticPr fontId="1" type="noConversion"/>
  </si>
  <si>
    <t>6C-AI-2200</t>
    <phoneticPr fontId="1" type="noConversion"/>
  </si>
  <si>
    <t>7C-AI-2200</t>
    <phoneticPr fontId="1" type="noConversion"/>
  </si>
  <si>
    <t>8C-AI-2200</t>
    <phoneticPr fontId="1" type="noConversion"/>
  </si>
  <si>
    <t>LEHY-III-B</t>
  </si>
  <si>
    <t>所有客梯</t>
    <phoneticPr fontId="1" type="noConversion"/>
  </si>
  <si>
    <t>消防梯</t>
    <phoneticPr fontId="1" type="noConversion"/>
  </si>
  <si>
    <t>ELE-NZ22S(GQXV3)</t>
    <phoneticPr fontId="1" type="noConversion"/>
  </si>
  <si>
    <t>ELE-NZ31S(GQXV3)</t>
    <phoneticPr fontId="1" type="noConversion"/>
  </si>
  <si>
    <t>ELE-NZ42S(GQXV3)</t>
    <phoneticPr fontId="1" type="noConversion"/>
  </si>
  <si>
    <t>ELE-HY05S(GQXV3)</t>
    <phoneticPr fontId="1" type="noConversion"/>
  </si>
  <si>
    <t>新平台</t>
    <phoneticPr fontId="1" type="noConversion"/>
  </si>
  <si>
    <t>货梯</t>
    <phoneticPr fontId="1" type="noConversion"/>
  </si>
  <si>
    <t>残疾人操纵箱</t>
    <phoneticPr fontId="1" type="noConversion"/>
  </si>
  <si>
    <t>■COP</t>
    <phoneticPr fontId="1" type="noConversion"/>
  </si>
  <si>
    <t>■HID</t>
    <phoneticPr fontId="1" type="noConversion"/>
  </si>
  <si>
    <t>C14</t>
    <phoneticPr fontId="1" type="noConversion"/>
  </si>
  <si>
    <t>C15</t>
    <phoneticPr fontId="1" type="noConversion"/>
  </si>
  <si>
    <t>A81</t>
    <phoneticPr fontId="1" type="noConversion"/>
  </si>
  <si>
    <t>A82</t>
    <phoneticPr fontId="1" type="noConversion"/>
  </si>
  <si>
    <t>A84</t>
    <phoneticPr fontId="1" type="noConversion"/>
  </si>
  <si>
    <t>A27</t>
    <phoneticPr fontId="1" type="noConversion"/>
  </si>
  <si>
    <t>ZPIH-NE01</t>
    <phoneticPr fontId="1" type="noConversion"/>
  </si>
  <si>
    <t>ZPIH-CE01</t>
    <phoneticPr fontId="1" type="noConversion"/>
  </si>
  <si>
    <t>ZPIH-C301</t>
    <phoneticPr fontId="1" type="noConversion"/>
  </si>
  <si>
    <t>ZPIH-C804</t>
    <phoneticPr fontId="1" type="noConversion"/>
  </si>
  <si>
    <t>■Wheelchair</t>
  </si>
  <si>
    <t>■WheelchairCOP</t>
  </si>
  <si>
    <t>ZHB■-H030</t>
  </si>
  <si>
    <t>ZHB■-H040</t>
  </si>
  <si>
    <t>ZHB■-H041</t>
  </si>
  <si>
    <t>ZHLV-H040</t>
    <phoneticPr fontId="1" type="noConversion"/>
  </si>
  <si>
    <t>ZHLV-H050</t>
    <phoneticPr fontId="1" type="noConversion"/>
  </si>
  <si>
    <t>ZHLH-R080</t>
    <phoneticPr fontId="1" type="noConversion"/>
  </si>
  <si>
    <t>A40</t>
    <phoneticPr fontId="1" type="noConversion"/>
  </si>
  <si>
    <t>ZCBA12-CD11</t>
    <phoneticPr fontId="1" type="noConversion"/>
  </si>
  <si>
    <t>ZHB■-F030F</t>
    <phoneticPr fontId="1" type="noConversion"/>
  </si>
  <si>
    <t>ZYH-SH01</t>
    <phoneticPr fontId="1" type="noConversion"/>
  </si>
  <si>
    <t>ZYH-FH10</t>
    <phoneticPr fontId="1" type="noConversion"/>
  </si>
  <si>
    <t>ZYH-RH01</t>
    <phoneticPr fontId="1" type="noConversion"/>
  </si>
  <si>
    <t>ZYH-RH02</t>
    <phoneticPr fontId="1" type="noConversion"/>
  </si>
  <si>
    <t>■Wheelchair</t>
    <phoneticPr fontId="1" type="noConversion"/>
  </si>
  <si>
    <t>ZPI■-CA11</t>
    <phoneticPr fontId="1" type="noConversion"/>
  </si>
  <si>
    <t>GB25194-2010</t>
    <phoneticPr fontId="1" type="noConversion"/>
  </si>
  <si>
    <t>特殊轿顶</t>
    <phoneticPr fontId="1" type="noConversion"/>
  </si>
  <si>
    <t>特殊轿厢</t>
    <phoneticPr fontId="1" type="noConversion"/>
  </si>
  <si>
    <t>SPD</t>
    <phoneticPr fontId="1" type="noConversion"/>
  </si>
  <si>
    <t>LEHY-III</t>
    <phoneticPr fontId="1" type="noConversion"/>
  </si>
  <si>
    <t>LEHY-M-II</t>
    <phoneticPr fontId="1" type="noConversion"/>
  </si>
  <si>
    <t>LEHY-H</t>
    <phoneticPr fontId="1" type="noConversion"/>
  </si>
  <si>
    <t>LEHY-MRL-II</t>
    <phoneticPr fontId="1" type="noConversion"/>
  </si>
  <si>
    <t>LEHY-III-HY05S</t>
    <phoneticPr fontId="1" type="noConversion"/>
  </si>
  <si>
    <t>LEHY-III-SY06S</t>
    <phoneticPr fontId="1" type="noConversion"/>
  </si>
  <si>
    <t>ELENESSA(GQXL3)</t>
    <phoneticPr fontId="1" type="noConversion"/>
  </si>
  <si>
    <t>ELENESSA(GQXM3)</t>
    <phoneticPr fontId="1" type="noConversion"/>
  </si>
  <si>
    <t>ELE-NZ11S(GQXV3)</t>
    <phoneticPr fontId="1" type="noConversion"/>
  </si>
  <si>
    <t>ELE-NZ22S(GQXV3)</t>
    <phoneticPr fontId="1" type="noConversion"/>
  </si>
  <si>
    <t>ELE-NZ31S(GQXV3)</t>
    <phoneticPr fontId="1" type="noConversion"/>
  </si>
  <si>
    <t>ELE-NZ42S(GQXV3)</t>
    <phoneticPr fontId="1" type="noConversion"/>
  </si>
  <si>
    <t>ELE-HY05S(GQXV3)</t>
    <phoneticPr fontId="1" type="noConversion"/>
  </si>
  <si>
    <t>LEON-II</t>
    <phoneticPr fontId="1" type="noConversion"/>
  </si>
  <si>
    <t>\\</t>
    <phoneticPr fontId="1" type="noConversion"/>
  </si>
  <si>
    <t>LEHY-III-B</t>
    <phoneticPr fontId="1" type="noConversion"/>
  </si>
  <si>
    <t>LEHY-III-S</t>
    <phoneticPr fontId="1" type="noConversion"/>
  </si>
  <si>
    <t>SD-BS-II</t>
    <phoneticPr fontId="1" type="noConversion"/>
  </si>
  <si>
    <t>Manufacturing Standard</t>
  </si>
  <si>
    <t>Manufacturing
 Standard</t>
    <phoneticPr fontId="1" type="noConversion"/>
  </si>
  <si>
    <t>EN81-20/50:2014</t>
    <phoneticPr fontId="1" type="noConversion"/>
  </si>
  <si>
    <t>医梯</t>
    <phoneticPr fontId="1" type="noConversion"/>
  </si>
  <si>
    <t>杂梯</t>
    <phoneticPr fontId="1" type="noConversion"/>
  </si>
  <si>
    <t>\\</t>
    <phoneticPr fontId="1" type="noConversion"/>
  </si>
  <si>
    <t>LEHY系列非消防梯非医用梯</t>
    <phoneticPr fontId="1" type="noConversion"/>
  </si>
  <si>
    <t>ELENESSA系列非消防梯</t>
    <phoneticPr fontId="1" type="noConversion"/>
  </si>
  <si>
    <t>别墅梯</t>
    <phoneticPr fontId="1" type="noConversion"/>
  </si>
  <si>
    <t>医梯</t>
    <phoneticPr fontId="1" type="noConversion"/>
  </si>
  <si>
    <t>有机房货梯</t>
    <phoneticPr fontId="1" type="noConversion"/>
  </si>
  <si>
    <t>无机房货梯</t>
    <phoneticPr fontId="1" type="noConversion"/>
  </si>
  <si>
    <t>杂梯</t>
    <phoneticPr fontId="1" type="noConversion"/>
  </si>
  <si>
    <t>LEHY系列</t>
    <phoneticPr fontId="1" type="noConversion"/>
  </si>
  <si>
    <t>ZCB■-T711</t>
    <phoneticPr fontId="1" type="noConversion"/>
  </si>
  <si>
    <t>ZCB■-T811</t>
    <phoneticPr fontId="1" type="noConversion"/>
  </si>
  <si>
    <t>ZCB■-T761</t>
    <phoneticPr fontId="1" type="noConversion"/>
  </si>
  <si>
    <t>ZCB■-T861</t>
    <phoneticPr fontId="1" type="noConversion"/>
  </si>
  <si>
    <t>ZPI■-GD10</t>
    <phoneticPr fontId="1" type="noConversion"/>
  </si>
  <si>
    <t>ZPI■-GD20</t>
    <phoneticPr fontId="1" type="noConversion"/>
  </si>
  <si>
    <t>ZPI■-CD10</t>
    <phoneticPr fontId="1" type="noConversion"/>
  </si>
  <si>
    <t>ZPI■-CD20</t>
    <phoneticPr fontId="1" type="noConversion"/>
  </si>
  <si>
    <t>ZPI■-GA13</t>
    <phoneticPr fontId="1" type="noConversion"/>
  </si>
  <si>
    <t>ZPI■-GA23</t>
    <phoneticPr fontId="1" type="noConversion"/>
  </si>
  <si>
    <t>ZPI■-CA13</t>
    <phoneticPr fontId="1" type="noConversion"/>
  </si>
  <si>
    <t>ZPI■-CA23</t>
    <phoneticPr fontId="1" type="noConversion"/>
  </si>
  <si>
    <t>ZHB■-G010</t>
    <phoneticPr fontId="1" type="noConversion"/>
  </si>
  <si>
    <t>ZHB■-G020</t>
    <phoneticPr fontId="1" type="noConversion"/>
  </si>
  <si>
    <t>ZPI■-CD10F</t>
    <phoneticPr fontId="1" type="noConversion"/>
  </si>
  <si>
    <t>ZPI■-CD20F</t>
    <phoneticPr fontId="1" type="noConversion"/>
  </si>
  <si>
    <t>ZPI■-CA13F</t>
    <phoneticPr fontId="1" type="noConversion"/>
  </si>
  <si>
    <t>ZPI■-CA23F</t>
    <phoneticPr fontId="1" type="noConversion"/>
  </si>
  <si>
    <t>ZHB■-C010F</t>
    <phoneticPr fontId="1" type="noConversion"/>
  </si>
  <si>
    <t>ZHB■-C020F</t>
    <phoneticPr fontId="1" type="noConversion"/>
  </si>
  <si>
    <t>ZCB■-ND10</t>
    <phoneticPr fontId="1" type="noConversion"/>
  </si>
  <si>
    <t>ZCB■-ND11</t>
    <phoneticPr fontId="1" type="noConversion"/>
  </si>
  <si>
    <t>ZCB■-N612</t>
    <phoneticPr fontId="1" type="noConversion"/>
  </si>
  <si>
    <t>ZCB■-N310</t>
    <phoneticPr fontId="1" type="noConversion"/>
  </si>
  <si>
    <t>ZCB■-N710</t>
    <phoneticPr fontId="1" type="noConversion"/>
  </si>
  <si>
    <t>ZCB■-ND30</t>
    <phoneticPr fontId="1" type="noConversion"/>
  </si>
  <si>
    <t>ZCB■-T611</t>
    <phoneticPr fontId="1" type="noConversion"/>
  </si>
  <si>
    <t>ZCB■-T311</t>
    <phoneticPr fontId="1" type="noConversion"/>
  </si>
  <si>
    <t>ZCB■-TD12</t>
    <phoneticPr fontId="1" type="noConversion"/>
  </si>
  <si>
    <t>ZCB■-ND60</t>
    <phoneticPr fontId="1" type="noConversion"/>
  </si>
  <si>
    <t>ZCB■-ND61</t>
    <phoneticPr fontId="1" type="noConversion"/>
  </si>
  <si>
    <t>ZCB■-N662</t>
    <phoneticPr fontId="1" type="noConversion"/>
  </si>
  <si>
    <t>ZCB■-N360</t>
    <phoneticPr fontId="1" type="noConversion"/>
  </si>
  <si>
    <t>ZCB■-N760</t>
    <phoneticPr fontId="1" type="noConversion"/>
  </si>
  <si>
    <t>ZCB■-ND80</t>
    <phoneticPr fontId="1" type="noConversion"/>
  </si>
  <si>
    <t>ZCB■-T661</t>
    <phoneticPr fontId="1" type="noConversion"/>
  </si>
  <si>
    <t>ZCB■-T361</t>
    <phoneticPr fontId="1" type="noConversion"/>
  </si>
  <si>
    <t>ZCB■-TD62</t>
    <phoneticPr fontId="1" type="noConversion"/>
  </si>
  <si>
    <t>ZPI■-GB13</t>
    <phoneticPr fontId="1" type="noConversion"/>
  </si>
  <si>
    <t>ZPI■-GB23</t>
    <phoneticPr fontId="1" type="noConversion"/>
  </si>
  <si>
    <t>ZPI■-CB13</t>
    <phoneticPr fontId="1" type="noConversion"/>
  </si>
  <si>
    <t>ZPI■-CB23</t>
    <phoneticPr fontId="1" type="noConversion"/>
  </si>
  <si>
    <t>ZPI■-CD12</t>
    <phoneticPr fontId="1" type="noConversion"/>
  </si>
  <si>
    <t>ZPI■-CD22</t>
    <phoneticPr fontId="1" type="noConversion"/>
  </si>
  <si>
    <t>ZHB■-C010</t>
    <phoneticPr fontId="1" type="noConversion"/>
  </si>
  <si>
    <t>ZHB■-C020</t>
    <phoneticPr fontId="1" type="noConversion"/>
  </si>
  <si>
    <t>ZHB■-G012</t>
    <phoneticPr fontId="1" type="noConversion"/>
  </si>
  <si>
    <t>ZCB■-RA10</t>
    <phoneticPr fontId="1" type="noConversion"/>
  </si>
  <si>
    <t>ZHB■-C011</t>
    <phoneticPr fontId="1" type="noConversion"/>
  </si>
  <si>
    <t>ZCB■-F011</t>
    <phoneticPr fontId="1" type="noConversion"/>
  </si>
  <si>
    <t>ZCB■-F131</t>
    <phoneticPr fontId="1" type="noConversion"/>
  </si>
  <si>
    <t>ZCB■-F061</t>
    <phoneticPr fontId="1" type="noConversion"/>
  </si>
  <si>
    <t>ZCB■-F181</t>
    <phoneticPr fontId="1" type="noConversion"/>
  </si>
  <si>
    <t>ZCB■-F011F</t>
    <phoneticPr fontId="1" type="noConversion"/>
  </si>
  <si>
    <t>ZCB■-F131F</t>
    <phoneticPr fontId="1" type="noConversion"/>
  </si>
  <si>
    <t>ZCB■-F061F</t>
    <phoneticPr fontId="1" type="noConversion"/>
  </si>
  <si>
    <t>ZCB■-F181F</t>
    <phoneticPr fontId="1" type="noConversion"/>
  </si>
  <si>
    <t>ZHB■-F040F</t>
    <phoneticPr fontId="1" type="noConversion"/>
  </si>
  <si>
    <t>ZHB■-F041F</t>
    <phoneticPr fontId="1" type="noConversion"/>
  </si>
  <si>
    <t>GB/T 21739-2008</t>
    <phoneticPr fontId="1" type="noConversion"/>
  </si>
  <si>
    <t>\\</t>
    <phoneticPr fontId="1" type="noConversion"/>
  </si>
  <si>
    <t>说明</t>
    <phoneticPr fontId="1" type="noConversion"/>
  </si>
  <si>
    <t>标题</t>
    <phoneticPr fontId="1" type="noConversion"/>
  </si>
  <si>
    <t>■COP</t>
    <phoneticPr fontId="1" type="noConversion"/>
  </si>
  <si>
    <t>HY05S</t>
    <phoneticPr fontId="1" type="noConversion"/>
  </si>
  <si>
    <t>残疾人外招</t>
    <phoneticPr fontId="1" type="noConversion"/>
  </si>
  <si>
    <t>ZPR-001</t>
    <phoneticPr fontId="1" type="noConversion"/>
  </si>
  <si>
    <t>ZPR-002</t>
    <phoneticPr fontId="1" type="noConversion"/>
  </si>
  <si>
    <t>ZPR-003</t>
    <phoneticPr fontId="1" type="noConversion"/>
  </si>
  <si>
    <t>ZPR-004</t>
    <phoneticPr fontId="1" type="noConversion"/>
  </si>
  <si>
    <t>ZPR-007</t>
    <phoneticPr fontId="1" type="noConversion"/>
  </si>
  <si>
    <t>ZPR-011</t>
    <phoneticPr fontId="1" type="noConversion"/>
  </si>
  <si>
    <t>ZRZ-A01</t>
    <phoneticPr fontId="1" type="noConversion"/>
  </si>
  <si>
    <t>ZRZ-A02</t>
    <phoneticPr fontId="1" type="noConversion"/>
  </si>
  <si>
    <t>ZRZ-A03</t>
    <phoneticPr fontId="1" type="noConversion"/>
  </si>
  <si>
    <t>ZRZ-A04</t>
    <phoneticPr fontId="1" type="noConversion"/>
  </si>
  <si>
    <t>ZSC-001</t>
    <phoneticPr fontId="1" type="noConversion"/>
  </si>
  <si>
    <t>ZSC-002</t>
    <phoneticPr fontId="1" type="noConversion"/>
  </si>
  <si>
    <t>ZSC-011</t>
    <phoneticPr fontId="1" type="noConversion"/>
  </si>
  <si>
    <t>ZSC-012</t>
    <phoneticPr fontId="1" type="noConversion"/>
  </si>
  <si>
    <t>ZSC-013</t>
    <phoneticPr fontId="1" type="noConversion"/>
  </si>
  <si>
    <t>ZSC-014</t>
    <phoneticPr fontId="1" type="noConversion"/>
  </si>
  <si>
    <t>ZSC-016</t>
    <phoneticPr fontId="1" type="noConversion"/>
  </si>
  <si>
    <t>ZSC-029</t>
    <phoneticPr fontId="1" type="noConversion"/>
  </si>
  <si>
    <t>ZPH-026</t>
    <phoneticPr fontId="1" type="noConversion"/>
  </si>
  <si>
    <t>ZPH-028</t>
    <phoneticPr fontId="1" type="noConversion"/>
  </si>
  <si>
    <t>ZPH-029</t>
    <phoneticPr fontId="1" type="noConversion"/>
  </si>
  <si>
    <t>ZPH-031</t>
    <phoneticPr fontId="1" type="noConversion"/>
  </si>
  <si>
    <t>ZPH-034</t>
    <phoneticPr fontId="1" type="noConversion"/>
  </si>
  <si>
    <t>ZYH-SP01</t>
    <phoneticPr fontId="1" type="noConversion"/>
  </si>
  <si>
    <t>常规</t>
    <phoneticPr fontId="1" type="noConversion"/>
  </si>
  <si>
    <r>
      <rPr>
        <sz val="10"/>
        <color rgb="FFFF0000"/>
        <rFont val="宋体"/>
        <family val="3"/>
        <charset val="134"/>
      </rPr>
      <t>坐标原点</t>
    </r>
    <r>
      <rPr>
        <sz val="10"/>
        <color rgb="FFFF0000"/>
        <rFont val="Times New Roman"/>
        <family val="1"/>
      </rPr>
      <t>1</t>
    </r>
    <phoneticPr fontId="1" type="noConversion"/>
  </si>
  <si>
    <t>坐标原点2</t>
    <phoneticPr fontId="1" type="noConversion"/>
  </si>
  <si>
    <t>LOP</t>
  </si>
  <si>
    <t>Hall Indicator</t>
    <phoneticPr fontId="1" type="noConversion"/>
  </si>
  <si>
    <t>Hall Lantern</t>
    <phoneticPr fontId="1" type="noConversion"/>
  </si>
  <si>
    <t>Hall Lantern</t>
  </si>
  <si>
    <t>■LOP</t>
    <phoneticPr fontId="1" type="noConversion"/>
  </si>
  <si>
    <t>观光梯</t>
    <phoneticPr fontId="1" type="noConversion"/>
  </si>
  <si>
    <t>LEHY-III-SY06S</t>
    <phoneticPr fontId="1" type="noConversion"/>
  </si>
  <si>
    <t>ZCLO-SP01</t>
    <phoneticPr fontId="1" type="noConversion"/>
  </si>
  <si>
    <t>ZCLO-SP02</t>
    <phoneticPr fontId="1" type="noConversion"/>
  </si>
  <si>
    <t>Artificial stone</t>
    <phoneticPr fontId="1" type="noConversion"/>
  </si>
  <si>
    <t>■Wheelchair LOP</t>
    <phoneticPr fontId="1" type="noConversion"/>
  </si>
  <si>
    <t>ZYH-RH05</t>
    <phoneticPr fontId="1" type="noConversion"/>
  </si>
  <si>
    <t>ZYH-RH06</t>
    <phoneticPr fontId="1" type="noConversion"/>
  </si>
  <si>
    <t>ZYH-RH05B</t>
    <phoneticPr fontId="1" type="noConversion"/>
  </si>
  <si>
    <t>ZYH-RH06B</t>
    <phoneticPr fontId="1" type="noConversion"/>
  </si>
  <si>
    <t>Round(Mirror SUS)</t>
    <phoneticPr fontId="1" type="noConversion"/>
  </si>
  <si>
    <t>Round(Hairline SUS)</t>
    <phoneticPr fontId="1" type="noConversion"/>
  </si>
  <si>
    <t>别墅梯</t>
    <phoneticPr fontId="1" type="noConversion"/>
  </si>
  <si>
    <t>杂梯</t>
    <phoneticPr fontId="1" type="noConversion"/>
  </si>
  <si>
    <r>
      <t>2</t>
    </r>
    <r>
      <rPr>
        <sz val="10"/>
        <rFont val="宋体"/>
        <family val="3"/>
        <charset val="134"/>
      </rPr>
      <t>250kg</t>
    </r>
    <phoneticPr fontId="1" type="noConversion"/>
  </si>
  <si>
    <r>
      <t>2</t>
    </r>
    <r>
      <rPr>
        <sz val="10"/>
        <rFont val="宋体"/>
        <family val="3"/>
        <charset val="134"/>
      </rPr>
      <t>500kg</t>
    </r>
    <phoneticPr fontId="1" type="noConversion"/>
  </si>
  <si>
    <t>7.0m/s(420mpm)</t>
    <phoneticPr fontId="1" type="noConversion"/>
  </si>
  <si>
    <t>8.0m/s(480mpm)</t>
    <phoneticPr fontId="1" type="noConversion"/>
  </si>
  <si>
    <r>
      <t>0.63</t>
    </r>
    <r>
      <rPr>
        <sz val="10"/>
        <rFont val="宋体"/>
        <family val="3"/>
        <charset val="134"/>
      </rPr>
      <t>m/s(</t>
    </r>
    <r>
      <rPr>
        <sz val="10"/>
        <rFont val="宋体"/>
        <family val="3"/>
        <charset val="134"/>
      </rPr>
      <t>37.8</t>
    </r>
    <r>
      <rPr>
        <sz val="10"/>
        <rFont val="宋体"/>
        <family val="3"/>
        <charset val="134"/>
      </rPr>
      <t>mpm)</t>
    </r>
    <phoneticPr fontId="1" type="noConversion"/>
  </si>
  <si>
    <t>LEHY-III-NZ11S</t>
    <phoneticPr fontId="1" type="noConversion"/>
  </si>
  <si>
    <r>
      <t>1</t>
    </r>
    <r>
      <rPr>
        <sz val="10"/>
        <rFont val="宋体"/>
        <family val="3"/>
        <charset val="134"/>
      </rPr>
      <t>200kg</t>
    </r>
    <phoneticPr fontId="1" type="noConversion"/>
  </si>
  <si>
    <t>LEHY-III-NZ22S</t>
    <phoneticPr fontId="1" type="noConversion"/>
  </si>
  <si>
    <t>LEHY-III-NZ11S</t>
    <phoneticPr fontId="1" type="noConversion"/>
  </si>
  <si>
    <t>LEHY-III-S(F)</t>
    <phoneticPr fontId="1" type="noConversion"/>
  </si>
  <si>
    <t>LEHY-Pro(F)</t>
    <phoneticPr fontId="1" type="noConversion"/>
  </si>
  <si>
    <t>LEHY-Pro</t>
    <phoneticPr fontId="1" type="noConversion"/>
  </si>
  <si>
    <t>LEHY-III-S(F)</t>
    <phoneticPr fontId="1" type="noConversion"/>
  </si>
  <si>
    <t>LEHY-Pro(F)</t>
    <phoneticPr fontId="1" type="noConversion"/>
  </si>
  <si>
    <t>LEHY-III(F)</t>
    <phoneticPr fontId="1" type="noConversion"/>
  </si>
  <si>
    <t>LEHY-MRL-II(F)</t>
    <phoneticPr fontId="1" type="noConversion"/>
  </si>
  <si>
    <t>LEHY-M-II(F)</t>
    <phoneticPr fontId="1" type="noConversion"/>
  </si>
  <si>
    <t>ZCB■-ND10F</t>
    <phoneticPr fontId="1" type="noConversion"/>
  </si>
  <si>
    <t>ZCB■-ND11F</t>
    <phoneticPr fontId="1" type="noConversion"/>
  </si>
  <si>
    <t>ZCB■-N612F</t>
    <phoneticPr fontId="1" type="noConversion"/>
  </si>
  <si>
    <t>ZCB■-N310F</t>
    <phoneticPr fontId="1" type="noConversion"/>
  </si>
  <si>
    <t>ZCB■-N710F</t>
    <phoneticPr fontId="1" type="noConversion"/>
  </si>
  <si>
    <t>ZCB■-ND60F</t>
    <phoneticPr fontId="1" type="noConversion"/>
  </si>
  <si>
    <t>ZCB■-ND61F</t>
    <phoneticPr fontId="1" type="noConversion"/>
  </si>
  <si>
    <t>ZCB■-N662F</t>
    <phoneticPr fontId="1" type="noConversion"/>
  </si>
  <si>
    <t>ZCB■-N360F</t>
    <phoneticPr fontId="1" type="noConversion"/>
  </si>
  <si>
    <t>ZCB■-N760F</t>
    <phoneticPr fontId="1" type="noConversion"/>
  </si>
  <si>
    <t>ZCBA12-CD61</t>
    <phoneticPr fontId="1" type="noConversion"/>
  </si>
  <si>
    <t>ZPI■-CB13F</t>
    <phoneticPr fontId="1" type="noConversion"/>
  </si>
  <si>
    <t>ZPI■-CB23F</t>
    <phoneticPr fontId="1" type="noConversion"/>
  </si>
  <si>
    <t>ZPI■-CD12F</t>
    <phoneticPr fontId="1" type="noConversion"/>
  </si>
  <si>
    <t>ZPI■-CD22F</t>
    <phoneticPr fontId="1" type="noConversion"/>
  </si>
  <si>
    <t>LEHY-III-S消防梯</t>
    <phoneticPr fontId="1" type="noConversion"/>
  </si>
  <si>
    <t>LEHY-PRO待定</t>
    <phoneticPr fontId="1" type="noConversion"/>
  </si>
  <si>
    <t>depth 20mm</t>
    <phoneticPr fontId="1" type="noConversion"/>
  </si>
  <si>
    <t>depth 25mm</t>
    <phoneticPr fontId="1" type="noConversion"/>
  </si>
  <si>
    <t>depth 30mm</t>
    <phoneticPr fontId="1" type="noConversion"/>
  </si>
  <si>
    <t>1.0m/s(60mpm)</t>
    <phoneticPr fontId="1" type="noConversion"/>
  </si>
  <si>
    <r>
      <t>0.5</t>
    </r>
    <r>
      <rPr>
        <sz val="10"/>
        <rFont val="宋体"/>
        <family val="3"/>
        <charset val="134"/>
      </rPr>
      <t>m/s(30mpm)</t>
    </r>
    <phoneticPr fontId="1" type="noConversion"/>
  </si>
  <si>
    <t>ZCD-031G(non-standard)</t>
    <phoneticPr fontId="1" type="noConversion"/>
  </si>
  <si>
    <t>ZCD-032G(non-standard)</t>
    <phoneticPr fontId="1" type="noConversion"/>
  </si>
  <si>
    <t>ZCD-033G(non-standard)</t>
    <phoneticPr fontId="1" type="noConversion"/>
  </si>
  <si>
    <t>ZCD-036X(non-standard)</t>
    <phoneticPr fontId="1" type="noConversion"/>
  </si>
  <si>
    <t>ZHBE08-C012</t>
    <phoneticPr fontId="1" type="noConversion"/>
  </si>
  <si>
    <t>ZHBE08-G012</t>
    <phoneticPr fontId="1" type="noConversion"/>
  </si>
  <si>
    <t>Auxiliary LOP</t>
    <phoneticPr fontId="1" type="noConversion"/>
  </si>
  <si>
    <t>LEHY-G</t>
    <phoneticPr fontId="1" type="noConversion"/>
  </si>
  <si>
    <t>ZCL-SN08S</t>
    <phoneticPr fontId="1" type="noConversion"/>
  </si>
  <si>
    <t>ZCL-SN08</t>
    <phoneticPr fontId="1" type="noConversion"/>
  </si>
  <si>
    <t>ZPIA32-GD10</t>
    <phoneticPr fontId="1" type="noConversion"/>
  </si>
  <si>
    <t>ZCBE10-N71B</t>
    <phoneticPr fontId="1" type="noConversion"/>
  </si>
  <si>
    <t>ZCBE10-N76B</t>
    <phoneticPr fontId="1" type="noConversion"/>
  </si>
  <si>
    <t>ZCBE15-T81C</t>
    <phoneticPr fontId="1" type="noConversion"/>
  </si>
  <si>
    <t>ZCBE15-T86C</t>
    <phoneticPr fontId="1" type="noConversion"/>
  </si>
  <si>
    <t>LEHY-G standard</t>
    <phoneticPr fontId="1" type="noConversion"/>
  </si>
  <si>
    <t>LEHY-G forklift</t>
    <phoneticPr fontId="1" type="noConversion"/>
  </si>
  <si>
    <t>LEHY-G forklift</t>
    <phoneticPr fontId="1" type="noConversion"/>
  </si>
  <si>
    <t>LEHY-L-S</t>
    <phoneticPr fontId="1" type="noConversion"/>
  </si>
  <si>
    <t>LEHY-L-S</t>
    <phoneticPr fontId="1" type="noConversion"/>
  </si>
  <si>
    <t>ZPIE07-GF10</t>
    <phoneticPr fontId="1" type="noConversion"/>
  </si>
  <si>
    <t>ZPIE07-GF20</t>
    <phoneticPr fontId="1" type="noConversion"/>
  </si>
  <si>
    <t>ZCL-SS12</t>
    <phoneticPr fontId="1" type="noConversion"/>
  </si>
  <si>
    <t>ZSC-028Y</t>
    <phoneticPr fontId="1" type="noConversion"/>
  </si>
  <si>
    <t>ZSC-029Y</t>
    <phoneticPr fontId="1" type="noConversion"/>
  </si>
  <si>
    <t>LEON</t>
  </si>
  <si>
    <t>ZCL-SS09</t>
    <phoneticPr fontId="1" type="noConversion"/>
  </si>
  <si>
    <t>A64</t>
    <phoneticPr fontId="1" type="noConversion"/>
  </si>
  <si>
    <t>A84</t>
    <phoneticPr fontId="1" type="noConversion"/>
  </si>
  <si>
    <t>A85</t>
    <phoneticPr fontId="1" type="noConversion"/>
  </si>
  <si>
    <t>LEHY-L-G standard</t>
    <phoneticPr fontId="1" type="noConversion"/>
  </si>
  <si>
    <t>LEHY-L-G forklift</t>
    <phoneticPr fontId="1" type="noConversion"/>
  </si>
  <si>
    <t>1150kg</t>
    <phoneticPr fontId="1" type="noConversion"/>
  </si>
  <si>
    <t>1200kg</t>
    <phoneticPr fontId="1" type="noConversion"/>
  </si>
  <si>
    <t>1350kg</t>
    <phoneticPr fontId="1" type="noConversion"/>
  </si>
  <si>
    <t>1600kg</t>
    <phoneticPr fontId="1" type="noConversion"/>
  </si>
  <si>
    <t>LEHY-L-S(F)</t>
    <phoneticPr fontId="1" type="noConversion"/>
  </si>
  <si>
    <t>LEHY-L-PRO(F)</t>
    <phoneticPr fontId="1" type="noConversion"/>
  </si>
  <si>
    <r>
      <t>4</t>
    </r>
    <r>
      <rPr>
        <sz val="10"/>
        <rFont val="宋体"/>
        <family val="3"/>
        <charset val="134"/>
      </rPr>
      <t>000kg</t>
    </r>
    <phoneticPr fontId="1" type="noConversion"/>
  </si>
  <si>
    <t>Q/SM 6030-2024</t>
    <phoneticPr fontId="1" type="noConversion"/>
  </si>
  <si>
    <t>GB/T 26465-2021</t>
    <phoneticPr fontId="1" type="noConversion"/>
  </si>
  <si>
    <t>ZCL-GS24</t>
    <phoneticPr fontId="1" type="noConversion"/>
  </si>
  <si>
    <t>ZPH-035</t>
    <phoneticPr fontId="1" type="noConversion"/>
  </si>
  <si>
    <t>ZPH-036</t>
  </si>
  <si>
    <t>ZPH-037</t>
  </si>
  <si>
    <t>ZPH-038</t>
  </si>
  <si>
    <t>ZYH-FH03</t>
    <phoneticPr fontId="1" type="noConversion"/>
  </si>
  <si>
    <t>ZYH-FH03L</t>
    <phoneticPr fontId="1" type="noConversion"/>
  </si>
  <si>
    <t>EN81-20/50:2014</t>
  </si>
  <si>
    <t>0.63m/s(37.8mpm)</t>
    <phoneticPr fontId="1" type="noConversion"/>
  </si>
  <si>
    <t>LEHY-L-Pro</t>
    <phoneticPr fontId="1" type="noConversion"/>
  </si>
  <si>
    <t>LEHY-L-Pro(F)</t>
    <phoneticPr fontId="1" type="noConversion"/>
  </si>
  <si>
    <t>LEHY-L-Pro-NZ11S</t>
  </si>
  <si>
    <t>LEHY-L-Pro-NZ22S</t>
  </si>
  <si>
    <t>LEHY-L-Pro-NZ31S</t>
  </si>
  <si>
    <t>LEHY-L-Pro-NZ42S</t>
  </si>
  <si>
    <t>LEHY Series</t>
  </si>
  <si>
    <t>LEHY-L-Pro</t>
  </si>
  <si>
    <t>ZCBE28-T810</t>
    <phoneticPr fontId="1" type="noConversion"/>
  </si>
  <si>
    <t>ZCBE28-T860</t>
    <phoneticPr fontId="1" type="noConversion"/>
  </si>
  <si>
    <t>TOTAL FOB PRICE:</t>
  </si>
  <si>
    <t>Гостиница Версаль</t>
  </si>
  <si>
    <t>РФ</t>
  </si>
  <si>
    <t>Hotel</t>
  </si>
  <si>
    <t>г. Кисловодск</t>
  </si>
  <si>
    <t>Л1</t>
  </si>
  <si>
    <t>1C-2BC</t>
  </si>
  <si>
    <t>Standard</t>
  </si>
  <si>
    <t>-1, 2~6</t>
  </si>
  <si>
    <t>1D1G</t>
  </si>
  <si>
    <t>Central opening</t>
  </si>
  <si>
    <t>Customized</t>
  </si>
  <si>
    <t>concave-down</t>
  </si>
  <si>
    <t>depth 20mm</t>
  </si>
  <si>
    <t>ZCL-SS07S</t>
  </si>
  <si>
    <t>SUS-H</t>
  </si>
  <si>
    <t>Half mirror</t>
  </si>
  <si>
    <t>ZYH-RH06</t>
  </si>
  <si>
    <t>rear wall</t>
  </si>
  <si>
    <t>ZCB■-N710</t>
  </si>
  <si>
    <t>ZDT-003 SUS-M</t>
  </si>
  <si>
    <t>1 EI60</t>
  </si>
  <si>
    <t>2 COP faceplate ZDT-003 SUS-M</t>
  </si>
  <si>
    <t>3 Kickplate ZDT-003 SUS-M</t>
  </si>
  <si>
    <t>(7 - 10) * 6990</t>
  </si>
  <si>
    <t>1380 * (24,45 - 3.6 * (7 - 1)</t>
  </si>
  <si>
    <t>5820 + 910</t>
  </si>
  <si>
    <t>9660 + 1900 + 2640</t>
  </si>
  <si>
    <t>1410 + 880</t>
  </si>
  <si>
    <t>5910 + 0 + 0 * 7</t>
  </si>
  <si>
    <t>0 + 0</t>
  </si>
  <si>
    <t>Project name</t>
  </si>
  <si>
    <t>Unit #</t>
  </si>
  <si>
    <t>Quantity</t>
  </si>
  <si>
    <t>Model</t>
  </si>
  <si>
    <t>Containers 40GP / Unit</t>
  </si>
  <si>
    <t>FOB CNY Price / Unit</t>
  </si>
  <si>
    <t>Total</t>
  </si>
  <si>
    <t>E-102</t>
  </si>
  <si>
    <t>Steel sill bracket by seller</t>
  </si>
  <si>
    <t>ZPI■-GB13</t>
  </si>
  <si>
    <t>4 Handrail ZDT-003 SUS-M</t>
  </si>
  <si>
    <t>MBS, ABP, ITV, BA, AAN-S, AECC, ACB, AHC, MELD, FER, FERC</t>
  </si>
  <si>
    <t>3000 (Car Door Lock) + 6703,5 (HH&gt;2100)</t>
  </si>
  <si>
    <t>3860 (HL&gt;2400) + 8920,8 (PXX)</t>
  </si>
  <si>
    <t>630 + 630 * 6</t>
  </si>
  <si>
    <t>200 + 200 * 6</t>
  </si>
  <si>
    <t>2860 + 2860 * 6</t>
  </si>
  <si>
    <t>160 + 0 + 160 * 6 + 0 * 6</t>
  </si>
  <si>
    <t>0 + 0 * 6</t>
  </si>
  <si>
    <t>1980 * 7</t>
  </si>
  <si>
    <t>MBS, ABP, ITV, BA, AAN-S, AECC, ACB, AHC, MELD, FER, FERC, FE</t>
  </si>
  <si>
    <t>1700 + 1360 + 50 * 24,45 + 3520 + 3120 + 1770 + 350 + 110 * 7 + 8330 + 1910 + 280 + (3520 + 730)</t>
  </si>
  <si>
    <t>Л2</t>
  </si>
  <si>
    <t>2~6</t>
  </si>
  <si>
    <t>(6 - 10) * 6990</t>
  </si>
  <si>
    <t>1380 * (19,95 - 3.6 * (6 - 1)</t>
  </si>
  <si>
    <t>3000 (Car Door Lock) + 5883 (HH&gt;2100)</t>
  </si>
  <si>
    <t>5910 + 0 + 0 * 6</t>
  </si>
  <si>
    <t>630 + 630 * 5</t>
  </si>
  <si>
    <t>200 + 200 * 5</t>
  </si>
  <si>
    <t>2860 + 2860 * 5</t>
  </si>
  <si>
    <t>160 + 0 + 160 * 5 + 0 * 5</t>
  </si>
  <si>
    <t>0 + 0 * 5</t>
  </si>
  <si>
    <t>1700 + 1360 + 50 * 19,95 + 3520 + 3120 + 1770 + 350 + 110 * 6 + 8330 + 1910 + 280</t>
  </si>
  <si>
    <t>1980 * 6</t>
  </si>
  <si>
    <t>Л3</t>
  </si>
  <si>
    <t>Л4</t>
  </si>
  <si>
    <t>ЛС1</t>
  </si>
  <si>
    <t>-1, 2</t>
  </si>
  <si>
    <t>Side opening</t>
  </si>
  <si>
    <t>(3 - 10) * 6990</t>
  </si>
  <si>
    <t>1380 * (9,3 - 3.6 * (3 - 1)</t>
  </si>
  <si>
    <t>5940 (2S Door) + 1140,5 (HH&gt;2100)</t>
  </si>
  <si>
    <t>6070 + 910</t>
  </si>
  <si>
    <t>12590 + 1900 + 2640</t>
  </si>
  <si>
    <t>5910 + 0 + 0 * 3</t>
  </si>
  <si>
    <t>630 + 630 * 2</t>
  </si>
  <si>
    <t>200 + 200 * 2</t>
  </si>
  <si>
    <t>2860 + 2860 * 2</t>
  </si>
  <si>
    <t>160 + 0 + 160 * 2 + 0 * 2</t>
  </si>
  <si>
    <t>0 + 0 * 2</t>
  </si>
  <si>
    <t>1980 * 3</t>
  </si>
  <si>
    <t>ЛС2</t>
  </si>
  <si>
    <t>2000kg</t>
  </si>
  <si>
    <t>ZCB■-ND10</t>
  </si>
  <si>
    <t>ZPI■-GD10</t>
  </si>
  <si>
    <t>MBS, ABP, ITV, BA, MELD, FER, FERC</t>
  </si>
  <si>
    <t>(7 - 6) * 7060</t>
  </si>
  <si>
    <t>1400 * (24,45 - 3.6 * (7 - 1)</t>
  </si>
  <si>
    <t>3000 (Car Door Lock) + 1674,5 (HH&gt;2100)</t>
  </si>
  <si>
    <t>7810 + 910</t>
  </si>
  <si>
    <t>5580 + 830 + 1140</t>
  </si>
  <si>
    <t>1650 + 1080</t>
  </si>
  <si>
    <t>0 + 0 + 0 * 7</t>
  </si>
  <si>
    <t>330 + 330 * 6</t>
  </si>
  <si>
    <t>1560 + 1560 * 6</t>
  </si>
  <si>
    <t>0 + 0 + 0 * 6 + 0 * 6</t>
  </si>
  <si>
    <t>1700 + 1360 + 50 * 24,45 + 3520 + 8330 + 1910 + 280</t>
  </si>
  <si>
    <t>1D2G</t>
  </si>
  <si>
    <t>1700 + 1360 + 50 * 9,3 + 3520 + 3120 + 1770 + 350 + 110 * 3 + 8330 + 1910 + 280 + (3520 + 730)</t>
  </si>
  <si>
    <t>ЛС3, ЛС4</t>
  </si>
  <si>
    <t>ЛС5</t>
  </si>
  <si>
    <t>MBS, ABP, ITV, BA, MELD, FER, FERC, FE</t>
  </si>
  <si>
    <t>(7 - 6) * 6990</t>
  </si>
  <si>
    <t>5940 (2S Door) + 1580 (HH&gt;2100)</t>
  </si>
  <si>
    <t>7316,4 (PXX)</t>
  </si>
  <si>
    <t>3770 + 750 + 1030</t>
  </si>
  <si>
    <t>1290 + 1290 * 6</t>
  </si>
  <si>
    <t>1700 + 1360 + 50 * 24,45 + 3520 + 8330 + 1910 + 280 + (3520 + 730)</t>
  </si>
  <si>
    <t>ЛС6</t>
  </si>
  <si>
    <t>(3 - 6) * 6990</t>
  </si>
  <si>
    <t>5940 (2S Door) + 860 (HH&gt;2100)</t>
  </si>
  <si>
    <t>7518 (PXX)</t>
  </si>
  <si>
    <t>4220 + 750 + 1030</t>
  </si>
  <si>
    <t>0 + 0 + 0 * 3</t>
  </si>
  <si>
    <t>330 + 330 * 2</t>
  </si>
  <si>
    <t>1290 + 1290 * 2</t>
  </si>
  <si>
    <t>0 + 0 + 0 * 2 + 0 * 2</t>
  </si>
  <si>
    <t>1700 + 1360 + 50 * 9,3 + 3520 + 8330 + 1910 + 280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</si>
</sst>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¥-804]* #,##0_ ;_ [$¥-804]* \-#,##0_ ;_ [$¥-804]* &quot;-&quot;_ ;_ @_ "/>
  </numFmts>
  <fonts count="41">
    <font>
      <sz val="12"/>
      <name val="宋体"/>
      <charset val="134"/>
    </font>
    <font>
      <sz val="9"/>
      <name val="宋体"/>
      <family val="3"/>
      <charset val="134"/>
    </font>
    <font>
      <sz val="18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宋体"/>
      <family val="3"/>
      <charset val="134"/>
    </font>
    <font>
      <sz val="9"/>
      <color indexed="10"/>
      <name val="Times New Roman"/>
      <family val="1"/>
    </font>
    <font>
      <b/>
      <sz val="10"/>
      <color indexed="10"/>
      <name val="Times New Roman"/>
      <family val="1"/>
    </font>
    <font>
      <sz val="10"/>
      <color indexed="12"/>
      <name val="Times New Roman"/>
      <family val="1"/>
    </font>
    <font>
      <b/>
      <sz val="10"/>
      <color indexed="12"/>
      <name val="Times New Roman"/>
      <family val="1"/>
    </font>
    <font>
      <sz val="12"/>
      <color indexed="12"/>
      <name val="Times New Roman"/>
      <family val="1"/>
    </font>
    <font>
      <sz val="9"/>
      <color indexed="12"/>
      <name val="Times New Roman"/>
      <family val="1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sz val="12"/>
      <color indexed="8"/>
      <name val="宋体"/>
      <family val="3"/>
      <charset val="134"/>
    </font>
    <font>
      <b/>
      <sz val="10"/>
      <color indexed="8"/>
      <name val="Times New Roman"/>
      <family val="1"/>
    </font>
    <font>
      <sz val="10"/>
      <name val="宋体"/>
      <family val="3"/>
      <charset val="134"/>
    </font>
    <font>
      <b/>
      <sz val="14"/>
      <name val="Times New Roman"/>
      <family val="1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Times New Roman"/>
      <family val="1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8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b/>
      <sz val="8"/>
      <name val="微软雅黑"/>
      <family val="2"/>
      <charset val="13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0000FF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2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5" fillId="0" borderId="0" xfId="0" applyFont="1"/>
    <xf numFmtId="0" fontId="1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5" fillId="0" borderId="1" xfId="0" applyFont="1" applyBorder="1"/>
    <xf numFmtId="0" fontId="8" fillId="0" borderId="0" xfId="0" applyFont="1"/>
    <xf numFmtId="0" fontId="1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22" fillId="0" borderId="0" xfId="0" applyFont="1"/>
    <xf numFmtId="0" fontId="14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15" fontId="5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left"/>
      <protection locked="0"/>
    </xf>
    <xf numFmtId="0" fontId="17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20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Continuous" vertic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20" fillId="0" borderId="0" xfId="0" applyFont="1"/>
    <xf numFmtId="0" fontId="8" fillId="0" borderId="0" xfId="0" applyFont="1" applyAlignment="1">
      <alignment horizontal="center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0" fontId="12" fillId="2" borderId="4" xfId="0" applyFont="1" applyFill="1" applyBorder="1" applyAlignment="1" applyProtection="1">
      <alignment horizontal="center" vertical="center"/>
      <protection locked="0"/>
    </xf>
    <xf numFmtId="0" fontId="12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14" fontId="5" fillId="0" borderId="9" xfId="0" applyNumberFormat="1" applyFont="1" applyBorder="1" applyAlignment="1" applyProtection="1">
      <alignment horizontal="center"/>
      <protection locked="0"/>
    </xf>
    <xf numFmtId="0" fontId="8" fillId="3" borderId="10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23" fillId="3" borderId="7" xfId="0" applyFont="1" applyFill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8" fillId="3" borderId="1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3" borderId="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 vertical="center"/>
    </xf>
    <xf numFmtId="0" fontId="12" fillId="2" borderId="38" xfId="0" applyFont="1" applyFill="1" applyBorder="1" applyAlignment="1" applyProtection="1">
      <alignment horizontal="center" vertical="center" shrinkToFit="1"/>
      <protection locked="0"/>
    </xf>
    <xf numFmtId="0" fontId="8" fillId="3" borderId="38" xfId="0" applyFont="1" applyFill="1" applyBorder="1" applyAlignment="1">
      <alignment horizontal="center"/>
    </xf>
    <xf numFmtId="0" fontId="25" fillId="0" borderId="1" xfId="0" applyFont="1" applyBorder="1" applyAlignment="1">
      <alignment vertical="center"/>
    </xf>
    <xf numFmtId="0" fontId="23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Protection="1">
      <protection locked="0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0" xfId="0" applyFont="1"/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30" fillId="0" borderId="0" xfId="0" applyFont="1"/>
    <xf numFmtId="0" fontId="26" fillId="0" borderId="1" xfId="0" applyFont="1" applyBorder="1" applyAlignment="1">
      <alignment vertical="center"/>
    </xf>
    <xf numFmtId="0" fontId="31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28" fillId="0" borderId="0" xfId="0" applyFont="1"/>
    <xf numFmtId="0" fontId="31" fillId="0" borderId="0" xfId="0" applyFont="1"/>
    <xf numFmtId="0" fontId="32" fillId="0" borderId="1" xfId="0" applyFont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vertical="center"/>
      <protection locked="0"/>
    </xf>
    <xf numFmtId="0" fontId="33" fillId="0" borderId="0" xfId="0" applyFont="1" applyAlignment="1" applyProtection="1">
      <alignment horizontal="centerContinuous" vertical="center"/>
      <protection locked="0"/>
    </xf>
    <xf numFmtId="0" fontId="34" fillId="0" borderId="0" xfId="0" applyFont="1" applyProtection="1">
      <protection locked="0"/>
    </xf>
    <xf numFmtId="164" fontId="35" fillId="4" borderId="0" xfId="0" applyNumberFormat="1" applyFont="1" applyFill="1" applyAlignment="1" applyProtection="1">
      <alignment horizontal="center" vertical="center"/>
      <protection locked="0"/>
    </xf>
    <xf numFmtId="0" fontId="35" fillId="4" borderId="0" xfId="0" applyFont="1" applyFill="1" applyAlignment="1" applyProtection="1">
      <alignment horizontal="left" vertical="center"/>
      <protection locked="0"/>
    </xf>
    <xf numFmtId="15" fontId="35" fillId="4" borderId="0" xfId="0" applyNumberFormat="1" applyFont="1" applyFill="1" applyAlignment="1" applyProtection="1">
      <alignment horizontal="left" vertical="center"/>
      <protection locked="0"/>
    </xf>
    <xf numFmtId="0" fontId="36" fillId="0" borderId="0" xfId="0" applyFont="1" applyProtection="1">
      <protection locked="0"/>
    </xf>
    <xf numFmtId="164" fontId="37" fillId="4" borderId="0" xfId="0" applyNumberFormat="1" applyFont="1" applyFill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 applyProtection="1">
      <alignment horizontal="center" vertical="center"/>
      <protection locked="0"/>
    </xf>
    <xf numFmtId="0" fontId="38" fillId="4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0" fontId="40" fillId="0" borderId="0" xfId="0" applyFont="1"/>
    <xf numFmtId="0" fontId="5" fillId="5" borderId="7" xfId="0" applyFont="1" applyFill="1" applyBorder="1" applyAlignment="1" applyProtection="1">
      <alignment horizontal="center" vertical="center"/>
      <protection locked="0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16" xfId="0" applyFont="1" applyBorder="1" applyAlignment="1" applyProtection="1">
      <alignment horizontal="center"/>
      <protection locked="0"/>
    </xf>
    <xf numFmtId="0" fontId="20" fillId="0" borderId="17" xfId="0" applyFont="1" applyBorder="1" applyAlignment="1" applyProtection="1">
      <alignment horizontal="center"/>
      <protection locked="0"/>
    </xf>
    <xf numFmtId="0" fontId="20" fillId="0" borderId="18" xfId="0" applyFont="1" applyBorder="1" applyAlignment="1" applyProtection="1">
      <alignment horizontal="center"/>
      <protection locked="0"/>
    </xf>
    <xf numFmtId="0" fontId="12" fillId="2" borderId="38" xfId="0" applyFont="1" applyFill="1" applyBorder="1" applyAlignment="1" applyProtection="1">
      <alignment horizontal="center" vertical="center"/>
      <protection locked="0"/>
    </xf>
    <xf numFmtId="0" fontId="20" fillId="0" borderId="38" xfId="0" applyFont="1" applyBorder="1" applyAlignment="1" applyProtection="1">
      <alignment horizontal="center"/>
      <protection locked="0"/>
    </xf>
    <xf numFmtId="0" fontId="20" fillId="0" borderId="39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1" xfId="0" quotePrefix="1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0" fontId="12" fillId="2" borderId="19" xfId="0" applyFont="1" applyFill="1" applyBorder="1" applyAlignment="1" applyProtection="1">
      <alignment horizontal="center"/>
      <protection locked="0"/>
    </xf>
    <xf numFmtId="0" fontId="12" fillId="2" borderId="1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12" fillId="2" borderId="24" xfId="0" applyFont="1" applyFill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>
      <alignment horizontal="center" vertical="center"/>
    </xf>
    <xf numFmtId="0" fontId="32" fillId="0" borderId="14" xfId="0" applyFont="1" applyBorder="1" applyAlignment="1" applyProtection="1">
      <alignment horizontal="left" vertical="center"/>
      <protection locked="0"/>
    </xf>
    <xf numFmtId="0" fontId="32" fillId="0" borderId="33" xfId="0" applyFont="1" applyBorder="1" applyAlignment="1" applyProtection="1">
      <alignment horizontal="left" vertical="center"/>
      <protection locked="0"/>
    </xf>
    <xf numFmtId="0" fontId="32" fillId="0" borderId="29" xfId="0" applyFont="1" applyBorder="1" applyAlignment="1" applyProtection="1">
      <alignment horizontal="left" vertical="center"/>
      <protection locked="0"/>
    </xf>
    <xf numFmtId="0" fontId="32" fillId="0" borderId="30" xfId="0" applyFont="1" applyBorder="1" applyAlignment="1" applyProtection="1">
      <alignment horizontal="left" vertical="center"/>
      <protection locked="0"/>
    </xf>
    <xf numFmtId="0" fontId="32" fillId="0" borderId="34" xfId="0" applyFont="1" applyBorder="1" applyAlignment="1" applyProtection="1">
      <alignment horizontal="left" vertical="center"/>
      <protection locked="0"/>
    </xf>
    <xf numFmtId="0" fontId="32" fillId="0" borderId="35" xfId="0" applyFont="1" applyBorder="1" applyAlignment="1" applyProtection="1">
      <alignment horizontal="left" vertical="center"/>
      <protection locked="0"/>
    </xf>
    <xf numFmtId="0" fontId="12" fillId="2" borderId="3" xfId="0" applyFont="1" applyFill="1" applyBorder="1" applyAlignment="1" applyProtection="1">
      <alignment horizontal="center"/>
      <protection locked="0"/>
    </xf>
    <xf numFmtId="0" fontId="12" fillId="2" borderId="36" xfId="0" applyFont="1" applyFill="1" applyBorder="1" applyAlignment="1" applyProtection="1">
      <alignment horizontal="center"/>
      <protection locked="0"/>
    </xf>
    <xf numFmtId="0" fontId="12" fillId="2" borderId="37" xfId="0" applyFont="1" applyFill="1" applyBorder="1" applyAlignment="1" applyProtection="1">
      <alignment horizontal="center"/>
      <protection locked="0"/>
    </xf>
    <xf numFmtId="0" fontId="12" fillId="2" borderId="24" xfId="0" applyFont="1" applyFill="1" applyBorder="1" applyAlignment="1" applyProtection="1">
      <alignment horizontal="center"/>
      <protection locked="0"/>
    </xf>
    <xf numFmtId="0" fontId="8" fillId="3" borderId="25" xfId="0" applyFont="1" applyFill="1" applyBorder="1" applyAlignment="1">
      <alignment horizontal="center" vertical="center" wrapText="1"/>
    </xf>
    <xf numFmtId="0" fontId="20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2" fillId="2" borderId="16" xfId="0" applyFont="1" applyFill="1" applyBorder="1" applyAlignment="1" applyProtection="1">
      <alignment horizontal="center"/>
      <protection locked="0"/>
    </xf>
    <xf numFmtId="0" fontId="12" fillId="2" borderId="17" xfId="0" applyFont="1" applyFill="1" applyBorder="1" applyAlignment="1" applyProtection="1">
      <alignment horizontal="center"/>
      <protection locked="0"/>
    </xf>
    <xf numFmtId="0" fontId="12" fillId="2" borderId="28" xfId="0" applyFont="1" applyFill="1" applyBorder="1" applyAlignment="1" applyProtection="1">
      <alignment horizontal="center"/>
      <protection locked="0"/>
    </xf>
    <xf numFmtId="0" fontId="12" fillId="2" borderId="18" xfId="0" applyFont="1" applyFill="1" applyBorder="1" applyAlignment="1" applyProtection="1">
      <alignment horizontal="center"/>
      <protection locked="0"/>
    </xf>
  </cellXfs>
  <cellStyles count="1">
    <cellStyle name="Обычный" xfId="0" builtinId="0"/>
  </cellStyles>
  <dxfs count="207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strike/>
        <color rgb="FFFF000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J202"/>
  <sheetViews>
    <sheetView view="pageBreakPreview" zoomScale="85" zoomScaleNormal="100" zoomScaleSheetLayoutView="85" workbookViewId="0">
      <selection activeCell="H15" sqref="H15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418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323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6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324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325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1</v>
      </c>
      <c r="D7" s="48" t="s">
        <v>45</v>
      </c>
      <c r="E7" s="136" t="s">
        <v>571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326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107" t="s">
        <v>169</v>
      </c>
      <c r="D8" s="48" t="s">
        <v>1</v>
      </c>
      <c r="E8" s="107" t="s">
        <v>91</v>
      </c>
      <c r="F8" s="69" t="s">
        <v>46</v>
      </c>
      <c r="G8" s="140" t="s">
        <v>573</v>
      </c>
      <c r="H8" s="141"/>
      <c r="I8" s="102">
        <v>223020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7</v>
      </c>
      <c r="D9" s="48" t="s">
        <v>48</v>
      </c>
      <c r="E9" s="55">
        <v>7</v>
      </c>
      <c r="F9" s="57" t="s">
        <v>49</v>
      </c>
      <c r="G9" s="136">
        <v>7</v>
      </c>
      <c r="H9" s="137"/>
      <c r="I9" s="102">
        <v>-20970</v>
      </c>
      <c r="J9" s="103" t="s">
        <v>590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65</v>
      </c>
      <c r="F10" s="142" t="s">
        <v>574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523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327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328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2850</v>
      </c>
      <c r="E12" s="48" t="s">
        <v>72</v>
      </c>
      <c r="F12" s="55">
        <v>1900</v>
      </c>
      <c r="G12" s="48" t="s">
        <v>69</v>
      </c>
      <c r="H12" s="41" t="s">
        <v>575</v>
      </c>
      <c r="I12" s="102"/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475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329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24450</v>
      </c>
      <c r="E13" s="48" t="s">
        <v>73</v>
      </c>
      <c r="F13" s="108">
        <v>4800</v>
      </c>
      <c r="G13" s="48" t="s">
        <v>78</v>
      </c>
      <c r="H13" s="109">
        <v>1500</v>
      </c>
      <c r="I13" s="102">
        <v>3932.9999999999973</v>
      </c>
      <c r="J13" s="103" t="s">
        <v>591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330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108">
        <v>1200</v>
      </c>
      <c r="E14" s="48" t="s">
        <v>70</v>
      </c>
      <c r="F14" s="56" t="s">
        <v>576</v>
      </c>
      <c r="G14" s="48" t="s">
        <v>79</v>
      </c>
      <c r="H14" s="58">
        <v>2400</v>
      </c>
      <c r="I14" s="102">
        <v>9703.5</v>
      </c>
      <c r="J14" s="103" t="s">
        <v>609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331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2100</v>
      </c>
      <c r="E15" s="49" t="s">
        <v>71</v>
      </c>
      <c r="F15" s="59">
        <v>1400</v>
      </c>
      <c r="G15" s="49" t="s">
        <v>200</v>
      </c>
      <c r="H15" s="60">
        <v>2500</v>
      </c>
      <c r="I15" s="102">
        <v>12780.800000000001</v>
      </c>
      <c r="J15" s="103" t="s">
        <v>610</v>
      </c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332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333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6730</v>
      </c>
      <c r="J17" s="103" t="s">
        <v>592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334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586</v>
      </c>
      <c r="D18" s="125"/>
      <c r="E18" s="48" t="s">
        <v>4</v>
      </c>
      <c r="F18" s="136" t="s">
        <v>586</v>
      </c>
      <c r="G18" s="125"/>
      <c r="H18" s="126"/>
      <c r="I18" s="102">
        <v>14200</v>
      </c>
      <c r="J18" s="103" t="s">
        <v>593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335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2290</v>
      </c>
      <c r="J19" s="103" t="s">
        <v>594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585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5910</v>
      </c>
      <c r="J20" s="103" t="s">
        <v>595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337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337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479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586</v>
      </c>
      <c r="F23" s="56" t="s">
        <v>604</v>
      </c>
      <c r="G23" s="47" t="s">
        <v>83</v>
      </c>
      <c r="H23" s="58" t="s">
        <v>586</v>
      </c>
      <c r="I23" s="102">
        <v>4410</v>
      </c>
      <c r="J23" s="103" t="s">
        <v>611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337</v>
      </c>
      <c r="AB23"/>
      <c r="AC23"/>
      <c r="AD23" s="1"/>
      <c r="AE23" s="1"/>
      <c r="AF23" s="82"/>
      <c r="AG23" s="82"/>
      <c r="AH23" s="82"/>
      <c r="AI23" s="82"/>
      <c r="AJ23" s="93" t="s">
        <v>480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1400</v>
      </c>
      <c r="J24" s="103" t="s">
        <v>612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337</v>
      </c>
      <c r="AB24"/>
      <c r="AC24"/>
      <c r="AD24" s="1"/>
      <c r="AE24" s="1"/>
      <c r="AF24" s="82"/>
      <c r="AG24" s="82"/>
      <c r="AH24" s="82"/>
      <c r="AI24" s="82"/>
      <c r="AJ24" s="93" t="s">
        <v>336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586</v>
      </c>
      <c r="D25" s="125"/>
      <c r="E25" s="125"/>
      <c r="F25" s="136" t="s">
        <v>586</v>
      </c>
      <c r="G25" s="125"/>
      <c r="H25" s="126"/>
      <c r="I25" s="102">
        <v>20020</v>
      </c>
      <c r="J25" s="103" t="s">
        <v>613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337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338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606</v>
      </c>
      <c r="D26" s="64" t="s">
        <v>129</v>
      </c>
      <c r="E26" s="42" t="s">
        <v>115</v>
      </c>
      <c r="F26" s="68" t="s">
        <v>606</v>
      </c>
      <c r="G26" s="64" t="s">
        <v>129</v>
      </c>
      <c r="H26" s="41" t="s">
        <v>115</v>
      </c>
      <c r="I26" s="102">
        <v>1120</v>
      </c>
      <c r="J26" s="103" t="s">
        <v>614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337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339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615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337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615</v>
      </c>
      <c r="K28" s="23"/>
      <c r="L28" s="43"/>
      <c r="M28" s="90" t="s">
        <v>418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450</v>
      </c>
      <c r="C29" s="174"/>
      <c r="D29" s="175"/>
      <c r="E29" s="176"/>
      <c r="F29" s="174"/>
      <c r="G29" s="175"/>
      <c r="H29" s="177"/>
      <c r="I29" s="102">
        <v>0</v>
      </c>
      <c r="J29" s="103" t="s">
        <v>615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340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617</v>
      </c>
      <c r="C30" s="164"/>
      <c r="D30" s="164"/>
      <c r="E30" s="164"/>
      <c r="F30" s="164"/>
      <c r="G30" s="164"/>
      <c r="H30" s="165"/>
      <c r="I30" s="102">
        <v>28582.5</v>
      </c>
      <c r="J30" s="103" t="s">
        <v>618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13860</v>
      </c>
      <c r="J31" s="103" t="s">
        <v>616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 t="s">
        <v>588</v>
      </c>
      <c r="C32" s="162"/>
      <c r="D32" s="162"/>
      <c r="E32" s="162"/>
      <c r="F32" s="162"/>
      <c r="G32" s="162"/>
      <c r="H32" s="163"/>
      <c r="I32" s="102">
        <v>1050</v>
      </c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 t="s">
        <v>589</v>
      </c>
      <c r="C33" s="162"/>
      <c r="D33" s="162"/>
      <c r="E33" s="162"/>
      <c r="F33" s="162"/>
      <c r="G33" s="162"/>
      <c r="H33" s="163"/>
      <c r="I33" s="102">
        <v>1000</v>
      </c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 t="s">
        <v>607</v>
      </c>
      <c r="C34" s="162"/>
      <c r="D34" s="162"/>
      <c r="E34" s="162"/>
      <c r="F34" s="162"/>
      <c r="G34" s="162"/>
      <c r="H34" s="163"/>
      <c r="I34" s="102">
        <v>300</v>
      </c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525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329339.8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ref="BC37:BC39" si="5">AJ37</f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5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5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346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6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346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6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346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7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6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7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6"/>
        <v>1</v>
      </c>
      <c r="AG46" s="82">
        <v>5</v>
      </c>
      <c r="AH46" s="82"/>
      <c r="AI46" s="86" t="s">
        <v>350</v>
      </c>
      <c r="AJ46" s="82"/>
      <c r="AK46" s="82" t="s">
        <v>545</v>
      </c>
      <c r="AL46" s="82" t="s">
        <v>415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6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6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8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6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8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6"/>
        <v>1</v>
      </c>
      <c r="AG50" s="82">
        <v>9</v>
      </c>
      <c r="AH50" s="82"/>
      <c r="AI50" s="86" t="s">
        <v>353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6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6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9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6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9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6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6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6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10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6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10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198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6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6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6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1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6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1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6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6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6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2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6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2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6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6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6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3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6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3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6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6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6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4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6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4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6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6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6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5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6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5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6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6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6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6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6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6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539</v>
      </c>
      <c r="X82" s="39" t="s">
        <v>540</v>
      </c>
      <c r="Y82" s="39" t="s">
        <v>541</v>
      </c>
      <c r="Z82" s="1" t="s">
        <v>17</v>
      </c>
      <c r="AF82" s="2">
        <f t="shared" si="6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6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6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7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6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7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6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6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6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8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6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8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6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6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6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9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6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9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6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6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6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20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6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20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6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6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6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1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6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1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6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6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6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2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6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2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6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3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283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3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4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3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4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3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3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284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3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5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3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3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3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285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3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6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3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6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3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3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286</v>
      </c>
      <c r="R120" s="39"/>
      <c r="S120" s="39"/>
      <c r="T120" s="1"/>
      <c r="AF120" s="2">
        <f t="shared" si="23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7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3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7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3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3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3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8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3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8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3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3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479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3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9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3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9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539</v>
      </c>
      <c r="W130" s="39" t="s">
        <v>540</v>
      </c>
      <c r="X130" s="39" t="s">
        <v>541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3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3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480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3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30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3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30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3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3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3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1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3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1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3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3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2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3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2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3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3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205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3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3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3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3"/>
        <v>2</v>
      </c>
      <c r="Q146" s="12" t="s">
        <v>10</v>
      </c>
      <c r="R146" s="1" t="s">
        <v>207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3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3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3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4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3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4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3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3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3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5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3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5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3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3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3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6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3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6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3"/>
        <v>2</v>
      </c>
      <c r="AG158" s="82">
        <v>117</v>
      </c>
      <c r="AH158" s="82"/>
      <c r="AI158" s="86" t="s">
        <v>454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3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3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7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3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7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3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3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3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8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3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8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3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3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525</v>
      </c>
      <c r="AF168" s="2">
        <f t="shared" si="23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533</v>
      </c>
      <c r="AP168" s="82" t="s">
        <v>534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9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3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9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3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191" si="40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40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1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40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1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40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533</v>
      </c>
      <c r="AP174" s="82" t="s">
        <v>534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40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40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2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40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2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40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40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40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3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40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3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40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40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40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4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40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4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40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40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40"/>
        <v>5</v>
      </c>
      <c r="AG188" s="82">
        <v>147</v>
      </c>
      <c r="AH188" s="82"/>
      <c r="AI188" s="86" t="s">
        <v>350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40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40"/>
        <v>1</v>
      </c>
      <c r="AG190" s="82">
        <v>149</v>
      </c>
      <c r="AI190" s="86" t="s">
        <v>465</v>
      </c>
      <c r="AK190" s="82" t="s">
        <v>459</v>
      </c>
      <c r="AL190" s="82" t="s">
        <v>17</v>
      </c>
      <c r="AM190" s="82"/>
    </row>
    <row r="191" spans="16:71">
      <c r="AF191" s="2">
        <f t="shared" si="40"/>
        <v>1</v>
      </c>
      <c r="AG191" s="82">
        <v>150</v>
      </c>
      <c r="AI191" s="86" t="s">
        <v>466</v>
      </c>
      <c r="AL191" s="82" t="s">
        <v>17</v>
      </c>
    </row>
    <row r="192" spans="16:71">
      <c r="AF192" s="2" t="e">
        <f t="shared" ref="AF192:AF202" si="45">MATCH("\\",AK192:BN192,0)-1</f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45"/>
        <v>5</v>
      </c>
      <c r="AG193" s="82">
        <v>152</v>
      </c>
      <c r="AI193" s="86" t="s">
        <v>525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45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45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45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45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45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45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45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45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45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B36:H36"/>
    <mergeCell ref="B31:H31"/>
    <mergeCell ref="B30:H30"/>
    <mergeCell ref="A22:A29"/>
    <mergeCell ref="B33:H33"/>
    <mergeCell ref="F25:H25"/>
    <mergeCell ref="B32:H32"/>
    <mergeCell ref="C28:E28"/>
    <mergeCell ref="F28:H28"/>
    <mergeCell ref="C25:E25"/>
    <mergeCell ref="A31:A36"/>
    <mergeCell ref="C29:E29"/>
    <mergeCell ref="B34:H34"/>
    <mergeCell ref="B35:H35"/>
    <mergeCell ref="F29:H29"/>
    <mergeCell ref="C24:E24"/>
    <mergeCell ref="F24:H24"/>
    <mergeCell ref="C11:D11"/>
    <mergeCell ref="C17:D17"/>
    <mergeCell ref="F16:H16"/>
    <mergeCell ref="C21:D21"/>
    <mergeCell ref="C16:D16"/>
    <mergeCell ref="C22:E22"/>
    <mergeCell ref="G19:H19"/>
    <mergeCell ref="F22:H22"/>
    <mergeCell ref="C20:D20"/>
    <mergeCell ref="F18:H18"/>
    <mergeCell ref="C18:D18"/>
    <mergeCell ref="A16:A21"/>
    <mergeCell ref="A5:A15"/>
    <mergeCell ref="B6:D6"/>
    <mergeCell ref="E6:H6"/>
    <mergeCell ref="A1:H1"/>
    <mergeCell ref="B4:C4"/>
    <mergeCell ref="E4:H4"/>
    <mergeCell ref="E5:H5"/>
    <mergeCell ref="G9:H9"/>
    <mergeCell ref="F11:H11"/>
    <mergeCell ref="E7:F7"/>
    <mergeCell ref="G8:H8"/>
    <mergeCell ref="C19:D19"/>
    <mergeCell ref="F10:H10"/>
    <mergeCell ref="B3:C3"/>
    <mergeCell ref="E3:F3"/>
  </mergeCells>
  <phoneticPr fontId="1" type="noConversion"/>
  <conditionalFormatting sqref="B21:D21">
    <cfRule type="expression" dxfId="206" priority="19">
      <formula>$O$23=0</formula>
    </cfRule>
  </conditionalFormatting>
  <conditionalFormatting sqref="C18:D18">
    <cfRule type="expression" dxfId="205" priority="44" stopIfTrue="1">
      <formula>$C$16&lt;&gt;"Customized"</formula>
    </cfRule>
  </conditionalFormatting>
  <conditionalFormatting sqref="C28:E28">
    <cfRule type="expression" dxfId="204" priority="4">
      <formula>FIND("ZPI",C26,1)=1</formula>
    </cfRule>
  </conditionalFormatting>
  <conditionalFormatting sqref="D26">
    <cfRule type="expression" dxfId="203" priority="11" stopIfTrue="1">
      <formula>INDIRECT(ADDRESS($N$17+$N$12+13,$N$13-2))&lt;=1</formula>
    </cfRule>
  </conditionalFormatting>
  <conditionalFormatting sqref="D27">
    <cfRule type="expression" dxfId="202" priority="9">
      <formula>$O$24=0</formula>
    </cfRule>
    <cfRule type="expression" dxfId="201" priority="10" stopIfTrue="1">
      <formula>INDIRECT(ADDRESS($N$17+$N$12+17,$N$13-2))&lt;=1</formula>
    </cfRule>
  </conditionalFormatting>
  <conditionalFormatting sqref="E26:E27">
    <cfRule type="expression" dxfId="200" priority="6" stopIfTrue="1">
      <formula>INDIRECT(ADDRESS($N$17+$N$12+14,$N$13-2))&lt;=1</formula>
    </cfRule>
  </conditionalFormatting>
  <conditionalFormatting sqref="E27">
    <cfRule type="expression" dxfId="199" priority="2">
      <formula>FIND("E08",C27,1)&gt;0</formula>
    </cfRule>
  </conditionalFormatting>
  <conditionalFormatting sqref="E20:F20">
    <cfRule type="expression" dxfId="198" priority="21" stopIfTrue="1">
      <formula>INDIRECT(ADDRESS($N$17+$N$12+4,$N$13-2))&lt;=1</formula>
    </cfRule>
  </conditionalFormatting>
  <conditionalFormatting sqref="E21:F21">
    <cfRule type="expression" dxfId="197" priority="20" stopIfTrue="1">
      <formula>INDIRECT(ADDRESS($N$17+$N$12+6,$N$13-2))&lt;=1</formula>
    </cfRule>
  </conditionalFormatting>
  <conditionalFormatting sqref="E21:H21">
    <cfRule type="expression" dxfId="196" priority="18">
      <formula>$O$24=0</formula>
    </cfRule>
  </conditionalFormatting>
  <conditionalFormatting sqref="F28:H28">
    <cfRule type="expression" dxfId="195" priority="3">
      <formula>FIND("ZPI",F26,1)=1</formula>
    </cfRule>
  </conditionalFormatting>
  <conditionalFormatting sqref="G26">
    <cfRule type="expression" dxfId="194" priority="14" stopIfTrue="1">
      <formula>INDIRECT(ADDRESS($N$17+$N$12+13,$N$13-2))&lt;=1</formula>
    </cfRule>
  </conditionalFormatting>
  <conditionalFormatting sqref="G27">
    <cfRule type="expression" dxfId="193" priority="13" stopIfTrue="1">
      <formula>INDIRECT(ADDRESS($N$17+$N$12+17,$N$13-2))&lt;=1</formula>
    </cfRule>
    <cfRule type="expression" dxfId="192" priority="12">
      <formula>$O$24=0</formula>
    </cfRule>
  </conditionalFormatting>
  <conditionalFormatting sqref="G19:H19">
    <cfRule type="expression" dxfId="191" priority="28" stopIfTrue="1">
      <formula>F19=""</formula>
    </cfRule>
  </conditionalFormatting>
  <conditionalFormatting sqref="G20:H20">
    <cfRule type="expression" dxfId="190" priority="23" stopIfTrue="1">
      <formula>INDIRECT(ADDRESS($N$17+$N$12+13,$N$13-2))&lt;=1</formula>
    </cfRule>
  </conditionalFormatting>
  <conditionalFormatting sqref="G21:H21">
    <cfRule type="expression" dxfId="189" priority="22" stopIfTrue="1">
      <formula>INDIRECT(ADDRESS($N$17+$N$12+17,$N$13-2))&lt;=1</formula>
    </cfRule>
  </conditionalFormatting>
  <conditionalFormatting sqref="H12">
    <cfRule type="cellIs" dxfId="188" priority="34" stopIfTrue="1" operator="equal">
      <formula>"2D2G"</formula>
    </cfRule>
    <cfRule type="cellIs" dxfId="187" priority="35" stopIfTrue="1" operator="equal">
      <formula>"1D2G"</formula>
    </cfRule>
  </conditionalFormatting>
  <conditionalFormatting sqref="H17">
    <cfRule type="expression" dxfId="186" priority="8" stopIfTrue="1">
      <formula>INDIRECT(ADDRESS($N$17+$N$12+13,$N$13-2))&lt;=1</formula>
    </cfRule>
  </conditionalFormatting>
  <conditionalFormatting sqref="H26:H27">
    <cfRule type="expression" dxfId="185" priority="5" stopIfTrue="1">
      <formula>INDIRECT(ADDRESS($N$17+$N$12+14,$N$13-2))&lt;=1</formula>
    </cfRule>
  </conditionalFormatting>
  <conditionalFormatting sqref="H27">
    <cfRule type="expression" dxfId="184" priority="1">
      <formula>FIND("E08",F27,1)&gt;0</formula>
    </cfRule>
  </conditionalFormatting>
  <dataValidations count="31">
    <dataValidation type="list" allowBlank="1" showInputMessage="1" showErrorMessage="1" sqref="C24:H24" xr:uid="{00000000-0002-0000-0000-000000000000}">
      <formula1>"Steel sill bracket by seller,Concrete sill bracket by local"</formula1>
    </dataValidation>
    <dataValidation type="list" allowBlank="1" showInputMessage="1" showErrorMessage="1" sqref="C5" xr:uid="{00000000-0002-0000-0000-000001000000}">
      <formula1>$Q$9:$Q$14</formula1>
    </dataValidation>
    <dataValidation type="list" allowBlank="1" showInputMessage="1" showErrorMessage="1" sqref="H12" xr:uid="{00000000-0002-0000-0000-000002000000}">
      <formula1>"1D1G,1D2G,2D2G"</formula1>
    </dataValidation>
    <dataValidation type="list" allowBlank="1" showInputMessage="1" showErrorMessage="1" sqref="F14" xr:uid="{00000000-0002-0000-0000-000003000000}">
      <formula1>"Central opening,Side opening"</formula1>
    </dataValidation>
    <dataValidation type="list" allowBlank="1" showInputMessage="1" showErrorMessage="1" sqref="G19:H19" xr:uid="{00000000-0002-0000-0000-000004000000}">
      <formula1>"rear wall,two side walls,three side walls"</formula1>
    </dataValidation>
    <dataValidation type="list" allowBlank="1" showInputMessage="1" showErrorMessage="1" sqref="E5:H5" xr:uid="{00000000-0002-0000-0000-000005000000}">
      <formula1>OFFSET($R$8,$N$9,,,$N$10)</formula1>
    </dataValidation>
    <dataValidation type="list" errorStyle="warning" allowBlank="1" showInputMessage="1" showErrorMessage="1" errorTitle="wrong" error="wrong" sqref="C8" xr:uid="{00000000-0002-0000-0000-000006000000}">
      <formula1>OFFSET($R$39,$N$19,,,$O$19)</formula1>
    </dataValidation>
    <dataValidation type="list" allowBlank="1" showInputMessage="1" showErrorMessage="1" sqref="E8" xr:uid="{00000000-0002-0000-0000-000007000000}">
      <formula1>OFFSET($R$39,$N$18,,,$O$18)</formula1>
    </dataValidation>
    <dataValidation type="list" allowBlank="1" showInputMessage="1" showErrorMessage="1" sqref="H17" xr:uid="{00000000-0002-0000-0000-000008000000}">
      <formula1>OFFSET($R$20,$Q$19,,,$R$19)</formula1>
    </dataValidation>
    <dataValidation type="list" allowBlank="1" showInputMessage="1" showErrorMessage="1" sqref="C23 F23" xr:uid="{00000000-0002-0000-0000-000009000000}">
      <formula1>$R$31:$U$31</formula1>
    </dataValidation>
    <dataValidation type="list" allowBlank="1" showInputMessage="1" showErrorMessage="1" sqref="C19:D19" xr:uid="{00000000-0002-0000-0000-00000A000000}">
      <formula1>$R$32:$T$32</formula1>
    </dataValidation>
    <dataValidation type="list" allowBlank="1" showInputMessage="1" showErrorMessage="1" sqref="E3:F3" xr:uid="{00000000-0002-0000-0000-00000B000000}">
      <formula1>$R$30:$X$30</formula1>
    </dataValidation>
    <dataValidation type="list" allowBlank="1" showInputMessage="1" showErrorMessage="1" sqref="F26" xr:uid="{00000000-0002-0000-0000-00000C000000}">
      <formula1>OFFSET(AK41,$N$25,,,$O$25)</formula1>
    </dataValidation>
    <dataValidation type="list" allowBlank="1" showInputMessage="1" showErrorMessage="1" sqref="C16:D16" xr:uid="{00000000-0002-0000-0000-00000D000000}">
      <formula1>OFFSET($AK$41,$N$30,,,$O$30)</formula1>
    </dataValidation>
    <dataValidation type="list" allowBlank="1" showInputMessage="1" showErrorMessage="1" sqref="F21" xr:uid="{00000000-0002-0000-0000-00000E000000}">
      <formula1>OFFSET($AK$41,$N$33,,,$O$33)</formula1>
    </dataValidation>
    <dataValidation type="list" allowBlank="1" showInputMessage="1" showErrorMessage="1" sqref="F17" xr:uid="{00000000-0002-0000-0000-00000F000000}">
      <formula1>OFFSET($AK$41,$N$37,,,$O$37)</formula1>
    </dataValidation>
    <dataValidation type="list" allowBlank="1" showInputMessage="1" showErrorMessage="1" sqref="C17:D17" xr:uid="{00000000-0002-0000-0000-000010000000}">
      <formula1>OFFSET($AK$41,$N$31,,,$O$31)</formula1>
    </dataValidation>
    <dataValidation type="list" allowBlank="1" showInputMessage="1" showErrorMessage="1" sqref="C21:D21" xr:uid="{00000000-0002-0000-0000-000011000000}">
      <formula1>OFFSET($AK$41,$N$32,,,$O$32)</formula1>
    </dataValidation>
    <dataValidation type="list" allowBlank="1" showInputMessage="1" showErrorMessage="1" sqref="H20" xr:uid="{00000000-0002-0000-0000-000012000000}">
      <formula1>OFFSET($AK$41,$N$28,,,$O$28)</formula1>
    </dataValidation>
    <dataValidation type="list" allowBlank="1" showInputMessage="1" showErrorMessage="1" sqref="F27 C27" xr:uid="{00000000-0002-0000-0000-000013000000}">
      <formula1>OFFSET($AK$41,$N$35,,,$O$35)</formula1>
    </dataValidation>
    <dataValidation type="list" allowBlank="1" showInputMessage="1" showErrorMessage="1" sqref="E26 H26" xr:uid="{00000000-0002-0000-0000-000014000000}">
      <formula1>OFFSET($AK$41,$N$29,,,$O$29)</formula1>
    </dataValidation>
    <dataValidation type="list" allowBlank="1" showInputMessage="1" showErrorMessage="1" sqref="F19" xr:uid="{00000000-0002-0000-0000-000015000000}">
      <formula1>OFFSET($AK$41,$N$38,,,$O$38)</formula1>
    </dataValidation>
    <dataValidation type="list" allowBlank="1" showInputMessage="1" showErrorMessage="1" sqref="H27 E27" xr:uid="{00000000-0002-0000-0000-000016000000}">
      <formula1>OFFSET($AK$41,$N$36,,,$O$36)</formula1>
    </dataValidation>
    <dataValidation type="list" allowBlank="1" showInputMessage="1" showErrorMessage="1" sqref="H21" xr:uid="{00000000-0002-0000-0000-000017000000}">
      <formula1>OFFSET($AK$41,$N$34,,,$O$34)</formula1>
    </dataValidation>
    <dataValidation type="list" allowBlank="1" showInputMessage="1" showErrorMessage="1" sqref="F20" xr:uid="{00000000-0002-0000-0000-000018000000}">
      <formula1>OFFSET($AK$41,$N$24,,,$O$24)</formula1>
    </dataValidation>
    <dataValidation type="list" allowBlank="1" showInputMessage="1" showErrorMessage="1" sqref="E6:H6" xr:uid="{00000000-0002-0000-0000-000019000000}">
      <formula1>OFFSET($AK$41,$N$21,,,$O$21)</formula1>
    </dataValidation>
    <dataValidation type="list" allowBlank="1" showInputMessage="1" showErrorMessage="1" sqref="H7" xr:uid="{00000000-0002-0000-0000-00001A000000}">
      <formula1>OFFSET($AK$41,$N$22,,,$O$22)</formula1>
    </dataValidation>
    <dataValidation type="list" errorStyle="information" allowBlank="1" showInputMessage="1" showErrorMessage="1" sqref="C20:D20" xr:uid="{00000000-0002-0000-0000-00001B000000}">
      <formula1>OFFSET($AK$41,$N$23,,,$O$23)</formula1>
    </dataValidation>
    <dataValidation type="list" allowBlank="1" showInputMessage="1" showErrorMessage="1" sqref="C28:H28" xr:uid="{00000000-0002-0000-0000-00001C000000}">
      <formula1>OFFSET($AK$41,$N$26,,,$O$26)</formula1>
    </dataValidation>
    <dataValidation type="list" allowBlank="1" showInputMessage="1" showErrorMessage="1" sqref="C29:H29" xr:uid="{00000000-0002-0000-0000-00001D000000}">
      <formula1>OFFSET($AK$41,$N$27,,,$O$27)</formula1>
    </dataValidation>
    <dataValidation type="list" allowBlank="1" showInputMessage="1" showErrorMessage="1" sqref="C26" xr:uid="{00000000-0002-0000-0000-00001E000000}">
      <formula1>OFFSET($AK$41,$N$25,,,$O$25)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02"/>
  <sheetViews>
    <sheetView view="pageBreakPreview" zoomScale="85" zoomScaleNormal="100" zoomScaleSheetLayoutView="85" workbookViewId="0">
      <selection activeCell="H13" sqref="H13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290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85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9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126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159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1</v>
      </c>
      <c r="D7" s="48" t="s">
        <v>45</v>
      </c>
      <c r="E7" s="136" t="s">
        <v>619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177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107" t="s">
        <v>169</v>
      </c>
      <c r="D8" s="48" t="s">
        <v>1</v>
      </c>
      <c r="E8" s="107" t="s">
        <v>91</v>
      </c>
      <c r="F8" s="69" t="s">
        <v>46</v>
      </c>
      <c r="G8" s="140" t="s">
        <v>573</v>
      </c>
      <c r="H8" s="141"/>
      <c r="I8" s="102">
        <v>223020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6</v>
      </c>
      <c r="D9" s="48" t="s">
        <v>48</v>
      </c>
      <c r="E9" s="55">
        <v>6</v>
      </c>
      <c r="F9" s="57" t="s">
        <v>49</v>
      </c>
      <c r="G9" s="136">
        <v>6</v>
      </c>
      <c r="H9" s="137"/>
      <c r="I9" s="102">
        <v>-27960</v>
      </c>
      <c r="J9" s="103" t="s">
        <v>621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54</v>
      </c>
      <c r="F10" s="142" t="s">
        <v>620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522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100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101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2750</v>
      </c>
      <c r="E12" s="48" t="s">
        <v>72</v>
      </c>
      <c r="F12" s="55">
        <v>1900</v>
      </c>
      <c r="G12" s="48" t="s">
        <v>69</v>
      </c>
      <c r="H12" s="41" t="s">
        <v>575</v>
      </c>
      <c r="I12" s="102"/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472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226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19950</v>
      </c>
      <c r="E13" s="48" t="s">
        <v>73</v>
      </c>
      <c r="F13" s="108">
        <v>4800</v>
      </c>
      <c r="G13" s="48" t="s">
        <v>78</v>
      </c>
      <c r="H13" s="109">
        <v>1500</v>
      </c>
      <c r="I13" s="102">
        <v>2690.9999999999991</v>
      </c>
      <c r="J13" s="103" t="s">
        <v>622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227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108">
        <v>1200</v>
      </c>
      <c r="E14" s="48" t="s">
        <v>70</v>
      </c>
      <c r="F14" s="56" t="s">
        <v>576</v>
      </c>
      <c r="G14" s="48" t="s">
        <v>79</v>
      </c>
      <c r="H14" s="58">
        <v>2400</v>
      </c>
      <c r="I14" s="102">
        <v>8883</v>
      </c>
      <c r="J14" s="103" t="s">
        <v>623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228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2000</v>
      </c>
      <c r="E15" s="49" t="s">
        <v>71</v>
      </c>
      <c r="F15" s="59">
        <v>1400</v>
      </c>
      <c r="G15" s="49" t="s">
        <v>200</v>
      </c>
      <c r="H15" s="60">
        <v>2500</v>
      </c>
      <c r="I15" s="102">
        <v>12780.800000000001</v>
      </c>
      <c r="J15" s="103" t="s">
        <v>610</v>
      </c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229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230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6730</v>
      </c>
      <c r="J17" s="103" t="s">
        <v>592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231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586</v>
      </c>
      <c r="D18" s="125"/>
      <c r="E18" s="48" t="s">
        <v>4</v>
      </c>
      <c r="F18" s="136" t="s">
        <v>586</v>
      </c>
      <c r="G18" s="125"/>
      <c r="H18" s="126"/>
      <c r="I18" s="102">
        <v>14200</v>
      </c>
      <c r="J18" s="103" t="s">
        <v>593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232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2290</v>
      </c>
      <c r="J19" s="103" t="s">
        <v>594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585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5910</v>
      </c>
      <c r="J20" s="103" t="s">
        <v>624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17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17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476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586</v>
      </c>
      <c r="F23" s="56" t="s">
        <v>604</v>
      </c>
      <c r="G23" s="47" t="s">
        <v>83</v>
      </c>
      <c r="H23" s="58" t="s">
        <v>586</v>
      </c>
      <c r="I23" s="102">
        <v>3780</v>
      </c>
      <c r="J23" s="103" t="s">
        <v>625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17</v>
      </c>
      <c r="AB23"/>
      <c r="AC23"/>
      <c r="AD23" s="1"/>
      <c r="AE23" s="1"/>
      <c r="AF23" s="82"/>
      <c r="AG23" s="82"/>
      <c r="AH23" s="82"/>
      <c r="AI23" s="82"/>
      <c r="AJ23" s="93" t="s">
        <v>477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1200</v>
      </c>
      <c r="J24" s="103" t="s">
        <v>626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17</v>
      </c>
      <c r="AB24"/>
      <c r="AC24"/>
      <c r="AD24" s="1"/>
      <c r="AE24" s="1"/>
      <c r="AF24" s="82"/>
      <c r="AG24" s="82"/>
      <c r="AH24" s="82"/>
      <c r="AI24" s="82"/>
      <c r="AJ24" s="93" t="s">
        <v>204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586</v>
      </c>
      <c r="D25" s="125"/>
      <c r="E25" s="125"/>
      <c r="F25" s="136" t="s">
        <v>586</v>
      </c>
      <c r="G25" s="125"/>
      <c r="H25" s="126"/>
      <c r="I25" s="102">
        <v>17160</v>
      </c>
      <c r="J25" s="103" t="s">
        <v>627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17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145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606</v>
      </c>
      <c r="D26" s="64" t="s">
        <v>129</v>
      </c>
      <c r="E26" s="42" t="s">
        <v>115</v>
      </c>
      <c r="F26" s="68" t="s">
        <v>606</v>
      </c>
      <c r="G26" s="64" t="s">
        <v>129</v>
      </c>
      <c r="H26" s="41" t="s">
        <v>115</v>
      </c>
      <c r="I26" s="102">
        <v>960</v>
      </c>
      <c r="J26" s="103" t="s">
        <v>628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17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176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629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17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629</v>
      </c>
      <c r="K28" s="23"/>
      <c r="L28" s="43"/>
      <c r="M28" s="90" t="s">
        <v>290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202</v>
      </c>
      <c r="C29" s="174"/>
      <c r="D29" s="175"/>
      <c r="E29" s="176"/>
      <c r="F29" s="174"/>
      <c r="G29" s="175"/>
      <c r="H29" s="177"/>
      <c r="I29" s="102">
        <v>0</v>
      </c>
      <c r="J29" s="103" t="s">
        <v>629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179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608</v>
      </c>
      <c r="C30" s="164"/>
      <c r="D30" s="164"/>
      <c r="E30" s="164"/>
      <c r="F30" s="164"/>
      <c r="G30" s="164"/>
      <c r="H30" s="165"/>
      <c r="I30" s="102">
        <v>23997.5</v>
      </c>
      <c r="J30" s="103" t="s">
        <v>630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11880</v>
      </c>
      <c r="J31" s="103" t="s">
        <v>631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 t="s">
        <v>588</v>
      </c>
      <c r="C32" s="162"/>
      <c r="D32" s="162"/>
      <c r="E32" s="162"/>
      <c r="F32" s="162"/>
      <c r="G32" s="162"/>
      <c r="H32" s="163"/>
      <c r="I32" s="102">
        <v>1050</v>
      </c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 t="s">
        <v>589</v>
      </c>
      <c r="C33" s="162"/>
      <c r="D33" s="162"/>
      <c r="E33" s="162"/>
      <c r="F33" s="162"/>
      <c r="G33" s="162"/>
      <c r="H33" s="163"/>
      <c r="I33" s="102">
        <v>1000</v>
      </c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 t="s">
        <v>607</v>
      </c>
      <c r="C34" s="162"/>
      <c r="D34" s="162"/>
      <c r="E34" s="162"/>
      <c r="F34" s="162"/>
      <c r="G34" s="162"/>
      <c r="H34" s="163"/>
      <c r="I34" s="102">
        <v>300</v>
      </c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524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309872.3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si="0"/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0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0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17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5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17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5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17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6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5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6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5"/>
        <v>1</v>
      </c>
      <c r="AG46" s="82">
        <v>5</v>
      </c>
      <c r="AH46" s="82"/>
      <c r="AI46" s="86" t="s">
        <v>344</v>
      </c>
      <c r="AJ46" s="82"/>
      <c r="AK46" s="82" t="s">
        <v>545</v>
      </c>
      <c r="AL46" s="82" t="s">
        <v>17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5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5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7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5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7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5"/>
        <v>1</v>
      </c>
      <c r="AG50" s="82">
        <v>9</v>
      </c>
      <c r="AH50" s="82"/>
      <c r="AI50" s="86" t="s">
        <v>345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5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5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8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5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8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5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5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5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9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5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9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14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5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5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5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0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5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0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5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5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5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1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5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1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5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5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5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2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5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2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5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5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5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3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5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3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5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5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5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4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5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4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5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5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5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5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5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5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13</v>
      </c>
      <c r="X82" s="39" t="s">
        <v>14</v>
      </c>
      <c r="Y82" s="39" t="s">
        <v>15</v>
      </c>
      <c r="Z82" s="1" t="s">
        <v>17</v>
      </c>
      <c r="AF82" s="2">
        <f t="shared" si="5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5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5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6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5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6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5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5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5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7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5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7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5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5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5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8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5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8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5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5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5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19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5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19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5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5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5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0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5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0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5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5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5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1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5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1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5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2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2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3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2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3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2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2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230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2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4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2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2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2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231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2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5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2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5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2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2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232</v>
      </c>
      <c r="R120" s="39"/>
      <c r="S120" s="39"/>
      <c r="T120" s="1"/>
      <c r="AF120" s="2">
        <f t="shared" si="22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6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2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6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2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2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2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7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2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7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2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2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476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2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8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2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8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13</v>
      </c>
      <c r="W130" s="39" t="s">
        <v>14</v>
      </c>
      <c r="X130" s="39" t="s">
        <v>15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2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2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477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2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29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2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29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2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2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2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0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2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0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2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2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1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2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1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2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2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204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2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2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2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2"/>
        <v>2</v>
      </c>
      <c r="Q146" s="12" t="s">
        <v>10</v>
      </c>
      <c r="R146" s="1" t="s">
        <v>138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2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2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2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3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2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3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2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2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2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4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2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4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2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2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2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5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2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5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2"/>
        <v>2</v>
      </c>
      <c r="AG158" s="82">
        <v>117</v>
      </c>
      <c r="AH158" s="82"/>
      <c r="AI158" s="86" t="s">
        <v>101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2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2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6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2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6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2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2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2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7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2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7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2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2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524</v>
      </c>
      <c r="AF168" s="2">
        <f t="shared" si="22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196</v>
      </c>
      <c r="AP168" s="82" t="s">
        <v>296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8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2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8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2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202" si="39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39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0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39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0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39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196</v>
      </c>
      <c r="AP174" s="82" t="s">
        <v>296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39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39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1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39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1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39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39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39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2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39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2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39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39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39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3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39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3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39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39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39"/>
        <v>5</v>
      </c>
      <c r="AG188" s="82">
        <v>147</v>
      </c>
      <c r="AH188" s="82"/>
      <c r="AI188" s="86" t="s">
        <v>344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39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39"/>
        <v>1</v>
      </c>
      <c r="AG190" s="82">
        <v>149</v>
      </c>
      <c r="AI190" s="86" t="s">
        <v>349</v>
      </c>
      <c r="AK190" s="82" t="s">
        <v>459</v>
      </c>
      <c r="AL190" s="82" t="s">
        <v>17</v>
      </c>
      <c r="AM190" s="82"/>
    </row>
    <row r="191" spans="16:71">
      <c r="AF191" s="2">
        <f t="shared" si="39"/>
        <v>1</v>
      </c>
      <c r="AG191" s="82">
        <v>150</v>
      </c>
      <c r="AI191" s="86" t="s">
        <v>345</v>
      </c>
      <c r="AL191" s="82" t="s">
        <v>17</v>
      </c>
    </row>
    <row r="192" spans="16:71">
      <c r="AF192" s="2" t="e">
        <f t="shared" si="39"/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39"/>
        <v>5</v>
      </c>
      <c r="AG193" s="82">
        <v>152</v>
      </c>
      <c r="AI193" s="86" t="s">
        <v>524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39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39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39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39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39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39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39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39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39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A5:A15"/>
    <mergeCell ref="E5:H5"/>
    <mergeCell ref="B6:D6"/>
    <mergeCell ref="E6:H6"/>
    <mergeCell ref="E7:F7"/>
    <mergeCell ref="A1:H1"/>
    <mergeCell ref="B3:C3"/>
    <mergeCell ref="E3:F3"/>
    <mergeCell ref="B4:C4"/>
    <mergeCell ref="E4:H4"/>
    <mergeCell ref="A16:A21"/>
    <mergeCell ref="C16:D16"/>
    <mergeCell ref="F16:H16"/>
    <mergeCell ref="C17:D17"/>
    <mergeCell ref="C18:D18"/>
    <mergeCell ref="G8:H8"/>
    <mergeCell ref="G9:H9"/>
    <mergeCell ref="F10:H10"/>
    <mergeCell ref="C11:D11"/>
    <mergeCell ref="F11:H11"/>
    <mergeCell ref="A22:A29"/>
    <mergeCell ref="C22:E22"/>
    <mergeCell ref="F22:H22"/>
    <mergeCell ref="C24:E24"/>
    <mergeCell ref="F24:H24"/>
    <mergeCell ref="F18:H18"/>
    <mergeCell ref="C19:D19"/>
    <mergeCell ref="G19:H19"/>
    <mergeCell ref="C20:D20"/>
    <mergeCell ref="C21:D21"/>
    <mergeCell ref="C25:E25"/>
    <mergeCell ref="F25:H25"/>
    <mergeCell ref="C28:E28"/>
    <mergeCell ref="F28:H28"/>
    <mergeCell ref="C29:E29"/>
    <mergeCell ref="F29:H29"/>
    <mergeCell ref="B30:H30"/>
    <mergeCell ref="A31:A36"/>
    <mergeCell ref="B31:H31"/>
    <mergeCell ref="B32:H32"/>
    <mergeCell ref="B33:H33"/>
    <mergeCell ref="B34:H34"/>
    <mergeCell ref="B35:H35"/>
    <mergeCell ref="B36:H36"/>
  </mergeCells>
  <conditionalFormatting sqref="B21:D21">
    <cfRule type="expression" dxfId="183" priority="16">
      <formula>$O$23=0</formula>
    </cfRule>
  </conditionalFormatting>
  <conditionalFormatting sqref="C18:D18">
    <cfRule type="expression" dxfId="182" priority="25" stopIfTrue="1">
      <formula>$C$16&lt;&gt;"Customized"</formula>
    </cfRule>
  </conditionalFormatting>
  <conditionalFormatting sqref="C28:E28">
    <cfRule type="expression" dxfId="181" priority="4">
      <formula>FIND("ZPI",C26,1)=1</formula>
    </cfRule>
  </conditionalFormatting>
  <conditionalFormatting sqref="D26">
    <cfRule type="expression" dxfId="180" priority="11" stopIfTrue="1">
      <formula>INDIRECT(ADDRESS($N$17+$N$12+13,$N$13-2))&lt;=1</formula>
    </cfRule>
  </conditionalFormatting>
  <conditionalFormatting sqref="D27">
    <cfRule type="expression" dxfId="179" priority="9">
      <formula>$O$24=0</formula>
    </cfRule>
    <cfRule type="expression" dxfId="178" priority="10" stopIfTrue="1">
      <formula>INDIRECT(ADDRESS($N$17+$N$12+17,$N$13-2))&lt;=1</formula>
    </cfRule>
  </conditionalFormatting>
  <conditionalFormatting sqref="E26:E27">
    <cfRule type="expression" dxfId="177" priority="6" stopIfTrue="1">
      <formula>INDIRECT(ADDRESS($N$17+$N$12+14,$N$13-2))&lt;=1</formula>
    </cfRule>
  </conditionalFormatting>
  <conditionalFormatting sqref="E27">
    <cfRule type="expression" dxfId="176" priority="2">
      <formula>FIND("E08",C27,1)&gt;0</formula>
    </cfRule>
  </conditionalFormatting>
  <conditionalFormatting sqref="E20:F20">
    <cfRule type="expression" dxfId="175" priority="18" stopIfTrue="1">
      <formula>INDIRECT(ADDRESS($N$17+$N$12+4,$N$13-2))&lt;=1</formula>
    </cfRule>
  </conditionalFormatting>
  <conditionalFormatting sqref="E21:F21">
    <cfRule type="expression" dxfId="174" priority="17" stopIfTrue="1">
      <formula>INDIRECT(ADDRESS($N$17+$N$12+6,$N$13-2))&lt;=1</formula>
    </cfRule>
  </conditionalFormatting>
  <conditionalFormatting sqref="E21:H21">
    <cfRule type="expression" dxfId="173" priority="15">
      <formula>$O$24=0</formula>
    </cfRule>
  </conditionalFormatting>
  <conditionalFormatting sqref="F28:H28">
    <cfRule type="expression" dxfId="172" priority="3">
      <formula>FIND("ZPI",F26,1)=1</formula>
    </cfRule>
  </conditionalFormatting>
  <conditionalFormatting sqref="G26">
    <cfRule type="expression" dxfId="171" priority="14" stopIfTrue="1">
      <formula>INDIRECT(ADDRESS($N$17+$N$12+13,$N$13-2))&lt;=1</formula>
    </cfRule>
  </conditionalFormatting>
  <conditionalFormatting sqref="G27">
    <cfRule type="expression" dxfId="170" priority="13" stopIfTrue="1">
      <formula>INDIRECT(ADDRESS($N$17+$N$12+17,$N$13-2))&lt;=1</formula>
    </cfRule>
    <cfRule type="expression" dxfId="169" priority="12">
      <formula>$O$24=0</formula>
    </cfRule>
  </conditionalFormatting>
  <conditionalFormatting sqref="G19:H19">
    <cfRule type="expression" dxfId="168" priority="22" stopIfTrue="1">
      <formula>F19=""</formula>
    </cfRule>
  </conditionalFormatting>
  <conditionalFormatting sqref="G20:H20">
    <cfRule type="expression" dxfId="167" priority="20" stopIfTrue="1">
      <formula>INDIRECT(ADDRESS($N$17+$N$12+13,$N$13-2))&lt;=1</formula>
    </cfRule>
  </conditionalFormatting>
  <conditionalFormatting sqref="G21:H21">
    <cfRule type="expression" dxfId="166" priority="19" stopIfTrue="1">
      <formula>INDIRECT(ADDRESS($N$17+$N$12+17,$N$13-2))&lt;=1</formula>
    </cfRule>
  </conditionalFormatting>
  <conditionalFormatting sqref="H12">
    <cfRule type="cellIs" dxfId="165" priority="23" stopIfTrue="1" operator="equal">
      <formula>"2D2G"</formula>
    </cfRule>
    <cfRule type="cellIs" dxfId="164" priority="24" stopIfTrue="1" operator="equal">
      <formula>"1D2G"</formula>
    </cfRule>
  </conditionalFormatting>
  <conditionalFormatting sqref="H17">
    <cfRule type="expression" dxfId="163" priority="8" stopIfTrue="1">
      <formula>INDIRECT(ADDRESS($N$17+$N$12+13,$N$13-2))&lt;=1</formula>
    </cfRule>
  </conditionalFormatting>
  <conditionalFormatting sqref="H26:H27">
    <cfRule type="expression" dxfId="162" priority="5" stopIfTrue="1">
      <formula>INDIRECT(ADDRESS($N$17+$N$12+14,$N$13-2))&lt;=1</formula>
    </cfRule>
  </conditionalFormatting>
  <conditionalFormatting sqref="H27">
    <cfRule type="expression" dxfId="161" priority="1">
      <formula>FIND("E08",F27,1)&gt;0</formula>
    </cfRule>
  </conditionalFormatting>
  <dataValidations count="31">
    <dataValidation type="list" allowBlank="1" showInputMessage="1" showErrorMessage="1" sqref="C26" xr:uid="{00000000-0002-0000-0100-000000000000}">
      <formula1>OFFSET($AK$41,$N$25,,,$O$25)</formula1>
    </dataValidation>
    <dataValidation type="list" allowBlank="1" showInputMessage="1" showErrorMessage="1" sqref="C29:H29" xr:uid="{00000000-0002-0000-0100-000001000000}">
      <formula1>OFFSET($AK$41,$N$27,,,$O$27)</formula1>
    </dataValidation>
    <dataValidation type="list" allowBlank="1" showInputMessage="1" showErrorMessage="1" sqref="C28:H28" xr:uid="{00000000-0002-0000-0100-000002000000}">
      <formula1>OFFSET($AK$41,$N$26,,,$O$26)</formula1>
    </dataValidation>
    <dataValidation type="list" errorStyle="information" allowBlank="1" showInputMessage="1" showErrorMessage="1" sqref="C20:D20" xr:uid="{00000000-0002-0000-0100-000003000000}">
      <formula1>OFFSET($AK$41,$N$23,,,$O$23)</formula1>
    </dataValidation>
    <dataValidation type="list" allowBlank="1" showInputMessage="1" showErrorMessage="1" sqref="H7" xr:uid="{00000000-0002-0000-0100-000004000000}">
      <formula1>OFFSET($AK$41,$N$22,,,$O$22)</formula1>
    </dataValidation>
    <dataValidation type="list" allowBlank="1" showInputMessage="1" showErrorMessage="1" sqref="E6:H6" xr:uid="{00000000-0002-0000-0100-000005000000}">
      <formula1>OFFSET($AK$41,$N$21,,,$O$21)</formula1>
    </dataValidation>
    <dataValidation type="list" allowBlank="1" showInputMessage="1" showErrorMessage="1" sqref="F20" xr:uid="{00000000-0002-0000-0100-000006000000}">
      <formula1>OFFSET($AK$41,$N$24,,,$O$24)</formula1>
    </dataValidation>
    <dataValidation type="list" allowBlank="1" showInputMessage="1" showErrorMessage="1" sqref="H21" xr:uid="{00000000-0002-0000-0100-000007000000}">
      <formula1>OFFSET($AK$41,$N$34,,,$O$34)</formula1>
    </dataValidation>
    <dataValidation type="list" allowBlank="1" showInputMessage="1" showErrorMessage="1" sqref="H27 E27" xr:uid="{00000000-0002-0000-0100-000008000000}">
      <formula1>OFFSET($AK$41,$N$36,,,$O$36)</formula1>
    </dataValidation>
    <dataValidation type="list" allowBlank="1" showInputMessage="1" showErrorMessage="1" sqref="F19" xr:uid="{00000000-0002-0000-0100-000009000000}">
      <formula1>OFFSET($AK$41,$N$38,,,$O$38)</formula1>
    </dataValidation>
    <dataValidation type="list" allowBlank="1" showInputMessage="1" showErrorMessage="1" sqref="E26 H26" xr:uid="{00000000-0002-0000-0100-00000A000000}">
      <formula1>OFFSET($AK$41,$N$29,,,$O$29)</formula1>
    </dataValidation>
    <dataValidation type="list" allowBlank="1" showInputMessage="1" showErrorMessage="1" sqref="F27 C27" xr:uid="{00000000-0002-0000-0100-00000B000000}">
      <formula1>OFFSET($AK$41,$N$35,,,$O$35)</formula1>
    </dataValidation>
    <dataValidation type="list" allowBlank="1" showInputMessage="1" showErrorMessage="1" sqref="H20" xr:uid="{00000000-0002-0000-0100-00000C000000}">
      <formula1>OFFSET($AK$41,$N$28,,,$O$28)</formula1>
    </dataValidation>
    <dataValidation type="list" allowBlank="1" showInputMessage="1" showErrorMessage="1" sqref="C21:D21" xr:uid="{00000000-0002-0000-0100-00000D000000}">
      <formula1>OFFSET($AK$41,$N$32,,,$O$32)</formula1>
    </dataValidation>
    <dataValidation type="list" allowBlank="1" showInputMessage="1" showErrorMessage="1" sqref="C17:D17" xr:uid="{00000000-0002-0000-0100-00000E000000}">
      <formula1>OFFSET($AK$41,$N$31,,,$O$31)</formula1>
    </dataValidation>
    <dataValidation type="list" allowBlank="1" showInputMessage="1" showErrorMessage="1" sqref="F17" xr:uid="{00000000-0002-0000-0100-00000F000000}">
      <formula1>OFFSET($AK$41,$N$37,,,$O$37)</formula1>
    </dataValidation>
    <dataValidation type="list" allowBlank="1" showInputMessage="1" showErrorMessage="1" sqref="F21" xr:uid="{00000000-0002-0000-0100-000010000000}">
      <formula1>OFFSET($AK$41,$N$33,,,$O$33)</formula1>
    </dataValidation>
    <dataValidation type="list" allowBlank="1" showInputMessage="1" showErrorMessage="1" sqref="C16:D16" xr:uid="{00000000-0002-0000-0100-000011000000}">
      <formula1>OFFSET($AK$41,$N$30,,,$O$30)</formula1>
    </dataValidation>
    <dataValidation type="list" allowBlank="1" showInputMessage="1" showErrorMessage="1" sqref="F26" xr:uid="{00000000-0002-0000-0100-000012000000}">
      <formula1>OFFSET(AK41,$N$25,,,$O$25)</formula1>
    </dataValidation>
    <dataValidation type="list" allowBlank="1" showInputMessage="1" showErrorMessage="1" sqref="E3:F3" xr:uid="{00000000-0002-0000-0100-000013000000}">
      <formula1>$R$30:$X$30</formula1>
    </dataValidation>
    <dataValidation type="list" allowBlank="1" showInputMessage="1" showErrorMessage="1" sqref="C19:D19" xr:uid="{00000000-0002-0000-0100-000014000000}">
      <formula1>$R$32:$T$32</formula1>
    </dataValidation>
    <dataValidation type="list" allowBlank="1" showInputMessage="1" showErrorMessage="1" sqref="C23 F23" xr:uid="{00000000-0002-0000-0100-000015000000}">
      <formula1>$R$31:$U$31</formula1>
    </dataValidation>
    <dataValidation type="list" allowBlank="1" showInputMessage="1" showErrorMessage="1" sqref="H17" xr:uid="{00000000-0002-0000-0100-000016000000}">
      <formula1>OFFSET($R$20,$Q$19,,,$R$19)</formula1>
    </dataValidation>
    <dataValidation type="list" allowBlank="1" showInputMessage="1" showErrorMessage="1" sqref="E8" xr:uid="{00000000-0002-0000-0100-000017000000}">
      <formula1>OFFSET($R$39,$N$18,,,$O$18)</formula1>
    </dataValidation>
    <dataValidation type="list" errorStyle="warning" allowBlank="1" showInputMessage="1" showErrorMessage="1" errorTitle="wrong" error="wrong" sqref="C8" xr:uid="{00000000-0002-0000-0100-000018000000}">
      <formula1>OFFSET($R$39,$N$19,,,$O$19)</formula1>
    </dataValidation>
    <dataValidation type="list" allowBlank="1" showInputMessage="1" showErrorMessage="1" sqref="E5:H5" xr:uid="{00000000-0002-0000-0100-000019000000}">
      <formula1>OFFSET($R$8,$N$9,,,$N$10)</formula1>
    </dataValidation>
    <dataValidation type="list" allowBlank="1" showInputMessage="1" showErrorMessage="1" sqref="G19:H19" xr:uid="{00000000-0002-0000-0100-00001A000000}">
      <formula1>"rear wall,two side walls,three side walls"</formula1>
    </dataValidation>
    <dataValidation type="list" allowBlank="1" showInputMessage="1" showErrorMessage="1" sqref="F14" xr:uid="{00000000-0002-0000-0100-00001B000000}">
      <formula1>"Central opening,Side opening"</formula1>
    </dataValidation>
    <dataValidation type="list" allowBlank="1" showInputMessage="1" showErrorMessage="1" sqref="H12" xr:uid="{00000000-0002-0000-0100-00001C000000}">
      <formula1>"1D1G,1D2G,2D2G"</formula1>
    </dataValidation>
    <dataValidation type="list" allowBlank="1" showInputMessage="1" showErrorMessage="1" sqref="C5" xr:uid="{00000000-0002-0000-0100-00001D000000}">
      <formula1>$Q$9:$Q$14</formula1>
    </dataValidation>
    <dataValidation type="list" allowBlank="1" showInputMessage="1" showErrorMessage="1" sqref="C24:H24" xr:uid="{00000000-0002-0000-0100-00001E000000}">
      <formula1>"Steel sill bracket by seller,Concrete sill bracket by local"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202"/>
  <sheetViews>
    <sheetView view="pageBreakPreview" zoomScale="85" zoomScaleNormal="100" zoomScaleSheetLayoutView="85" workbookViewId="0">
      <selection activeCell="H13" sqref="H13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290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85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9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126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159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1</v>
      </c>
      <c r="D7" s="48" t="s">
        <v>45</v>
      </c>
      <c r="E7" s="136" t="s">
        <v>632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177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107" t="s">
        <v>169</v>
      </c>
      <c r="D8" s="48" t="s">
        <v>1</v>
      </c>
      <c r="E8" s="107" t="s">
        <v>91</v>
      </c>
      <c r="F8" s="69" t="s">
        <v>46</v>
      </c>
      <c r="G8" s="140" t="s">
        <v>573</v>
      </c>
      <c r="H8" s="141"/>
      <c r="I8" s="102">
        <v>223020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6</v>
      </c>
      <c r="D9" s="48" t="s">
        <v>48</v>
      </c>
      <c r="E9" s="55">
        <v>6</v>
      </c>
      <c r="F9" s="57" t="s">
        <v>49</v>
      </c>
      <c r="G9" s="136">
        <v>6</v>
      </c>
      <c r="H9" s="137"/>
      <c r="I9" s="102">
        <v>-27960</v>
      </c>
      <c r="J9" s="103" t="s">
        <v>621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54</v>
      </c>
      <c r="F10" s="142" t="s">
        <v>620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522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100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101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2750</v>
      </c>
      <c r="E12" s="48" t="s">
        <v>72</v>
      </c>
      <c r="F12" s="55">
        <v>1950</v>
      </c>
      <c r="G12" s="48" t="s">
        <v>69</v>
      </c>
      <c r="H12" s="41" t="s">
        <v>575</v>
      </c>
      <c r="I12" s="102"/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472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226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19950</v>
      </c>
      <c r="E13" s="48" t="s">
        <v>73</v>
      </c>
      <c r="F13" s="108">
        <v>4800</v>
      </c>
      <c r="G13" s="48" t="s">
        <v>78</v>
      </c>
      <c r="H13" s="109">
        <v>1500</v>
      </c>
      <c r="I13" s="102">
        <v>2690.9999999999991</v>
      </c>
      <c r="J13" s="103" t="s">
        <v>622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227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108">
        <v>1200</v>
      </c>
      <c r="E14" s="48" t="s">
        <v>70</v>
      </c>
      <c r="F14" s="56" t="s">
        <v>576</v>
      </c>
      <c r="G14" s="48" t="s">
        <v>79</v>
      </c>
      <c r="H14" s="58">
        <v>2400</v>
      </c>
      <c r="I14" s="102">
        <v>8883</v>
      </c>
      <c r="J14" s="103" t="s">
        <v>623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228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2000</v>
      </c>
      <c r="E15" s="49" t="s">
        <v>71</v>
      </c>
      <c r="F15" s="59">
        <v>1400</v>
      </c>
      <c r="G15" s="49" t="s">
        <v>200</v>
      </c>
      <c r="H15" s="60">
        <v>2500</v>
      </c>
      <c r="I15" s="102">
        <v>12780.800000000001</v>
      </c>
      <c r="J15" s="103" t="s">
        <v>610</v>
      </c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229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230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6730</v>
      </c>
      <c r="J17" s="103" t="s">
        <v>592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231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586</v>
      </c>
      <c r="D18" s="125"/>
      <c r="E18" s="48" t="s">
        <v>4</v>
      </c>
      <c r="F18" s="136" t="s">
        <v>586</v>
      </c>
      <c r="G18" s="125"/>
      <c r="H18" s="126"/>
      <c r="I18" s="102">
        <v>14200</v>
      </c>
      <c r="J18" s="103" t="s">
        <v>593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232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2290</v>
      </c>
      <c r="J19" s="103" t="s">
        <v>594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585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5910</v>
      </c>
      <c r="J20" s="103" t="s">
        <v>624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17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17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476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586</v>
      </c>
      <c r="F23" s="56" t="s">
        <v>604</v>
      </c>
      <c r="G23" s="47" t="s">
        <v>83</v>
      </c>
      <c r="H23" s="58" t="s">
        <v>586</v>
      </c>
      <c r="I23" s="102">
        <v>3780</v>
      </c>
      <c r="J23" s="103" t="s">
        <v>625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17</v>
      </c>
      <c r="AB23"/>
      <c r="AC23"/>
      <c r="AD23" s="1"/>
      <c r="AE23" s="1"/>
      <c r="AF23" s="82"/>
      <c r="AG23" s="82"/>
      <c r="AH23" s="82"/>
      <c r="AI23" s="82"/>
      <c r="AJ23" s="93" t="s">
        <v>477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1200</v>
      </c>
      <c r="J24" s="103" t="s">
        <v>626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17</v>
      </c>
      <c r="AB24"/>
      <c r="AC24"/>
      <c r="AD24" s="1"/>
      <c r="AE24" s="1"/>
      <c r="AF24" s="82"/>
      <c r="AG24" s="82"/>
      <c r="AH24" s="82"/>
      <c r="AI24" s="82"/>
      <c r="AJ24" s="93" t="s">
        <v>204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586</v>
      </c>
      <c r="D25" s="125"/>
      <c r="E25" s="125"/>
      <c r="F25" s="136" t="s">
        <v>586</v>
      </c>
      <c r="G25" s="125"/>
      <c r="H25" s="126"/>
      <c r="I25" s="102">
        <v>17160</v>
      </c>
      <c r="J25" s="103" t="s">
        <v>627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17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145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606</v>
      </c>
      <c r="D26" s="64" t="s">
        <v>129</v>
      </c>
      <c r="E26" s="42" t="s">
        <v>115</v>
      </c>
      <c r="F26" s="68" t="s">
        <v>606</v>
      </c>
      <c r="G26" s="64" t="s">
        <v>129</v>
      </c>
      <c r="H26" s="41" t="s">
        <v>115</v>
      </c>
      <c r="I26" s="102">
        <v>960</v>
      </c>
      <c r="J26" s="103" t="s">
        <v>628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17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176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629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17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629</v>
      </c>
      <c r="K28" s="23"/>
      <c r="L28" s="43"/>
      <c r="M28" s="90" t="s">
        <v>290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202</v>
      </c>
      <c r="C29" s="174"/>
      <c r="D29" s="175"/>
      <c r="E29" s="176"/>
      <c r="F29" s="174"/>
      <c r="G29" s="175"/>
      <c r="H29" s="177"/>
      <c r="I29" s="102">
        <v>0</v>
      </c>
      <c r="J29" s="103" t="s">
        <v>629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179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608</v>
      </c>
      <c r="C30" s="164"/>
      <c r="D30" s="164"/>
      <c r="E30" s="164"/>
      <c r="F30" s="164"/>
      <c r="G30" s="164"/>
      <c r="H30" s="165"/>
      <c r="I30" s="102">
        <v>23997.5</v>
      </c>
      <c r="J30" s="103" t="s">
        <v>630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11880</v>
      </c>
      <c r="J31" s="103" t="s">
        <v>631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 t="s">
        <v>588</v>
      </c>
      <c r="C32" s="162"/>
      <c r="D32" s="162"/>
      <c r="E32" s="162"/>
      <c r="F32" s="162"/>
      <c r="G32" s="162"/>
      <c r="H32" s="163"/>
      <c r="I32" s="102">
        <v>1050</v>
      </c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 t="s">
        <v>589</v>
      </c>
      <c r="C33" s="162"/>
      <c r="D33" s="162"/>
      <c r="E33" s="162"/>
      <c r="F33" s="162"/>
      <c r="G33" s="162"/>
      <c r="H33" s="163"/>
      <c r="I33" s="102">
        <v>1000</v>
      </c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 t="s">
        <v>607</v>
      </c>
      <c r="C34" s="162"/>
      <c r="D34" s="162"/>
      <c r="E34" s="162"/>
      <c r="F34" s="162"/>
      <c r="G34" s="162"/>
      <c r="H34" s="163"/>
      <c r="I34" s="102">
        <v>300</v>
      </c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524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309872.3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si="0"/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0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0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17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5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17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5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17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6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5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6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5"/>
        <v>1</v>
      </c>
      <c r="AG46" s="82">
        <v>5</v>
      </c>
      <c r="AH46" s="82"/>
      <c r="AI46" s="86" t="s">
        <v>344</v>
      </c>
      <c r="AJ46" s="82"/>
      <c r="AK46" s="82" t="s">
        <v>545</v>
      </c>
      <c r="AL46" s="82" t="s">
        <v>17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5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5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7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5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7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5"/>
        <v>1</v>
      </c>
      <c r="AG50" s="82">
        <v>9</v>
      </c>
      <c r="AH50" s="82"/>
      <c r="AI50" s="86" t="s">
        <v>345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5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5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8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5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8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5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5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5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9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5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9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14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5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5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5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0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5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0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5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5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5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1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5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1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5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5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5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2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5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2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5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5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5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3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5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3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5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5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5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4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5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4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5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5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5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5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5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5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13</v>
      </c>
      <c r="X82" s="39" t="s">
        <v>14</v>
      </c>
      <c r="Y82" s="39" t="s">
        <v>15</v>
      </c>
      <c r="Z82" s="1" t="s">
        <v>17</v>
      </c>
      <c r="AF82" s="2">
        <f t="shared" si="5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5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5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6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5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6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5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5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5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7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5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7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5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5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5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8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5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8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5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5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5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19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5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19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5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5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5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0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5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0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5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5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5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1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5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1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5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2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2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3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2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3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2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2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230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2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4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2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2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2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231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2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5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2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5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2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2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232</v>
      </c>
      <c r="R120" s="39"/>
      <c r="S120" s="39"/>
      <c r="T120" s="1"/>
      <c r="AF120" s="2">
        <f t="shared" si="22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6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2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6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2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2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2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7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2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7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2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2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476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2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8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2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8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13</v>
      </c>
      <c r="W130" s="39" t="s">
        <v>14</v>
      </c>
      <c r="X130" s="39" t="s">
        <v>15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2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2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477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2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29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2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29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2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2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2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0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2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0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2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2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1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2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1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2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2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204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2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2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2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2"/>
        <v>2</v>
      </c>
      <c r="Q146" s="12" t="s">
        <v>10</v>
      </c>
      <c r="R146" s="1" t="s">
        <v>138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2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2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2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3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2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3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2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2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2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4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2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4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2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2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2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5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2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5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2"/>
        <v>2</v>
      </c>
      <c r="AG158" s="82">
        <v>117</v>
      </c>
      <c r="AH158" s="82"/>
      <c r="AI158" s="86" t="s">
        <v>101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2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2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6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2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6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2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2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2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7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2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7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2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2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524</v>
      </c>
      <c r="AF168" s="2">
        <f t="shared" si="22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196</v>
      </c>
      <c r="AP168" s="82" t="s">
        <v>296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8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2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8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2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202" si="39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39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0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39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0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39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196</v>
      </c>
      <c r="AP174" s="82" t="s">
        <v>296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39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39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1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39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1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39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39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39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2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39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2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39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39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39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3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39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3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39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39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39"/>
        <v>5</v>
      </c>
      <c r="AG188" s="82">
        <v>147</v>
      </c>
      <c r="AH188" s="82"/>
      <c r="AI188" s="86" t="s">
        <v>344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39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39"/>
        <v>1</v>
      </c>
      <c r="AG190" s="82">
        <v>149</v>
      </c>
      <c r="AI190" s="86" t="s">
        <v>349</v>
      </c>
      <c r="AK190" s="82" t="s">
        <v>459</v>
      </c>
      <c r="AL190" s="82" t="s">
        <v>17</v>
      </c>
      <c r="AM190" s="82"/>
    </row>
    <row r="191" spans="16:71">
      <c r="AF191" s="2">
        <f t="shared" si="39"/>
        <v>1</v>
      </c>
      <c r="AG191" s="82">
        <v>150</v>
      </c>
      <c r="AI191" s="86" t="s">
        <v>345</v>
      </c>
      <c r="AL191" s="82" t="s">
        <v>17</v>
      </c>
    </row>
    <row r="192" spans="16:71">
      <c r="AF192" s="2" t="e">
        <f t="shared" si="39"/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39"/>
        <v>5</v>
      </c>
      <c r="AG193" s="82">
        <v>152</v>
      </c>
      <c r="AI193" s="86" t="s">
        <v>524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39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39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39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39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39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39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39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39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39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A5:A15"/>
    <mergeCell ref="E5:H5"/>
    <mergeCell ref="B6:D6"/>
    <mergeCell ref="E6:H6"/>
    <mergeCell ref="E7:F7"/>
    <mergeCell ref="A1:H1"/>
    <mergeCell ref="B3:C3"/>
    <mergeCell ref="E3:F3"/>
    <mergeCell ref="B4:C4"/>
    <mergeCell ref="E4:H4"/>
    <mergeCell ref="A16:A21"/>
    <mergeCell ref="C16:D16"/>
    <mergeCell ref="F16:H16"/>
    <mergeCell ref="C17:D17"/>
    <mergeCell ref="C18:D18"/>
    <mergeCell ref="G8:H8"/>
    <mergeCell ref="G9:H9"/>
    <mergeCell ref="F10:H10"/>
    <mergeCell ref="C11:D11"/>
    <mergeCell ref="F11:H11"/>
    <mergeCell ref="A22:A29"/>
    <mergeCell ref="C22:E22"/>
    <mergeCell ref="F22:H22"/>
    <mergeCell ref="C24:E24"/>
    <mergeCell ref="F24:H24"/>
    <mergeCell ref="F18:H18"/>
    <mergeCell ref="C19:D19"/>
    <mergeCell ref="G19:H19"/>
    <mergeCell ref="C20:D20"/>
    <mergeCell ref="C21:D21"/>
    <mergeCell ref="C25:E25"/>
    <mergeCell ref="F25:H25"/>
    <mergeCell ref="C28:E28"/>
    <mergeCell ref="F28:H28"/>
    <mergeCell ref="C29:E29"/>
    <mergeCell ref="F29:H29"/>
    <mergeCell ref="B30:H30"/>
    <mergeCell ref="A31:A36"/>
    <mergeCell ref="B31:H31"/>
    <mergeCell ref="B32:H32"/>
    <mergeCell ref="B33:H33"/>
    <mergeCell ref="B34:H34"/>
    <mergeCell ref="B35:H35"/>
    <mergeCell ref="B36:H36"/>
  </mergeCells>
  <conditionalFormatting sqref="B21:D21">
    <cfRule type="expression" dxfId="160" priority="16">
      <formula>$O$23=0</formula>
    </cfRule>
  </conditionalFormatting>
  <conditionalFormatting sqref="C18:D18">
    <cfRule type="expression" dxfId="159" priority="25" stopIfTrue="1">
      <formula>$C$16&lt;&gt;"Customized"</formula>
    </cfRule>
  </conditionalFormatting>
  <conditionalFormatting sqref="C28:E28">
    <cfRule type="expression" dxfId="158" priority="4">
      <formula>FIND("ZPI",C26,1)=1</formula>
    </cfRule>
  </conditionalFormatting>
  <conditionalFormatting sqref="D26">
    <cfRule type="expression" dxfId="157" priority="11" stopIfTrue="1">
      <formula>INDIRECT(ADDRESS($N$17+$N$12+13,$N$13-2))&lt;=1</formula>
    </cfRule>
  </conditionalFormatting>
  <conditionalFormatting sqref="D27">
    <cfRule type="expression" dxfId="156" priority="9">
      <formula>$O$24=0</formula>
    </cfRule>
    <cfRule type="expression" dxfId="155" priority="10" stopIfTrue="1">
      <formula>INDIRECT(ADDRESS($N$17+$N$12+17,$N$13-2))&lt;=1</formula>
    </cfRule>
  </conditionalFormatting>
  <conditionalFormatting sqref="E26:E27">
    <cfRule type="expression" dxfId="154" priority="6" stopIfTrue="1">
      <formula>INDIRECT(ADDRESS($N$17+$N$12+14,$N$13-2))&lt;=1</formula>
    </cfRule>
  </conditionalFormatting>
  <conditionalFormatting sqref="E27">
    <cfRule type="expression" dxfId="153" priority="2">
      <formula>FIND("E08",C27,1)&gt;0</formula>
    </cfRule>
  </conditionalFormatting>
  <conditionalFormatting sqref="E20:F20">
    <cfRule type="expression" dxfId="152" priority="18" stopIfTrue="1">
      <formula>INDIRECT(ADDRESS($N$17+$N$12+4,$N$13-2))&lt;=1</formula>
    </cfRule>
  </conditionalFormatting>
  <conditionalFormatting sqref="E21:F21">
    <cfRule type="expression" dxfId="151" priority="17" stopIfTrue="1">
      <formula>INDIRECT(ADDRESS($N$17+$N$12+6,$N$13-2))&lt;=1</formula>
    </cfRule>
  </conditionalFormatting>
  <conditionalFormatting sqref="E21:H21">
    <cfRule type="expression" dxfId="150" priority="15">
      <formula>$O$24=0</formula>
    </cfRule>
  </conditionalFormatting>
  <conditionalFormatting sqref="F28:H28">
    <cfRule type="expression" dxfId="149" priority="3">
      <formula>FIND("ZPI",F26,1)=1</formula>
    </cfRule>
  </conditionalFormatting>
  <conditionalFormatting sqref="G26">
    <cfRule type="expression" dxfId="148" priority="14" stopIfTrue="1">
      <formula>INDIRECT(ADDRESS($N$17+$N$12+13,$N$13-2))&lt;=1</formula>
    </cfRule>
  </conditionalFormatting>
  <conditionalFormatting sqref="G27">
    <cfRule type="expression" dxfId="147" priority="13" stopIfTrue="1">
      <formula>INDIRECT(ADDRESS($N$17+$N$12+17,$N$13-2))&lt;=1</formula>
    </cfRule>
    <cfRule type="expression" dxfId="146" priority="12">
      <formula>$O$24=0</formula>
    </cfRule>
  </conditionalFormatting>
  <conditionalFormatting sqref="G19:H19">
    <cfRule type="expression" dxfId="145" priority="22" stopIfTrue="1">
      <formula>F19=""</formula>
    </cfRule>
  </conditionalFormatting>
  <conditionalFormatting sqref="G20:H20">
    <cfRule type="expression" dxfId="144" priority="20" stopIfTrue="1">
      <formula>INDIRECT(ADDRESS($N$17+$N$12+13,$N$13-2))&lt;=1</formula>
    </cfRule>
  </conditionalFormatting>
  <conditionalFormatting sqref="G21:H21">
    <cfRule type="expression" dxfId="143" priority="19" stopIfTrue="1">
      <formula>INDIRECT(ADDRESS($N$17+$N$12+17,$N$13-2))&lt;=1</formula>
    </cfRule>
  </conditionalFormatting>
  <conditionalFormatting sqref="H12">
    <cfRule type="cellIs" dxfId="142" priority="23" stopIfTrue="1" operator="equal">
      <formula>"2D2G"</formula>
    </cfRule>
    <cfRule type="cellIs" dxfId="141" priority="24" stopIfTrue="1" operator="equal">
      <formula>"1D2G"</formula>
    </cfRule>
  </conditionalFormatting>
  <conditionalFormatting sqref="H17">
    <cfRule type="expression" dxfId="140" priority="8" stopIfTrue="1">
      <formula>INDIRECT(ADDRESS($N$17+$N$12+13,$N$13-2))&lt;=1</formula>
    </cfRule>
  </conditionalFormatting>
  <conditionalFormatting sqref="H26:H27">
    <cfRule type="expression" dxfId="139" priority="5" stopIfTrue="1">
      <formula>INDIRECT(ADDRESS($N$17+$N$12+14,$N$13-2))&lt;=1</formula>
    </cfRule>
  </conditionalFormatting>
  <conditionalFormatting sqref="H27">
    <cfRule type="expression" dxfId="138" priority="1">
      <formula>FIND("E08",F27,1)&gt;0</formula>
    </cfRule>
  </conditionalFormatting>
  <dataValidations count="31">
    <dataValidation type="list" allowBlank="1" showInputMessage="1" showErrorMessage="1" sqref="C24:H24" xr:uid="{00000000-0002-0000-0200-000000000000}">
      <formula1>"Steel sill bracket by seller,Concrete sill bracket by local"</formula1>
    </dataValidation>
    <dataValidation type="list" allowBlank="1" showInputMessage="1" showErrorMessage="1" sqref="C5" xr:uid="{00000000-0002-0000-0200-000001000000}">
      <formula1>$Q$9:$Q$14</formula1>
    </dataValidation>
    <dataValidation type="list" allowBlank="1" showInputMessage="1" showErrorMessage="1" sqref="H12" xr:uid="{00000000-0002-0000-0200-000002000000}">
      <formula1>"1D1G,1D2G,2D2G"</formula1>
    </dataValidation>
    <dataValidation type="list" allowBlank="1" showInputMessage="1" showErrorMessage="1" sqref="F14" xr:uid="{00000000-0002-0000-0200-000003000000}">
      <formula1>"Central opening,Side opening"</formula1>
    </dataValidation>
    <dataValidation type="list" allowBlank="1" showInputMessage="1" showErrorMessage="1" sqref="G19:H19" xr:uid="{00000000-0002-0000-0200-000004000000}">
      <formula1>"rear wall,two side walls,three side walls"</formula1>
    </dataValidation>
    <dataValidation type="list" allowBlank="1" showInputMessage="1" showErrorMessage="1" sqref="E5:H5" xr:uid="{00000000-0002-0000-0200-000005000000}">
      <formula1>OFFSET($R$8,$N$9,,,$N$10)</formula1>
    </dataValidation>
    <dataValidation type="list" errorStyle="warning" allowBlank="1" showInputMessage="1" showErrorMessage="1" errorTitle="wrong" error="wrong" sqref="C8" xr:uid="{00000000-0002-0000-0200-000006000000}">
      <formula1>OFFSET($R$39,$N$19,,,$O$19)</formula1>
    </dataValidation>
    <dataValidation type="list" allowBlank="1" showInputMessage="1" showErrorMessage="1" sqref="E8" xr:uid="{00000000-0002-0000-0200-000007000000}">
      <formula1>OFFSET($R$39,$N$18,,,$O$18)</formula1>
    </dataValidation>
    <dataValidation type="list" allowBlank="1" showInputMessage="1" showErrorMessage="1" sqref="H17" xr:uid="{00000000-0002-0000-0200-000008000000}">
      <formula1>OFFSET($R$20,$Q$19,,,$R$19)</formula1>
    </dataValidation>
    <dataValidation type="list" allowBlank="1" showInputMessage="1" showErrorMessage="1" sqref="C23 F23" xr:uid="{00000000-0002-0000-0200-000009000000}">
      <formula1>$R$31:$U$31</formula1>
    </dataValidation>
    <dataValidation type="list" allowBlank="1" showInputMessage="1" showErrorMessage="1" sqref="C19:D19" xr:uid="{00000000-0002-0000-0200-00000A000000}">
      <formula1>$R$32:$T$32</formula1>
    </dataValidation>
    <dataValidation type="list" allowBlank="1" showInputMessage="1" showErrorMessage="1" sqref="E3:F3" xr:uid="{00000000-0002-0000-0200-00000B000000}">
      <formula1>$R$30:$X$30</formula1>
    </dataValidation>
    <dataValidation type="list" allowBlank="1" showInputMessage="1" showErrorMessage="1" sqref="F26" xr:uid="{00000000-0002-0000-0200-00000C000000}">
      <formula1>OFFSET(AK41,$N$25,,,$O$25)</formula1>
    </dataValidation>
    <dataValidation type="list" allowBlank="1" showInputMessage="1" showErrorMessage="1" sqref="C16:D16" xr:uid="{00000000-0002-0000-0200-00000D000000}">
      <formula1>OFFSET($AK$41,$N$30,,,$O$30)</formula1>
    </dataValidation>
    <dataValidation type="list" allowBlank="1" showInputMessage="1" showErrorMessage="1" sqref="F21" xr:uid="{00000000-0002-0000-0200-00000E000000}">
      <formula1>OFFSET($AK$41,$N$33,,,$O$33)</formula1>
    </dataValidation>
    <dataValidation type="list" allowBlank="1" showInputMessage="1" showErrorMessage="1" sqref="F17" xr:uid="{00000000-0002-0000-0200-00000F000000}">
      <formula1>OFFSET($AK$41,$N$37,,,$O$37)</formula1>
    </dataValidation>
    <dataValidation type="list" allowBlank="1" showInputMessage="1" showErrorMessage="1" sqref="C17:D17" xr:uid="{00000000-0002-0000-0200-000010000000}">
      <formula1>OFFSET($AK$41,$N$31,,,$O$31)</formula1>
    </dataValidation>
    <dataValidation type="list" allowBlank="1" showInputMessage="1" showErrorMessage="1" sqref="C21:D21" xr:uid="{00000000-0002-0000-0200-000011000000}">
      <formula1>OFFSET($AK$41,$N$32,,,$O$32)</formula1>
    </dataValidation>
    <dataValidation type="list" allowBlank="1" showInputMessage="1" showErrorMessage="1" sqref="H20" xr:uid="{00000000-0002-0000-0200-000012000000}">
      <formula1>OFFSET($AK$41,$N$28,,,$O$28)</formula1>
    </dataValidation>
    <dataValidation type="list" allowBlank="1" showInputMessage="1" showErrorMessage="1" sqref="F27 C27" xr:uid="{00000000-0002-0000-0200-000013000000}">
      <formula1>OFFSET($AK$41,$N$35,,,$O$35)</formula1>
    </dataValidation>
    <dataValidation type="list" allowBlank="1" showInputMessage="1" showErrorMessage="1" sqref="E26 H26" xr:uid="{00000000-0002-0000-0200-000014000000}">
      <formula1>OFFSET($AK$41,$N$29,,,$O$29)</formula1>
    </dataValidation>
    <dataValidation type="list" allowBlank="1" showInputMessage="1" showErrorMessage="1" sqref="F19" xr:uid="{00000000-0002-0000-0200-000015000000}">
      <formula1>OFFSET($AK$41,$N$38,,,$O$38)</formula1>
    </dataValidation>
    <dataValidation type="list" allowBlank="1" showInputMessage="1" showErrorMessage="1" sqref="H27 E27" xr:uid="{00000000-0002-0000-0200-000016000000}">
      <formula1>OFFSET($AK$41,$N$36,,,$O$36)</formula1>
    </dataValidation>
    <dataValidation type="list" allowBlank="1" showInputMessage="1" showErrorMessage="1" sqref="H21" xr:uid="{00000000-0002-0000-0200-000017000000}">
      <formula1>OFFSET($AK$41,$N$34,,,$O$34)</formula1>
    </dataValidation>
    <dataValidation type="list" allowBlank="1" showInputMessage="1" showErrorMessage="1" sqref="F20" xr:uid="{00000000-0002-0000-0200-000018000000}">
      <formula1>OFFSET($AK$41,$N$24,,,$O$24)</formula1>
    </dataValidation>
    <dataValidation type="list" allowBlank="1" showInputMessage="1" showErrorMessage="1" sqref="E6:H6" xr:uid="{00000000-0002-0000-0200-000019000000}">
      <formula1>OFFSET($AK$41,$N$21,,,$O$21)</formula1>
    </dataValidation>
    <dataValidation type="list" allowBlank="1" showInputMessage="1" showErrorMessage="1" sqref="H7" xr:uid="{00000000-0002-0000-0200-00001A000000}">
      <formula1>OFFSET($AK$41,$N$22,,,$O$22)</formula1>
    </dataValidation>
    <dataValidation type="list" errorStyle="information" allowBlank="1" showInputMessage="1" showErrorMessage="1" sqref="C20:D20" xr:uid="{00000000-0002-0000-0200-00001B000000}">
      <formula1>OFFSET($AK$41,$N$23,,,$O$23)</formula1>
    </dataValidation>
    <dataValidation type="list" allowBlank="1" showInputMessage="1" showErrorMessage="1" sqref="C28:H28" xr:uid="{00000000-0002-0000-0200-00001C000000}">
      <formula1>OFFSET($AK$41,$N$26,,,$O$26)</formula1>
    </dataValidation>
    <dataValidation type="list" allowBlank="1" showInputMessage="1" showErrorMessage="1" sqref="C29:H29" xr:uid="{00000000-0002-0000-0200-00001D000000}">
      <formula1>OFFSET($AK$41,$N$27,,,$O$27)</formula1>
    </dataValidation>
    <dataValidation type="list" allowBlank="1" showInputMessage="1" showErrorMessage="1" sqref="C26" xr:uid="{00000000-0002-0000-0200-00001E000000}">
      <formula1>OFFSET($AK$41,$N$25,,,$O$25)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202"/>
  <sheetViews>
    <sheetView view="pageBreakPreview" zoomScale="85" zoomScaleNormal="100" zoomScaleSheetLayoutView="85" workbookViewId="0">
      <selection activeCell="H13" sqref="H13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290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85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9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126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159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1</v>
      </c>
      <c r="D7" s="48" t="s">
        <v>45</v>
      </c>
      <c r="E7" s="136" t="s">
        <v>633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177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107" t="s">
        <v>169</v>
      </c>
      <c r="D8" s="48" t="s">
        <v>1</v>
      </c>
      <c r="E8" s="107" t="s">
        <v>91</v>
      </c>
      <c r="F8" s="69" t="s">
        <v>46</v>
      </c>
      <c r="G8" s="140" t="s">
        <v>573</v>
      </c>
      <c r="H8" s="141"/>
      <c r="I8" s="102">
        <v>223020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6</v>
      </c>
      <c r="D9" s="48" t="s">
        <v>48</v>
      </c>
      <c r="E9" s="55">
        <v>6</v>
      </c>
      <c r="F9" s="57" t="s">
        <v>49</v>
      </c>
      <c r="G9" s="136">
        <v>6</v>
      </c>
      <c r="H9" s="137"/>
      <c r="I9" s="102">
        <v>-27960</v>
      </c>
      <c r="J9" s="103" t="s">
        <v>621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54</v>
      </c>
      <c r="F10" s="142" t="s">
        <v>620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522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100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101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2750</v>
      </c>
      <c r="E12" s="48" t="s">
        <v>72</v>
      </c>
      <c r="F12" s="55">
        <v>1950</v>
      </c>
      <c r="G12" s="48" t="s">
        <v>69</v>
      </c>
      <c r="H12" s="41" t="s">
        <v>575</v>
      </c>
      <c r="I12" s="102"/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472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226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19950</v>
      </c>
      <c r="E13" s="48" t="s">
        <v>73</v>
      </c>
      <c r="F13" s="108">
        <v>4800</v>
      </c>
      <c r="G13" s="48" t="s">
        <v>78</v>
      </c>
      <c r="H13" s="109">
        <v>1500</v>
      </c>
      <c r="I13" s="102">
        <v>2690.9999999999991</v>
      </c>
      <c r="J13" s="103" t="s">
        <v>622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227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108">
        <v>1200</v>
      </c>
      <c r="E14" s="48" t="s">
        <v>70</v>
      </c>
      <c r="F14" s="56" t="s">
        <v>576</v>
      </c>
      <c r="G14" s="48" t="s">
        <v>79</v>
      </c>
      <c r="H14" s="58">
        <v>2400</v>
      </c>
      <c r="I14" s="102">
        <v>8883</v>
      </c>
      <c r="J14" s="103" t="s">
        <v>623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228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2000</v>
      </c>
      <c r="E15" s="49" t="s">
        <v>71</v>
      </c>
      <c r="F15" s="59">
        <v>1400</v>
      </c>
      <c r="G15" s="49" t="s">
        <v>200</v>
      </c>
      <c r="H15" s="60">
        <v>2500</v>
      </c>
      <c r="I15" s="102">
        <v>12780.800000000001</v>
      </c>
      <c r="J15" s="103" t="s">
        <v>610</v>
      </c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229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230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6730</v>
      </c>
      <c r="J17" s="103" t="s">
        <v>592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231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586</v>
      </c>
      <c r="D18" s="125"/>
      <c r="E18" s="48" t="s">
        <v>4</v>
      </c>
      <c r="F18" s="136" t="s">
        <v>586</v>
      </c>
      <c r="G18" s="125"/>
      <c r="H18" s="126"/>
      <c r="I18" s="102">
        <v>14200</v>
      </c>
      <c r="J18" s="103" t="s">
        <v>593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232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2290</v>
      </c>
      <c r="J19" s="103" t="s">
        <v>594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585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5910</v>
      </c>
      <c r="J20" s="103" t="s">
        <v>624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17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17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476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586</v>
      </c>
      <c r="F23" s="56" t="s">
        <v>604</v>
      </c>
      <c r="G23" s="47" t="s">
        <v>83</v>
      </c>
      <c r="H23" s="58" t="s">
        <v>586</v>
      </c>
      <c r="I23" s="102">
        <v>3780</v>
      </c>
      <c r="J23" s="103" t="s">
        <v>625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17</v>
      </c>
      <c r="AB23"/>
      <c r="AC23"/>
      <c r="AD23" s="1"/>
      <c r="AE23" s="1"/>
      <c r="AF23" s="82"/>
      <c r="AG23" s="82"/>
      <c r="AH23" s="82"/>
      <c r="AI23" s="82"/>
      <c r="AJ23" s="93" t="s">
        <v>477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1200</v>
      </c>
      <c r="J24" s="103" t="s">
        <v>626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17</v>
      </c>
      <c r="AB24"/>
      <c r="AC24"/>
      <c r="AD24" s="1"/>
      <c r="AE24" s="1"/>
      <c r="AF24" s="82"/>
      <c r="AG24" s="82"/>
      <c r="AH24" s="82"/>
      <c r="AI24" s="82"/>
      <c r="AJ24" s="93" t="s">
        <v>204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586</v>
      </c>
      <c r="D25" s="125"/>
      <c r="E25" s="125"/>
      <c r="F25" s="136" t="s">
        <v>586</v>
      </c>
      <c r="G25" s="125"/>
      <c r="H25" s="126"/>
      <c r="I25" s="102">
        <v>17160</v>
      </c>
      <c r="J25" s="103" t="s">
        <v>627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17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145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606</v>
      </c>
      <c r="D26" s="64" t="s">
        <v>129</v>
      </c>
      <c r="E26" s="42" t="s">
        <v>115</v>
      </c>
      <c r="F26" s="68" t="s">
        <v>606</v>
      </c>
      <c r="G26" s="64" t="s">
        <v>129</v>
      </c>
      <c r="H26" s="41" t="s">
        <v>115</v>
      </c>
      <c r="I26" s="102">
        <v>960</v>
      </c>
      <c r="J26" s="103" t="s">
        <v>628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17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176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629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17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629</v>
      </c>
      <c r="K28" s="23"/>
      <c r="L28" s="43"/>
      <c r="M28" s="90" t="s">
        <v>290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202</v>
      </c>
      <c r="C29" s="174"/>
      <c r="D29" s="175"/>
      <c r="E29" s="176"/>
      <c r="F29" s="174"/>
      <c r="G29" s="175"/>
      <c r="H29" s="177"/>
      <c r="I29" s="102">
        <v>0</v>
      </c>
      <c r="J29" s="103" t="s">
        <v>629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179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608</v>
      </c>
      <c r="C30" s="164"/>
      <c r="D30" s="164"/>
      <c r="E30" s="164"/>
      <c r="F30" s="164"/>
      <c r="G30" s="164"/>
      <c r="H30" s="165"/>
      <c r="I30" s="102">
        <v>23997.5</v>
      </c>
      <c r="J30" s="103" t="s">
        <v>630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11880</v>
      </c>
      <c r="J31" s="103" t="s">
        <v>631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 t="s">
        <v>588</v>
      </c>
      <c r="C32" s="162"/>
      <c r="D32" s="162"/>
      <c r="E32" s="162"/>
      <c r="F32" s="162"/>
      <c r="G32" s="162"/>
      <c r="H32" s="163"/>
      <c r="I32" s="102">
        <v>1050</v>
      </c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 t="s">
        <v>589</v>
      </c>
      <c r="C33" s="162"/>
      <c r="D33" s="162"/>
      <c r="E33" s="162"/>
      <c r="F33" s="162"/>
      <c r="G33" s="162"/>
      <c r="H33" s="163"/>
      <c r="I33" s="102">
        <v>1000</v>
      </c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 t="s">
        <v>607</v>
      </c>
      <c r="C34" s="162"/>
      <c r="D34" s="162"/>
      <c r="E34" s="162"/>
      <c r="F34" s="162"/>
      <c r="G34" s="162"/>
      <c r="H34" s="163"/>
      <c r="I34" s="102">
        <v>300</v>
      </c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524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309872.3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si="0"/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0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0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17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5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17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5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17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6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5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6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5"/>
        <v>1</v>
      </c>
      <c r="AG46" s="82">
        <v>5</v>
      </c>
      <c r="AH46" s="82"/>
      <c r="AI46" s="86" t="s">
        <v>344</v>
      </c>
      <c r="AJ46" s="82"/>
      <c r="AK46" s="82" t="s">
        <v>545</v>
      </c>
      <c r="AL46" s="82" t="s">
        <v>17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5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5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7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5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7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5"/>
        <v>1</v>
      </c>
      <c r="AG50" s="82">
        <v>9</v>
      </c>
      <c r="AH50" s="82"/>
      <c r="AI50" s="86" t="s">
        <v>345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5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5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8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5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8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5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5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5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9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5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9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14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5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5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5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0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5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0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5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5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5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1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5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1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5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5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5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2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5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2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5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5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5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3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5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3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5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5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5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4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5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4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5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5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5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5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5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5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13</v>
      </c>
      <c r="X82" s="39" t="s">
        <v>14</v>
      </c>
      <c r="Y82" s="39" t="s">
        <v>15</v>
      </c>
      <c r="Z82" s="1" t="s">
        <v>17</v>
      </c>
      <c r="AF82" s="2">
        <f t="shared" si="5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5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5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6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5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6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5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5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5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7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5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7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5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5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5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8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5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8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5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5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5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19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5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19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5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5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5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0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5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0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5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5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5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1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5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1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5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2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2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3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2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3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2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2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230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2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4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2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2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2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231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2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5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2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5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2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2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232</v>
      </c>
      <c r="R120" s="39"/>
      <c r="S120" s="39"/>
      <c r="T120" s="1"/>
      <c r="AF120" s="2">
        <f t="shared" si="22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6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2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6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2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2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2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7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2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7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2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2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476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2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8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2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8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13</v>
      </c>
      <c r="W130" s="39" t="s">
        <v>14</v>
      </c>
      <c r="X130" s="39" t="s">
        <v>15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2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2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477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2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29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2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29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2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2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2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0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2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0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2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2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1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2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1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2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2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204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2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2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2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2"/>
        <v>2</v>
      </c>
      <c r="Q146" s="12" t="s">
        <v>10</v>
      </c>
      <c r="R146" s="1" t="s">
        <v>138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2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2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2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3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2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3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2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2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2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4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2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4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2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2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2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5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2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5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2"/>
        <v>2</v>
      </c>
      <c r="AG158" s="82">
        <v>117</v>
      </c>
      <c r="AH158" s="82"/>
      <c r="AI158" s="86" t="s">
        <v>101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2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2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6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2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6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2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2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2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7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2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7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2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2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524</v>
      </c>
      <c r="AF168" s="2">
        <f t="shared" si="22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196</v>
      </c>
      <c r="AP168" s="82" t="s">
        <v>296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8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2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8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2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202" si="39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39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0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39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0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39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196</v>
      </c>
      <c r="AP174" s="82" t="s">
        <v>296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39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39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1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39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1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39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39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39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2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39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2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39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39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39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3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39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3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39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39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39"/>
        <v>5</v>
      </c>
      <c r="AG188" s="82">
        <v>147</v>
      </c>
      <c r="AH188" s="82"/>
      <c r="AI188" s="86" t="s">
        <v>344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39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39"/>
        <v>1</v>
      </c>
      <c r="AG190" s="82">
        <v>149</v>
      </c>
      <c r="AI190" s="86" t="s">
        <v>349</v>
      </c>
      <c r="AK190" s="82" t="s">
        <v>459</v>
      </c>
      <c r="AL190" s="82" t="s">
        <v>17</v>
      </c>
      <c r="AM190" s="82"/>
    </row>
    <row r="191" spans="16:71">
      <c r="AF191" s="2">
        <f t="shared" si="39"/>
        <v>1</v>
      </c>
      <c r="AG191" s="82">
        <v>150</v>
      </c>
      <c r="AI191" s="86" t="s">
        <v>345</v>
      </c>
      <c r="AL191" s="82" t="s">
        <v>17</v>
      </c>
    </row>
    <row r="192" spans="16:71">
      <c r="AF192" s="2" t="e">
        <f t="shared" si="39"/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39"/>
        <v>5</v>
      </c>
      <c r="AG193" s="82">
        <v>152</v>
      </c>
      <c r="AI193" s="86" t="s">
        <v>524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39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39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39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39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39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39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39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39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39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A5:A15"/>
    <mergeCell ref="E5:H5"/>
    <mergeCell ref="B6:D6"/>
    <mergeCell ref="E6:H6"/>
    <mergeCell ref="E7:F7"/>
    <mergeCell ref="A1:H1"/>
    <mergeCell ref="B3:C3"/>
    <mergeCell ref="E3:F3"/>
    <mergeCell ref="B4:C4"/>
    <mergeCell ref="E4:H4"/>
    <mergeCell ref="A16:A21"/>
    <mergeCell ref="C16:D16"/>
    <mergeCell ref="F16:H16"/>
    <mergeCell ref="C17:D17"/>
    <mergeCell ref="C18:D18"/>
    <mergeCell ref="G8:H8"/>
    <mergeCell ref="G9:H9"/>
    <mergeCell ref="F10:H10"/>
    <mergeCell ref="C11:D11"/>
    <mergeCell ref="F11:H11"/>
    <mergeCell ref="A22:A29"/>
    <mergeCell ref="C22:E22"/>
    <mergeCell ref="F22:H22"/>
    <mergeCell ref="C24:E24"/>
    <mergeCell ref="F24:H24"/>
    <mergeCell ref="F18:H18"/>
    <mergeCell ref="C19:D19"/>
    <mergeCell ref="G19:H19"/>
    <mergeCell ref="C20:D20"/>
    <mergeCell ref="C21:D21"/>
    <mergeCell ref="C25:E25"/>
    <mergeCell ref="F25:H25"/>
    <mergeCell ref="C28:E28"/>
    <mergeCell ref="F28:H28"/>
    <mergeCell ref="C29:E29"/>
    <mergeCell ref="F29:H29"/>
    <mergeCell ref="B30:H30"/>
    <mergeCell ref="A31:A36"/>
    <mergeCell ref="B31:H31"/>
    <mergeCell ref="B32:H32"/>
    <mergeCell ref="B33:H33"/>
    <mergeCell ref="B34:H34"/>
    <mergeCell ref="B35:H35"/>
    <mergeCell ref="B36:H36"/>
  </mergeCells>
  <conditionalFormatting sqref="B21:D21">
    <cfRule type="expression" dxfId="137" priority="16">
      <formula>$O$23=0</formula>
    </cfRule>
  </conditionalFormatting>
  <conditionalFormatting sqref="C18:D18">
    <cfRule type="expression" dxfId="136" priority="25" stopIfTrue="1">
      <formula>$C$16&lt;&gt;"Customized"</formula>
    </cfRule>
  </conditionalFormatting>
  <conditionalFormatting sqref="C28:E28">
    <cfRule type="expression" dxfId="135" priority="4">
      <formula>FIND("ZPI",C26,1)=1</formula>
    </cfRule>
  </conditionalFormatting>
  <conditionalFormatting sqref="D26">
    <cfRule type="expression" dxfId="134" priority="11" stopIfTrue="1">
      <formula>INDIRECT(ADDRESS($N$17+$N$12+13,$N$13-2))&lt;=1</formula>
    </cfRule>
  </conditionalFormatting>
  <conditionalFormatting sqref="D27">
    <cfRule type="expression" dxfId="133" priority="9">
      <formula>$O$24=0</formula>
    </cfRule>
    <cfRule type="expression" dxfId="132" priority="10" stopIfTrue="1">
      <formula>INDIRECT(ADDRESS($N$17+$N$12+17,$N$13-2))&lt;=1</formula>
    </cfRule>
  </conditionalFormatting>
  <conditionalFormatting sqref="E26:E27">
    <cfRule type="expression" dxfId="131" priority="6" stopIfTrue="1">
      <formula>INDIRECT(ADDRESS($N$17+$N$12+14,$N$13-2))&lt;=1</formula>
    </cfRule>
  </conditionalFormatting>
  <conditionalFormatting sqref="E27">
    <cfRule type="expression" dxfId="130" priority="2">
      <formula>FIND("E08",C27,1)&gt;0</formula>
    </cfRule>
  </conditionalFormatting>
  <conditionalFormatting sqref="E20:F20">
    <cfRule type="expression" dxfId="129" priority="18" stopIfTrue="1">
      <formula>INDIRECT(ADDRESS($N$17+$N$12+4,$N$13-2))&lt;=1</formula>
    </cfRule>
  </conditionalFormatting>
  <conditionalFormatting sqref="E21:F21">
    <cfRule type="expression" dxfId="128" priority="17" stopIfTrue="1">
      <formula>INDIRECT(ADDRESS($N$17+$N$12+6,$N$13-2))&lt;=1</formula>
    </cfRule>
  </conditionalFormatting>
  <conditionalFormatting sqref="E21:H21">
    <cfRule type="expression" dxfId="127" priority="15">
      <formula>$O$24=0</formula>
    </cfRule>
  </conditionalFormatting>
  <conditionalFormatting sqref="F28:H28">
    <cfRule type="expression" dxfId="126" priority="3">
      <formula>FIND("ZPI",F26,1)=1</formula>
    </cfRule>
  </conditionalFormatting>
  <conditionalFormatting sqref="G26">
    <cfRule type="expression" dxfId="125" priority="14" stopIfTrue="1">
      <formula>INDIRECT(ADDRESS($N$17+$N$12+13,$N$13-2))&lt;=1</formula>
    </cfRule>
  </conditionalFormatting>
  <conditionalFormatting sqref="G27">
    <cfRule type="expression" dxfId="124" priority="13" stopIfTrue="1">
      <formula>INDIRECT(ADDRESS($N$17+$N$12+17,$N$13-2))&lt;=1</formula>
    </cfRule>
    <cfRule type="expression" dxfId="123" priority="12">
      <formula>$O$24=0</formula>
    </cfRule>
  </conditionalFormatting>
  <conditionalFormatting sqref="G19:H19">
    <cfRule type="expression" dxfId="122" priority="22" stopIfTrue="1">
      <formula>F19=""</formula>
    </cfRule>
  </conditionalFormatting>
  <conditionalFormatting sqref="G20:H20">
    <cfRule type="expression" dxfId="121" priority="20" stopIfTrue="1">
      <formula>INDIRECT(ADDRESS($N$17+$N$12+13,$N$13-2))&lt;=1</formula>
    </cfRule>
  </conditionalFormatting>
  <conditionalFormatting sqref="G21:H21">
    <cfRule type="expression" dxfId="120" priority="19" stopIfTrue="1">
      <formula>INDIRECT(ADDRESS($N$17+$N$12+17,$N$13-2))&lt;=1</formula>
    </cfRule>
  </conditionalFormatting>
  <conditionalFormatting sqref="H12">
    <cfRule type="cellIs" dxfId="119" priority="23" stopIfTrue="1" operator="equal">
      <formula>"2D2G"</formula>
    </cfRule>
    <cfRule type="cellIs" dxfId="118" priority="24" stopIfTrue="1" operator="equal">
      <formula>"1D2G"</formula>
    </cfRule>
  </conditionalFormatting>
  <conditionalFormatting sqref="H17">
    <cfRule type="expression" dxfId="117" priority="8" stopIfTrue="1">
      <formula>INDIRECT(ADDRESS($N$17+$N$12+13,$N$13-2))&lt;=1</formula>
    </cfRule>
  </conditionalFormatting>
  <conditionalFormatting sqref="H26:H27">
    <cfRule type="expression" dxfId="116" priority="5" stopIfTrue="1">
      <formula>INDIRECT(ADDRESS($N$17+$N$12+14,$N$13-2))&lt;=1</formula>
    </cfRule>
  </conditionalFormatting>
  <conditionalFormatting sqref="H27">
    <cfRule type="expression" dxfId="115" priority="1">
      <formula>FIND("E08",F27,1)&gt;0</formula>
    </cfRule>
  </conditionalFormatting>
  <dataValidations count="31">
    <dataValidation type="list" allowBlank="1" showInputMessage="1" showErrorMessage="1" sqref="C26" xr:uid="{00000000-0002-0000-0300-000000000000}">
      <formula1>OFFSET($AK$41,$N$25,,,$O$25)</formula1>
    </dataValidation>
    <dataValidation type="list" allowBlank="1" showInputMessage="1" showErrorMessage="1" sqref="C29:H29" xr:uid="{00000000-0002-0000-0300-000001000000}">
      <formula1>OFFSET($AK$41,$N$27,,,$O$27)</formula1>
    </dataValidation>
    <dataValidation type="list" allowBlank="1" showInputMessage="1" showErrorMessage="1" sqref="C28:H28" xr:uid="{00000000-0002-0000-0300-000002000000}">
      <formula1>OFFSET($AK$41,$N$26,,,$O$26)</formula1>
    </dataValidation>
    <dataValidation type="list" errorStyle="information" allowBlank="1" showInputMessage="1" showErrorMessage="1" sqref="C20:D20" xr:uid="{00000000-0002-0000-0300-000003000000}">
      <formula1>OFFSET($AK$41,$N$23,,,$O$23)</formula1>
    </dataValidation>
    <dataValidation type="list" allowBlank="1" showInputMessage="1" showErrorMessage="1" sqref="H7" xr:uid="{00000000-0002-0000-0300-000004000000}">
      <formula1>OFFSET($AK$41,$N$22,,,$O$22)</formula1>
    </dataValidation>
    <dataValidation type="list" allowBlank="1" showInputMessage="1" showErrorMessage="1" sqref="E6:H6" xr:uid="{00000000-0002-0000-0300-000005000000}">
      <formula1>OFFSET($AK$41,$N$21,,,$O$21)</formula1>
    </dataValidation>
    <dataValidation type="list" allowBlank="1" showInputMessage="1" showErrorMessage="1" sqref="F20" xr:uid="{00000000-0002-0000-0300-000006000000}">
      <formula1>OFFSET($AK$41,$N$24,,,$O$24)</formula1>
    </dataValidation>
    <dataValidation type="list" allowBlank="1" showInputMessage="1" showErrorMessage="1" sqref="H21" xr:uid="{00000000-0002-0000-0300-000007000000}">
      <formula1>OFFSET($AK$41,$N$34,,,$O$34)</formula1>
    </dataValidation>
    <dataValidation type="list" allowBlank="1" showInputMessage="1" showErrorMessage="1" sqref="H27 E27" xr:uid="{00000000-0002-0000-0300-000008000000}">
      <formula1>OFFSET($AK$41,$N$36,,,$O$36)</formula1>
    </dataValidation>
    <dataValidation type="list" allowBlank="1" showInputMessage="1" showErrorMessage="1" sqref="F19" xr:uid="{00000000-0002-0000-0300-000009000000}">
      <formula1>OFFSET($AK$41,$N$38,,,$O$38)</formula1>
    </dataValidation>
    <dataValidation type="list" allowBlank="1" showInputMessage="1" showErrorMessage="1" sqref="E26 H26" xr:uid="{00000000-0002-0000-0300-00000A000000}">
      <formula1>OFFSET($AK$41,$N$29,,,$O$29)</formula1>
    </dataValidation>
    <dataValidation type="list" allowBlank="1" showInputMessage="1" showErrorMessage="1" sqref="F27 C27" xr:uid="{00000000-0002-0000-0300-00000B000000}">
      <formula1>OFFSET($AK$41,$N$35,,,$O$35)</formula1>
    </dataValidation>
    <dataValidation type="list" allowBlank="1" showInputMessage="1" showErrorMessage="1" sqref="H20" xr:uid="{00000000-0002-0000-0300-00000C000000}">
      <formula1>OFFSET($AK$41,$N$28,,,$O$28)</formula1>
    </dataValidation>
    <dataValidation type="list" allowBlank="1" showInputMessage="1" showErrorMessage="1" sqref="C21:D21" xr:uid="{00000000-0002-0000-0300-00000D000000}">
      <formula1>OFFSET($AK$41,$N$32,,,$O$32)</formula1>
    </dataValidation>
    <dataValidation type="list" allowBlank="1" showInputMessage="1" showErrorMessage="1" sqref="C17:D17" xr:uid="{00000000-0002-0000-0300-00000E000000}">
      <formula1>OFFSET($AK$41,$N$31,,,$O$31)</formula1>
    </dataValidation>
    <dataValidation type="list" allowBlank="1" showInputMessage="1" showErrorMessage="1" sqref="F17" xr:uid="{00000000-0002-0000-0300-00000F000000}">
      <formula1>OFFSET($AK$41,$N$37,,,$O$37)</formula1>
    </dataValidation>
    <dataValidation type="list" allowBlank="1" showInputMessage="1" showErrorMessage="1" sqref="F21" xr:uid="{00000000-0002-0000-0300-000010000000}">
      <formula1>OFFSET($AK$41,$N$33,,,$O$33)</formula1>
    </dataValidation>
    <dataValidation type="list" allowBlank="1" showInputMessage="1" showErrorMessage="1" sqref="C16:D16" xr:uid="{00000000-0002-0000-0300-000011000000}">
      <formula1>OFFSET($AK$41,$N$30,,,$O$30)</formula1>
    </dataValidation>
    <dataValidation type="list" allowBlank="1" showInputMessage="1" showErrorMessage="1" sqref="F26" xr:uid="{00000000-0002-0000-0300-000012000000}">
      <formula1>OFFSET(AK41,$N$25,,,$O$25)</formula1>
    </dataValidation>
    <dataValidation type="list" allowBlank="1" showInputMessage="1" showErrorMessage="1" sqref="E3:F3" xr:uid="{00000000-0002-0000-0300-000013000000}">
      <formula1>$R$30:$X$30</formula1>
    </dataValidation>
    <dataValidation type="list" allowBlank="1" showInputMessage="1" showErrorMessage="1" sqref="C19:D19" xr:uid="{00000000-0002-0000-0300-000014000000}">
      <formula1>$R$32:$T$32</formula1>
    </dataValidation>
    <dataValidation type="list" allowBlank="1" showInputMessage="1" showErrorMessage="1" sqref="C23 F23" xr:uid="{00000000-0002-0000-0300-000015000000}">
      <formula1>$R$31:$U$31</formula1>
    </dataValidation>
    <dataValidation type="list" allowBlank="1" showInputMessage="1" showErrorMessage="1" sqref="H17" xr:uid="{00000000-0002-0000-0300-000016000000}">
      <formula1>OFFSET($R$20,$Q$19,,,$R$19)</formula1>
    </dataValidation>
    <dataValidation type="list" allowBlank="1" showInputMessage="1" showErrorMessage="1" sqref="E8" xr:uid="{00000000-0002-0000-0300-000017000000}">
      <formula1>OFFSET($R$39,$N$18,,,$O$18)</formula1>
    </dataValidation>
    <dataValidation type="list" errorStyle="warning" allowBlank="1" showInputMessage="1" showErrorMessage="1" errorTitle="wrong" error="wrong" sqref="C8" xr:uid="{00000000-0002-0000-0300-000018000000}">
      <formula1>OFFSET($R$39,$N$19,,,$O$19)</formula1>
    </dataValidation>
    <dataValidation type="list" allowBlank="1" showInputMessage="1" showErrorMessage="1" sqref="E5:H5" xr:uid="{00000000-0002-0000-0300-000019000000}">
      <formula1>OFFSET($R$8,$N$9,,,$N$10)</formula1>
    </dataValidation>
    <dataValidation type="list" allowBlank="1" showInputMessage="1" showErrorMessage="1" sqref="G19:H19" xr:uid="{00000000-0002-0000-0300-00001A000000}">
      <formula1>"rear wall,two side walls,three side walls"</formula1>
    </dataValidation>
    <dataValidation type="list" allowBlank="1" showInputMessage="1" showErrorMessage="1" sqref="F14" xr:uid="{00000000-0002-0000-0300-00001B000000}">
      <formula1>"Central opening,Side opening"</formula1>
    </dataValidation>
    <dataValidation type="list" allowBlank="1" showInputMessage="1" showErrorMessage="1" sqref="H12" xr:uid="{00000000-0002-0000-0300-00001C000000}">
      <formula1>"1D1G,1D2G,2D2G"</formula1>
    </dataValidation>
    <dataValidation type="list" allowBlank="1" showInputMessage="1" showErrorMessage="1" sqref="C5" xr:uid="{00000000-0002-0000-0300-00001D000000}">
      <formula1>$Q$9:$Q$14</formula1>
    </dataValidation>
    <dataValidation type="list" allowBlank="1" showInputMessage="1" showErrorMessage="1" sqref="C24:H24" xr:uid="{00000000-0002-0000-0300-00001E000000}">
      <formula1>"Steel sill bracket by seller,Concrete sill bracket by local"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202"/>
  <sheetViews>
    <sheetView view="pageBreakPreview" zoomScale="85" zoomScaleNormal="100" zoomScaleSheetLayoutView="85" workbookViewId="0">
      <selection activeCell="B31" sqref="B31:H31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290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85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9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126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159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1</v>
      </c>
      <c r="D7" s="48" t="s">
        <v>45</v>
      </c>
      <c r="E7" s="136" t="s">
        <v>634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177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107" t="s">
        <v>152</v>
      </c>
      <c r="D8" s="48" t="s">
        <v>1</v>
      </c>
      <c r="E8" s="107" t="s">
        <v>91</v>
      </c>
      <c r="F8" s="69" t="s">
        <v>46</v>
      </c>
      <c r="G8" s="140" t="s">
        <v>573</v>
      </c>
      <c r="H8" s="141"/>
      <c r="I8" s="102">
        <v>227960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3</v>
      </c>
      <c r="D9" s="48" t="s">
        <v>48</v>
      </c>
      <c r="E9" s="55">
        <v>3</v>
      </c>
      <c r="F9" s="57" t="s">
        <v>49</v>
      </c>
      <c r="G9" s="136">
        <v>3</v>
      </c>
      <c r="H9" s="137"/>
      <c r="I9" s="102">
        <v>-48930</v>
      </c>
      <c r="J9" s="103" t="s">
        <v>637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54</v>
      </c>
      <c r="F10" s="142" t="s">
        <v>635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522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100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101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2150</v>
      </c>
      <c r="E12" s="48" t="s">
        <v>72</v>
      </c>
      <c r="F12" s="55">
        <v>3400</v>
      </c>
      <c r="G12" s="48" t="s">
        <v>69</v>
      </c>
      <c r="H12" s="41" t="s">
        <v>575</v>
      </c>
      <c r="I12" s="102"/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472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226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9300</v>
      </c>
      <c r="E13" s="48" t="s">
        <v>73</v>
      </c>
      <c r="F13" s="108">
        <v>4600</v>
      </c>
      <c r="G13" s="48" t="s">
        <v>78</v>
      </c>
      <c r="H13" s="109">
        <v>1500</v>
      </c>
      <c r="I13" s="102">
        <v>2898.0000000000009</v>
      </c>
      <c r="J13" s="103" t="s">
        <v>638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227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108">
        <v>1100</v>
      </c>
      <c r="E14" s="48" t="s">
        <v>70</v>
      </c>
      <c r="F14" s="56" t="s">
        <v>636</v>
      </c>
      <c r="G14" s="48" t="s">
        <v>79</v>
      </c>
      <c r="H14" s="58">
        <v>2200</v>
      </c>
      <c r="I14" s="102">
        <v>7080.5</v>
      </c>
      <c r="J14" s="103" t="s">
        <v>639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228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1400</v>
      </c>
      <c r="E15" s="49" t="s">
        <v>71</v>
      </c>
      <c r="F15" s="116">
        <v>2400</v>
      </c>
      <c r="G15" s="49" t="s">
        <v>200</v>
      </c>
      <c r="H15" s="60">
        <v>2300</v>
      </c>
      <c r="I15" s="102"/>
      <c r="J15" s="103"/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229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230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6980</v>
      </c>
      <c r="J17" s="103" t="s">
        <v>640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231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586</v>
      </c>
      <c r="D18" s="125"/>
      <c r="E18" s="48" t="s">
        <v>4</v>
      </c>
      <c r="F18" s="136" t="s">
        <v>586</v>
      </c>
      <c r="G18" s="125"/>
      <c r="H18" s="126"/>
      <c r="I18" s="102">
        <v>17130</v>
      </c>
      <c r="J18" s="103" t="s">
        <v>641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232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2290</v>
      </c>
      <c r="J19" s="103" t="s">
        <v>594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585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5910</v>
      </c>
      <c r="J20" s="103" t="s">
        <v>642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17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17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476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586</v>
      </c>
      <c r="F23" s="56" t="s">
        <v>604</v>
      </c>
      <c r="G23" s="47" t="s">
        <v>83</v>
      </c>
      <c r="H23" s="58" t="s">
        <v>586</v>
      </c>
      <c r="I23" s="102">
        <v>1890</v>
      </c>
      <c r="J23" s="103" t="s">
        <v>643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17</v>
      </c>
      <c r="AB23"/>
      <c r="AC23"/>
      <c r="AD23" s="1"/>
      <c r="AE23" s="1"/>
      <c r="AF23" s="82"/>
      <c r="AG23" s="82"/>
      <c r="AH23" s="82"/>
      <c r="AI23" s="82"/>
      <c r="AJ23" s="93" t="s">
        <v>477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600</v>
      </c>
      <c r="J24" s="103" t="s">
        <v>644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17</v>
      </c>
      <c r="AB24"/>
      <c r="AC24"/>
      <c r="AD24" s="1"/>
      <c r="AE24" s="1"/>
      <c r="AF24" s="82"/>
      <c r="AG24" s="82"/>
      <c r="AH24" s="82"/>
      <c r="AI24" s="82"/>
      <c r="AJ24" s="93" t="s">
        <v>204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586</v>
      </c>
      <c r="D25" s="125"/>
      <c r="E25" s="125"/>
      <c r="F25" s="136" t="s">
        <v>586</v>
      </c>
      <c r="G25" s="125"/>
      <c r="H25" s="126"/>
      <c r="I25" s="102">
        <v>8580</v>
      </c>
      <c r="J25" s="103" t="s">
        <v>645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17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145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606</v>
      </c>
      <c r="D26" s="64" t="s">
        <v>129</v>
      </c>
      <c r="E26" s="42" t="s">
        <v>115</v>
      </c>
      <c r="F26" s="68" t="s">
        <v>606</v>
      </c>
      <c r="G26" s="64" t="s">
        <v>129</v>
      </c>
      <c r="H26" s="41" t="s">
        <v>115</v>
      </c>
      <c r="I26" s="102">
        <v>480</v>
      </c>
      <c r="J26" s="103" t="s">
        <v>646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17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176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647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17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647</v>
      </c>
      <c r="K28" s="23"/>
      <c r="L28" s="43"/>
      <c r="M28" s="90" t="s">
        <v>290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202</v>
      </c>
      <c r="C29" s="174"/>
      <c r="D29" s="175"/>
      <c r="E29" s="176"/>
      <c r="F29" s="174"/>
      <c r="G29" s="175"/>
      <c r="H29" s="177"/>
      <c r="I29" s="102">
        <v>0</v>
      </c>
      <c r="J29" s="103" t="s">
        <v>647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179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617</v>
      </c>
      <c r="C30" s="164"/>
      <c r="D30" s="164"/>
      <c r="E30" s="164"/>
      <c r="F30" s="164"/>
      <c r="G30" s="164"/>
      <c r="H30" s="165"/>
      <c r="I30" s="102">
        <v>27385</v>
      </c>
      <c r="J30" s="103" t="s">
        <v>666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5940</v>
      </c>
      <c r="J31" s="103" t="s">
        <v>648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 t="s">
        <v>588</v>
      </c>
      <c r="C32" s="162"/>
      <c r="D32" s="162"/>
      <c r="E32" s="162"/>
      <c r="F32" s="162"/>
      <c r="G32" s="162"/>
      <c r="H32" s="163"/>
      <c r="I32" s="102">
        <v>1050</v>
      </c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 t="s">
        <v>589</v>
      </c>
      <c r="C33" s="162"/>
      <c r="D33" s="162"/>
      <c r="E33" s="162"/>
      <c r="F33" s="162"/>
      <c r="G33" s="162"/>
      <c r="H33" s="163"/>
      <c r="I33" s="102">
        <v>1000</v>
      </c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 t="s">
        <v>607</v>
      </c>
      <c r="C34" s="162"/>
      <c r="D34" s="162"/>
      <c r="E34" s="162"/>
      <c r="F34" s="162"/>
      <c r="G34" s="162"/>
      <c r="H34" s="163"/>
      <c r="I34" s="102">
        <v>300</v>
      </c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524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268543.5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si="0"/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0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0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17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5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17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5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17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6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5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6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5"/>
        <v>1</v>
      </c>
      <c r="AG46" s="82">
        <v>5</v>
      </c>
      <c r="AH46" s="82"/>
      <c r="AI46" s="86" t="s">
        <v>344</v>
      </c>
      <c r="AJ46" s="82"/>
      <c r="AK46" s="82" t="s">
        <v>545</v>
      </c>
      <c r="AL46" s="82" t="s">
        <v>17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5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5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7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5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7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5"/>
        <v>1</v>
      </c>
      <c r="AG50" s="82">
        <v>9</v>
      </c>
      <c r="AH50" s="82"/>
      <c r="AI50" s="86" t="s">
        <v>345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5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5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8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5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8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5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5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5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9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5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9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14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5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5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5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0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5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0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5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5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5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1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5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1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5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5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5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2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5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2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5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5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5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3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5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3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5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5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5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4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5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4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5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5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5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5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5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5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13</v>
      </c>
      <c r="X82" s="39" t="s">
        <v>14</v>
      </c>
      <c r="Y82" s="39" t="s">
        <v>15</v>
      </c>
      <c r="Z82" s="1" t="s">
        <v>17</v>
      </c>
      <c r="AF82" s="2">
        <f t="shared" si="5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5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5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6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5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6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5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5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5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7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5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7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5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5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5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8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5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8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5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5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5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19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5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19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5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5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5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0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5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0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5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5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5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1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5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1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5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2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2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3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2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3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2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2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230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2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4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2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2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2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231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2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5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2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5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2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2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232</v>
      </c>
      <c r="R120" s="39"/>
      <c r="S120" s="39"/>
      <c r="T120" s="1"/>
      <c r="AF120" s="2">
        <f t="shared" si="22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6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2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6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2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2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2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7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2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7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2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2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476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2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8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2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8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13</v>
      </c>
      <c r="W130" s="39" t="s">
        <v>14</v>
      </c>
      <c r="X130" s="39" t="s">
        <v>15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2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2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477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2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29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2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29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2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2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2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0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2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0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2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2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1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2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1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2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2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204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2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2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2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2"/>
        <v>2</v>
      </c>
      <c r="Q146" s="12" t="s">
        <v>10</v>
      </c>
      <c r="R146" s="1" t="s">
        <v>138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2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2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2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3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2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3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2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2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2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4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2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4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2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2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2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5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2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5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2"/>
        <v>2</v>
      </c>
      <c r="AG158" s="82">
        <v>117</v>
      </c>
      <c r="AH158" s="82"/>
      <c r="AI158" s="86" t="s">
        <v>101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2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2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6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2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6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2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2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2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7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2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7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2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2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524</v>
      </c>
      <c r="AF168" s="2">
        <f t="shared" si="22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196</v>
      </c>
      <c r="AP168" s="82" t="s">
        <v>296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8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2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8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2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202" si="39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39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0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39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0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39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196</v>
      </c>
      <c r="AP174" s="82" t="s">
        <v>296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39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39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1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39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1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39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39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39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2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39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2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39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39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39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3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39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3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39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39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39"/>
        <v>5</v>
      </c>
      <c r="AG188" s="82">
        <v>147</v>
      </c>
      <c r="AH188" s="82"/>
      <c r="AI188" s="86" t="s">
        <v>344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39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39"/>
        <v>1</v>
      </c>
      <c r="AG190" s="82">
        <v>149</v>
      </c>
      <c r="AI190" s="86" t="s">
        <v>349</v>
      </c>
      <c r="AK190" s="82" t="s">
        <v>459</v>
      </c>
      <c r="AL190" s="82" t="s">
        <v>17</v>
      </c>
      <c r="AM190" s="82"/>
    </row>
    <row r="191" spans="16:71">
      <c r="AF191" s="2">
        <f t="shared" si="39"/>
        <v>1</v>
      </c>
      <c r="AG191" s="82">
        <v>150</v>
      </c>
      <c r="AI191" s="86" t="s">
        <v>345</v>
      </c>
      <c r="AL191" s="82" t="s">
        <v>17</v>
      </c>
    </row>
    <row r="192" spans="16:71">
      <c r="AF192" s="2" t="e">
        <f t="shared" si="39"/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39"/>
        <v>5</v>
      </c>
      <c r="AG193" s="82">
        <v>152</v>
      </c>
      <c r="AI193" s="86" t="s">
        <v>524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39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39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39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39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39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39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39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39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39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A5:A15"/>
    <mergeCell ref="E5:H5"/>
    <mergeCell ref="B6:D6"/>
    <mergeCell ref="E6:H6"/>
    <mergeCell ref="E7:F7"/>
    <mergeCell ref="A1:H1"/>
    <mergeCell ref="B3:C3"/>
    <mergeCell ref="E3:F3"/>
    <mergeCell ref="B4:C4"/>
    <mergeCell ref="E4:H4"/>
    <mergeCell ref="A16:A21"/>
    <mergeCell ref="C16:D16"/>
    <mergeCell ref="F16:H16"/>
    <mergeCell ref="C17:D17"/>
    <mergeCell ref="C18:D18"/>
    <mergeCell ref="G8:H8"/>
    <mergeCell ref="G9:H9"/>
    <mergeCell ref="F10:H10"/>
    <mergeCell ref="C11:D11"/>
    <mergeCell ref="F11:H11"/>
    <mergeCell ref="A22:A29"/>
    <mergeCell ref="C22:E22"/>
    <mergeCell ref="F22:H22"/>
    <mergeCell ref="C24:E24"/>
    <mergeCell ref="F24:H24"/>
    <mergeCell ref="F18:H18"/>
    <mergeCell ref="C19:D19"/>
    <mergeCell ref="G19:H19"/>
    <mergeCell ref="C20:D20"/>
    <mergeCell ref="C21:D21"/>
    <mergeCell ref="C25:E25"/>
    <mergeCell ref="F25:H25"/>
    <mergeCell ref="C28:E28"/>
    <mergeCell ref="F28:H28"/>
    <mergeCell ref="C29:E29"/>
    <mergeCell ref="F29:H29"/>
    <mergeCell ref="B30:H30"/>
    <mergeCell ref="A31:A36"/>
    <mergeCell ref="B31:H31"/>
    <mergeCell ref="B32:H32"/>
    <mergeCell ref="B33:H33"/>
    <mergeCell ref="B34:H34"/>
    <mergeCell ref="B35:H35"/>
    <mergeCell ref="B36:H36"/>
  </mergeCells>
  <conditionalFormatting sqref="B21:D21">
    <cfRule type="expression" dxfId="114" priority="16">
      <formula>$O$23=0</formula>
    </cfRule>
  </conditionalFormatting>
  <conditionalFormatting sqref="C18:D18">
    <cfRule type="expression" dxfId="113" priority="25" stopIfTrue="1">
      <formula>$C$16&lt;&gt;"Customized"</formula>
    </cfRule>
  </conditionalFormatting>
  <conditionalFormatting sqref="C28:E28">
    <cfRule type="expression" dxfId="112" priority="4">
      <formula>FIND("ZPI",C26,1)=1</formula>
    </cfRule>
  </conditionalFormatting>
  <conditionalFormatting sqref="D26">
    <cfRule type="expression" dxfId="111" priority="11" stopIfTrue="1">
      <formula>INDIRECT(ADDRESS($N$17+$N$12+13,$N$13-2))&lt;=1</formula>
    </cfRule>
  </conditionalFormatting>
  <conditionalFormatting sqref="D27">
    <cfRule type="expression" dxfId="110" priority="9">
      <formula>$O$24=0</formula>
    </cfRule>
    <cfRule type="expression" dxfId="109" priority="10" stopIfTrue="1">
      <formula>INDIRECT(ADDRESS($N$17+$N$12+17,$N$13-2))&lt;=1</formula>
    </cfRule>
  </conditionalFormatting>
  <conditionalFormatting sqref="E26:E27">
    <cfRule type="expression" dxfId="108" priority="6" stopIfTrue="1">
      <formula>INDIRECT(ADDRESS($N$17+$N$12+14,$N$13-2))&lt;=1</formula>
    </cfRule>
  </conditionalFormatting>
  <conditionalFormatting sqref="E27">
    <cfRule type="expression" dxfId="107" priority="2">
      <formula>FIND("E08",C27,1)&gt;0</formula>
    </cfRule>
  </conditionalFormatting>
  <conditionalFormatting sqref="E20:F20">
    <cfRule type="expression" dxfId="106" priority="18" stopIfTrue="1">
      <formula>INDIRECT(ADDRESS($N$17+$N$12+4,$N$13-2))&lt;=1</formula>
    </cfRule>
  </conditionalFormatting>
  <conditionalFormatting sqref="E21:F21">
    <cfRule type="expression" dxfId="105" priority="17" stopIfTrue="1">
      <formula>INDIRECT(ADDRESS($N$17+$N$12+6,$N$13-2))&lt;=1</formula>
    </cfRule>
  </conditionalFormatting>
  <conditionalFormatting sqref="E21:H21">
    <cfRule type="expression" dxfId="104" priority="15">
      <formula>$O$24=0</formula>
    </cfRule>
  </conditionalFormatting>
  <conditionalFormatting sqref="F28:H28">
    <cfRule type="expression" dxfId="103" priority="3">
      <formula>FIND("ZPI",F26,1)=1</formula>
    </cfRule>
  </conditionalFormatting>
  <conditionalFormatting sqref="G26">
    <cfRule type="expression" dxfId="102" priority="14" stopIfTrue="1">
      <formula>INDIRECT(ADDRESS($N$17+$N$12+13,$N$13-2))&lt;=1</formula>
    </cfRule>
  </conditionalFormatting>
  <conditionalFormatting sqref="G27">
    <cfRule type="expression" dxfId="101" priority="13" stopIfTrue="1">
      <formula>INDIRECT(ADDRESS($N$17+$N$12+17,$N$13-2))&lt;=1</formula>
    </cfRule>
    <cfRule type="expression" dxfId="100" priority="12">
      <formula>$O$24=0</formula>
    </cfRule>
  </conditionalFormatting>
  <conditionalFormatting sqref="G19:H19">
    <cfRule type="expression" dxfId="99" priority="22" stopIfTrue="1">
      <formula>F19=""</formula>
    </cfRule>
  </conditionalFormatting>
  <conditionalFormatting sqref="G20:H20">
    <cfRule type="expression" dxfId="98" priority="20" stopIfTrue="1">
      <formula>INDIRECT(ADDRESS($N$17+$N$12+13,$N$13-2))&lt;=1</formula>
    </cfRule>
  </conditionalFormatting>
  <conditionalFormatting sqref="G21:H21">
    <cfRule type="expression" dxfId="97" priority="19" stopIfTrue="1">
      <formula>INDIRECT(ADDRESS($N$17+$N$12+17,$N$13-2))&lt;=1</formula>
    </cfRule>
  </conditionalFormatting>
  <conditionalFormatting sqref="H12">
    <cfRule type="cellIs" dxfId="96" priority="23" stopIfTrue="1" operator="equal">
      <formula>"2D2G"</formula>
    </cfRule>
    <cfRule type="cellIs" dxfId="95" priority="24" stopIfTrue="1" operator="equal">
      <formula>"1D2G"</formula>
    </cfRule>
  </conditionalFormatting>
  <conditionalFormatting sqref="H17">
    <cfRule type="expression" dxfId="94" priority="8" stopIfTrue="1">
      <formula>INDIRECT(ADDRESS($N$17+$N$12+13,$N$13-2))&lt;=1</formula>
    </cfRule>
  </conditionalFormatting>
  <conditionalFormatting sqref="H26:H27">
    <cfRule type="expression" dxfId="93" priority="5" stopIfTrue="1">
      <formula>INDIRECT(ADDRESS($N$17+$N$12+14,$N$13-2))&lt;=1</formula>
    </cfRule>
  </conditionalFormatting>
  <conditionalFormatting sqref="H27">
    <cfRule type="expression" dxfId="92" priority="1">
      <formula>FIND("E08",F27,1)&gt;0</formula>
    </cfRule>
  </conditionalFormatting>
  <dataValidations count="31">
    <dataValidation type="list" allowBlank="1" showInputMessage="1" showErrorMessage="1" sqref="C24:H24" xr:uid="{00000000-0002-0000-0400-000000000000}">
      <formula1>"Steel sill bracket by seller,Concrete sill bracket by local"</formula1>
    </dataValidation>
    <dataValidation type="list" allowBlank="1" showInputMessage="1" showErrorMessage="1" sqref="C5" xr:uid="{00000000-0002-0000-0400-000001000000}">
      <formula1>$Q$9:$Q$14</formula1>
    </dataValidation>
    <dataValidation type="list" allowBlank="1" showInputMessage="1" showErrorMessage="1" sqref="H12" xr:uid="{00000000-0002-0000-0400-000002000000}">
      <formula1>"1D1G,1D2G,2D2G"</formula1>
    </dataValidation>
    <dataValidation type="list" allowBlank="1" showInputMessage="1" showErrorMessage="1" sqref="F14" xr:uid="{00000000-0002-0000-0400-000003000000}">
      <formula1>"Central opening,Side opening"</formula1>
    </dataValidation>
    <dataValidation type="list" allowBlank="1" showInputMessage="1" showErrorMessage="1" sqref="G19:H19" xr:uid="{00000000-0002-0000-0400-000004000000}">
      <formula1>"rear wall,two side walls,three side walls"</formula1>
    </dataValidation>
    <dataValidation type="list" allowBlank="1" showInputMessage="1" showErrorMessage="1" sqref="E5:H5" xr:uid="{00000000-0002-0000-0400-000005000000}">
      <formula1>OFFSET($R$8,$N$9,,,$N$10)</formula1>
    </dataValidation>
    <dataValidation type="list" errorStyle="warning" allowBlank="1" showInputMessage="1" showErrorMessage="1" errorTitle="wrong" error="wrong" sqref="C8" xr:uid="{00000000-0002-0000-0400-000006000000}">
      <formula1>OFFSET($R$39,$N$19,,,$O$19)</formula1>
    </dataValidation>
    <dataValidation type="list" allowBlank="1" showInputMessage="1" showErrorMessage="1" sqref="E8" xr:uid="{00000000-0002-0000-0400-000007000000}">
      <formula1>OFFSET($R$39,$N$18,,,$O$18)</formula1>
    </dataValidation>
    <dataValidation type="list" allowBlank="1" showInputMessage="1" showErrorMessage="1" sqref="H17" xr:uid="{00000000-0002-0000-0400-000008000000}">
      <formula1>OFFSET($R$20,$Q$19,,,$R$19)</formula1>
    </dataValidation>
    <dataValidation type="list" allowBlank="1" showInputMessage="1" showErrorMessage="1" sqref="C23 F23" xr:uid="{00000000-0002-0000-0400-000009000000}">
      <formula1>$R$31:$U$31</formula1>
    </dataValidation>
    <dataValidation type="list" allowBlank="1" showInputMessage="1" showErrorMessage="1" sqref="C19:D19" xr:uid="{00000000-0002-0000-0400-00000A000000}">
      <formula1>$R$32:$T$32</formula1>
    </dataValidation>
    <dataValidation type="list" allowBlank="1" showInputMessage="1" showErrorMessage="1" sqref="E3:F3" xr:uid="{00000000-0002-0000-0400-00000B000000}">
      <formula1>$R$30:$X$30</formula1>
    </dataValidation>
    <dataValidation type="list" allowBlank="1" showInputMessage="1" showErrorMessage="1" sqref="F26" xr:uid="{00000000-0002-0000-0400-00000C000000}">
      <formula1>OFFSET(AK41,$N$25,,,$O$25)</formula1>
    </dataValidation>
    <dataValidation type="list" allowBlank="1" showInputMessage="1" showErrorMessage="1" sqref="C16:D16" xr:uid="{00000000-0002-0000-0400-00000D000000}">
      <formula1>OFFSET($AK$41,$N$30,,,$O$30)</formula1>
    </dataValidation>
    <dataValidation type="list" allowBlank="1" showInputMessage="1" showErrorMessage="1" sqref="F21" xr:uid="{00000000-0002-0000-0400-00000E000000}">
      <formula1>OFFSET($AK$41,$N$33,,,$O$33)</formula1>
    </dataValidation>
    <dataValidation type="list" allowBlank="1" showInputMessage="1" showErrorMessage="1" sqref="F17" xr:uid="{00000000-0002-0000-0400-00000F000000}">
      <formula1>OFFSET($AK$41,$N$37,,,$O$37)</formula1>
    </dataValidation>
    <dataValidation type="list" allowBlank="1" showInputMessage="1" showErrorMessage="1" sqref="C17:D17" xr:uid="{00000000-0002-0000-0400-000010000000}">
      <formula1>OFFSET($AK$41,$N$31,,,$O$31)</formula1>
    </dataValidation>
    <dataValidation type="list" allowBlank="1" showInputMessage="1" showErrorMessage="1" sqref="C21:D21" xr:uid="{00000000-0002-0000-0400-000011000000}">
      <formula1>OFFSET($AK$41,$N$32,,,$O$32)</formula1>
    </dataValidation>
    <dataValidation type="list" allowBlank="1" showInputMessage="1" showErrorMessage="1" sqref="H20" xr:uid="{00000000-0002-0000-0400-000012000000}">
      <formula1>OFFSET($AK$41,$N$28,,,$O$28)</formula1>
    </dataValidation>
    <dataValidation type="list" allowBlank="1" showInputMessage="1" showErrorMessage="1" sqref="F27 C27" xr:uid="{00000000-0002-0000-0400-000013000000}">
      <formula1>OFFSET($AK$41,$N$35,,,$O$35)</formula1>
    </dataValidation>
    <dataValidation type="list" allowBlank="1" showInputMessage="1" showErrorMessage="1" sqref="E26 H26" xr:uid="{00000000-0002-0000-0400-000014000000}">
      <formula1>OFFSET($AK$41,$N$29,,,$O$29)</formula1>
    </dataValidation>
    <dataValidation type="list" allowBlank="1" showInputMessage="1" showErrorMessage="1" sqref="F19" xr:uid="{00000000-0002-0000-0400-000015000000}">
      <formula1>OFFSET($AK$41,$N$38,,,$O$38)</formula1>
    </dataValidation>
    <dataValidation type="list" allowBlank="1" showInputMessage="1" showErrorMessage="1" sqref="H27 E27" xr:uid="{00000000-0002-0000-0400-000016000000}">
      <formula1>OFFSET($AK$41,$N$36,,,$O$36)</formula1>
    </dataValidation>
    <dataValidation type="list" allowBlank="1" showInputMessage="1" showErrorMessage="1" sqref="H21" xr:uid="{00000000-0002-0000-0400-000017000000}">
      <formula1>OFFSET($AK$41,$N$34,,,$O$34)</formula1>
    </dataValidation>
    <dataValidation type="list" allowBlank="1" showInputMessage="1" showErrorMessage="1" sqref="F20" xr:uid="{00000000-0002-0000-0400-000018000000}">
      <formula1>OFFSET($AK$41,$N$24,,,$O$24)</formula1>
    </dataValidation>
    <dataValidation type="list" allowBlank="1" showInputMessage="1" showErrorMessage="1" sqref="E6:H6" xr:uid="{00000000-0002-0000-0400-000019000000}">
      <formula1>OFFSET($AK$41,$N$21,,,$O$21)</formula1>
    </dataValidation>
    <dataValidation type="list" allowBlank="1" showInputMessage="1" showErrorMessage="1" sqref="H7" xr:uid="{00000000-0002-0000-0400-00001A000000}">
      <formula1>OFFSET($AK$41,$N$22,,,$O$22)</formula1>
    </dataValidation>
    <dataValidation type="list" errorStyle="information" allowBlank="1" showInputMessage="1" showErrorMessage="1" sqref="C20:D20" xr:uid="{00000000-0002-0000-0400-00001B000000}">
      <formula1>OFFSET($AK$41,$N$23,,,$O$23)</formula1>
    </dataValidation>
    <dataValidation type="list" allowBlank="1" showInputMessage="1" showErrorMessage="1" sqref="C28:H28" xr:uid="{00000000-0002-0000-0400-00001C000000}">
      <formula1>OFFSET($AK$41,$N$26,,,$O$26)</formula1>
    </dataValidation>
    <dataValidation type="list" allowBlank="1" showInputMessage="1" showErrorMessage="1" sqref="C29:H29" xr:uid="{00000000-0002-0000-0400-00001D000000}">
      <formula1>OFFSET($AK$41,$N$27,,,$O$27)</formula1>
    </dataValidation>
    <dataValidation type="list" allowBlank="1" showInputMessage="1" showErrorMessage="1" sqref="C26" xr:uid="{00000000-0002-0000-0400-00001E000000}">
      <formula1>OFFSET($AK$41,$N$25,,,$O$25)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02"/>
  <sheetViews>
    <sheetView view="pageBreakPreview" zoomScale="85" zoomScaleNormal="100" zoomScaleSheetLayoutView="85" workbookViewId="0">
      <selection activeCell="B31" sqref="B31:H31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290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85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9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126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159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1</v>
      </c>
      <c r="D7" s="48" t="s">
        <v>45</v>
      </c>
      <c r="E7" s="136" t="s">
        <v>649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177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56" t="s">
        <v>650</v>
      </c>
      <c r="D8" s="48" t="s">
        <v>1</v>
      </c>
      <c r="E8" s="56" t="s">
        <v>95</v>
      </c>
      <c r="F8" s="69" t="s">
        <v>46</v>
      </c>
      <c r="G8" s="140" t="s">
        <v>573</v>
      </c>
      <c r="H8" s="141"/>
      <c r="I8" s="102">
        <v>231110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7</v>
      </c>
      <c r="D9" s="48" t="s">
        <v>48</v>
      </c>
      <c r="E9" s="55">
        <v>7</v>
      </c>
      <c r="F9" s="57" t="s">
        <v>49</v>
      </c>
      <c r="G9" s="136">
        <v>7</v>
      </c>
      <c r="H9" s="137"/>
      <c r="I9" s="102">
        <v>7060</v>
      </c>
      <c r="J9" s="103" t="s">
        <v>654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54</v>
      </c>
      <c r="F10" s="142" t="s">
        <v>574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522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100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101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2600</v>
      </c>
      <c r="E12" s="48" t="s">
        <v>72</v>
      </c>
      <c r="F12" s="55">
        <v>3150</v>
      </c>
      <c r="G12" s="48" t="s">
        <v>69</v>
      </c>
      <c r="H12" s="41" t="s">
        <v>575</v>
      </c>
      <c r="I12" s="102"/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472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226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24450</v>
      </c>
      <c r="E13" s="48" t="s">
        <v>73</v>
      </c>
      <c r="F13" s="108">
        <v>4300</v>
      </c>
      <c r="G13" s="48" t="s">
        <v>78</v>
      </c>
      <c r="H13" s="109">
        <v>1400</v>
      </c>
      <c r="I13" s="102">
        <v>3989.9999999999968</v>
      </c>
      <c r="J13" s="103" t="s">
        <v>655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227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108">
        <v>1200</v>
      </c>
      <c r="E14" s="48" t="s">
        <v>70</v>
      </c>
      <c r="F14" s="56" t="s">
        <v>576</v>
      </c>
      <c r="G14" s="48" t="s">
        <v>79</v>
      </c>
      <c r="H14" s="58">
        <v>2200</v>
      </c>
      <c r="I14" s="102">
        <v>4674.5</v>
      </c>
      <c r="J14" s="103" t="s">
        <v>656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228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1500</v>
      </c>
      <c r="E15" s="49" t="s">
        <v>71</v>
      </c>
      <c r="F15" s="59">
        <v>2700</v>
      </c>
      <c r="G15" s="49" t="s">
        <v>200</v>
      </c>
      <c r="H15" s="60">
        <v>2300</v>
      </c>
      <c r="I15" s="102"/>
      <c r="J15" s="103"/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229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230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8720</v>
      </c>
      <c r="J17" s="103" t="s">
        <v>657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231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581</v>
      </c>
      <c r="D18" s="125"/>
      <c r="E18" s="48" t="s">
        <v>4</v>
      </c>
      <c r="F18" s="136" t="s">
        <v>581</v>
      </c>
      <c r="G18" s="125"/>
      <c r="H18" s="126"/>
      <c r="I18" s="102">
        <v>7550</v>
      </c>
      <c r="J18" s="103" t="s">
        <v>658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232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2730</v>
      </c>
      <c r="J19" s="103" t="s">
        <v>659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651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0</v>
      </c>
      <c r="J20" s="103" t="s">
        <v>660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17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17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476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581</v>
      </c>
      <c r="F23" s="56" t="s">
        <v>604</v>
      </c>
      <c r="G23" s="47" t="s">
        <v>83</v>
      </c>
      <c r="H23" s="58" t="s">
        <v>581</v>
      </c>
      <c r="I23" s="102">
        <v>2310</v>
      </c>
      <c r="J23" s="103" t="s">
        <v>661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17</v>
      </c>
      <c r="AB23"/>
      <c r="AC23"/>
      <c r="AD23" s="1"/>
      <c r="AE23" s="1"/>
      <c r="AF23" s="82"/>
      <c r="AG23" s="82"/>
      <c r="AH23" s="82"/>
      <c r="AI23" s="82"/>
      <c r="AJ23" s="93" t="s">
        <v>477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1400</v>
      </c>
      <c r="J24" s="103" t="s">
        <v>612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17</v>
      </c>
      <c r="AB24"/>
      <c r="AC24"/>
      <c r="AD24" s="1"/>
      <c r="AE24" s="1"/>
      <c r="AF24" s="82"/>
      <c r="AG24" s="82"/>
      <c r="AH24" s="82"/>
      <c r="AI24" s="82"/>
      <c r="AJ24" s="93" t="s">
        <v>204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581</v>
      </c>
      <c r="D25" s="125"/>
      <c r="E25" s="125"/>
      <c r="F25" s="136" t="s">
        <v>581</v>
      </c>
      <c r="G25" s="125"/>
      <c r="H25" s="126"/>
      <c r="I25" s="102">
        <v>10920</v>
      </c>
      <c r="J25" s="103" t="s">
        <v>662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17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145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652</v>
      </c>
      <c r="D26" s="64" t="s">
        <v>129</v>
      </c>
      <c r="E26" s="42" t="s">
        <v>115</v>
      </c>
      <c r="F26" s="68" t="s">
        <v>652</v>
      </c>
      <c r="G26" s="64" t="s">
        <v>129</v>
      </c>
      <c r="H26" s="41" t="s">
        <v>115</v>
      </c>
      <c r="I26" s="102">
        <v>0</v>
      </c>
      <c r="J26" s="103" t="s">
        <v>663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17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176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615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17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615</v>
      </c>
      <c r="K28" s="23"/>
      <c r="L28" s="43"/>
      <c r="M28" s="90" t="s">
        <v>290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202</v>
      </c>
      <c r="C29" s="174"/>
      <c r="D29" s="175"/>
      <c r="E29" s="176"/>
      <c r="F29" s="174"/>
      <c r="G29" s="175"/>
      <c r="H29" s="177"/>
      <c r="I29" s="102">
        <v>0</v>
      </c>
      <c r="J29" s="103" t="s">
        <v>615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179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653</v>
      </c>
      <c r="C30" s="164"/>
      <c r="D30" s="164"/>
      <c r="E30" s="164"/>
      <c r="F30" s="164"/>
      <c r="G30" s="164"/>
      <c r="H30" s="165"/>
      <c r="I30" s="102">
        <v>18322.5</v>
      </c>
      <c r="J30" s="103" t="s">
        <v>664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13860</v>
      </c>
      <c r="J31" s="103" t="s">
        <v>616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>
        <v>2</v>
      </c>
      <c r="C32" s="162"/>
      <c r="D32" s="162"/>
      <c r="E32" s="162"/>
      <c r="F32" s="162"/>
      <c r="G32" s="162"/>
      <c r="H32" s="163"/>
      <c r="I32" s="102"/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>
        <v>3</v>
      </c>
      <c r="C33" s="162"/>
      <c r="D33" s="162"/>
      <c r="E33" s="162"/>
      <c r="F33" s="162"/>
      <c r="G33" s="162"/>
      <c r="H33" s="163"/>
      <c r="I33" s="102"/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>
        <v>4</v>
      </c>
      <c r="C34" s="162"/>
      <c r="D34" s="162"/>
      <c r="E34" s="162"/>
      <c r="F34" s="162"/>
      <c r="G34" s="162"/>
      <c r="H34" s="163"/>
      <c r="I34" s="102"/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524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312647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si="0"/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0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0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17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5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17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5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17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6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5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6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5"/>
        <v>1</v>
      </c>
      <c r="AG46" s="82">
        <v>5</v>
      </c>
      <c r="AH46" s="82"/>
      <c r="AI46" s="86" t="s">
        <v>344</v>
      </c>
      <c r="AJ46" s="82"/>
      <c r="AK46" s="82" t="s">
        <v>545</v>
      </c>
      <c r="AL46" s="82" t="s">
        <v>17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5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5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7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5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7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5"/>
        <v>1</v>
      </c>
      <c r="AG50" s="82">
        <v>9</v>
      </c>
      <c r="AH50" s="82"/>
      <c r="AI50" s="86" t="s">
        <v>345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5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5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8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5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8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5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5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5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9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5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9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14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5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5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5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0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5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0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5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5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5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1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5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1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5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5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5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2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5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2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5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5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5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3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5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3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5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5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5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4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5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4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5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5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5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5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5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5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13</v>
      </c>
      <c r="X82" s="39" t="s">
        <v>14</v>
      </c>
      <c r="Y82" s="39" t="s">
        <v>15</v>
      </c>
      <c r="Z82" s="1" t="s">
        <v>17</v>
      </c>
      <c r="AF82" s="2">
        <f t="shared" si="5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5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5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6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5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6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5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5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5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7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5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7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5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5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5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8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5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8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5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5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5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19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5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19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5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5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5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0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5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0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5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5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5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1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5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1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5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2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2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3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2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3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2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2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230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2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4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2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2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2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231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2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5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2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5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2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2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232</v>
      </c>
      <c r="R120" s="39"/>
      <c r="S120" s="39"/>
      <c r="T120" s="1"/>
      <c r="AF120" s="2">
        <f t="shared" si="22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6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2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6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2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2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2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7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2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7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2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2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476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2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8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2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8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13</v>
      </c>
      <c r="W130" s="39" t="s">
        <v>14</v>
      </c>
      <c r="X130" s="39" t="s">
        <v>15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2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2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477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2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29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2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29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2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2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2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0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2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0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2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2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1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2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1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2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2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204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2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2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2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2"/>
        <v>2</v>
      </c>
      <c r="Q146" s="12" t="s">
        <v>10</v>
      </c>
      <c r="R146" s="1" t="s">
        <v>138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2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2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2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3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2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3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2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2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2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4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2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4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2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2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2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5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2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5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2"/>
        <v>2</v>
      </c>
      <c r="AG158" s="82">
        <v>117</v>
      </c>
      <c r="AH158" s="82"/>
      <c r="AI158" s="86" t="s">
        <v>101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2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2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6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2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6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2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2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2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7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2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7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2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2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524</v>
      </c>
      <c r="AF168" s="2">
        <f t="shared" si="22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196</v>
      </c>
      <c r="AP168" s="82" t="s">
        <v>296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8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2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8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2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202" si="39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39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0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39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0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39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196</v>
      </c>
      <c r="AP174" s="82" t="s">
        <v>296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39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39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1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39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1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39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39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39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2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39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2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39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39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39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3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39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3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39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39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39"/>
        <v>5</v>
      </c>
      <c r="AG188" s="82">
        <v>147</v>
      </c>
      <c r="AH188" s="82"/>
      <c r="AI188" s="86" t="s">
        <v>344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39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39"/>
        <v>1</v>
      </c>
      <c r="AG190" s="82">
        <v>149</v>
      </c>
      <c r="AI190" s="86" t="s">
        <v>349</v>
      </c>
      <c r="AK190" s="82" t="s">
        <v>459</v>
      </c>
      <c r="AL190" s="82" t="s">
        <v>17</v>
      </c>
      <c r="AM190" s="82"/>
    </row>
    <row r="191" spans="16:71">
      <c r="AF191" s="2">
        <f t="shared" si="39"/>
        <v>1</v>
      </c>
      <c r="AG191" s="82">
        <v>150</v>
      </c>
      <c r="AI191" s="86" t="s">
        <v>345</v>
      </c>
      <c r="AL191" s="82" t="s">
        <v>17</v>
      </c>
    </row>
    <row r="192" spans="16:71">
      <c r="AF192" s="2" t="e">
        <f t="shared" si="39"/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39"/>
        <v>5</v>
      </c>
      <c r="AG193" s="82">
        <v>152</v>
      </c>
      <c r="AI193" s="86" t="s">
        <v>524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39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39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39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39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39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39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39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39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39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A5:A15"/>
    <mergeCell ref="E5:H5"/>
    <mergeCell ref="B6:D6"/>
    <mergeCell ref="E6:H6"/>
    <mergeCell ref="E7:F7"/>
    <mergeCell ref="A1:H1"/>
    <mergeCell ref="B3:C3"/>
    <mergeCell ref="E3:F3"/>
    <mergeCell ref="B4:C4"/>
    <mergeCell ref="E4:H4"/>
    <mergeCell ref="A16:A21"/>
    <mergeCell ref="C16:D16"/>
    <mergeCell ref="F16:H16"/>
    <mergeCell ref="C17:D17"/>
    <mergeCell ref="C18:D18"/>
    <mergeCell ref="G8:H8"/>
    <mergeCell ref="G9:H9"/>
    <mergeCell ref="F10:H10"/>
    <mergeCell ref="C11:D11"/>
    <mergeCell ref="F11:H11"/>
    <mergeCell ref="A22:A29"/>
    <mergeCell ref="C22:E22"/>
    <mergeCell ref="F22:H22"/>
    <mergeCell ref="C24:E24"/>
    <mergeCell ref="F24:H24"/>
    <mergeCell ref="F18:H18"/>
    <mergeCell ref="C19:D19"/>
    <mergeCell ref="G19:H19"/>
    <mergeCell ref="C20:D20"/>
    <mergeCell ref="C21:D21"/>
    <mergeCell ref="C25:E25"/>
    <mergeCell ref="F25:H25"/>
    <mergeCell ref="C28:E28"/>
    <mergeCell ref="F28:H28"/>
    <mergeCell ref="C29:E29"/>
    <mergeCell ref="F29:H29"/>
    <mergeCell ref="B30:H30"/>
    <mergeCell ref="A31:A36"/>
    <mergeCell ref="B31:H31"/>
    <mergeCell ref="B32:H32"/>
    <mergeCell ref="B33:H33"/>
    <mergeCell ref="B34:H34"/>
    <mergeCell ref="B35:H35"/>
    <mergeCell ref="B36:H36"/>
  </mergeCells>
  <conditionalFormatting sqref="B21:D21">
    <cfRule type="expression" dxfId="91" priority="16">
      <formula>$O$23=0</formula>
    </cfRule>
  </conditionalFormatting>
  <conditionalFormatting sqref="C18:D18">
    <cfRule type="expression" dxfId="90" priority="25" stopIfTrue="1">
      <formula>$C$16&lt;&gt;"Customized"</formula>
    </cfRule>
  </conditionalFormatting>
  <conditionalFormatting sqref="C28:E28">
    <cfRule type="expression" dxfId="89" priority="4">
      <formula>FIND("ZPI",C26,1)=1</formula>
    </cfRule>
  </conditionalFormatting>
  <conditionalFormatting sqref="D26">
    <cfRule type="expression" dxfId="88" priority="11" stopIfTrue="1">
      <formula>INDIRECT(ADDRESS($N$17+$N$12+13,$N$13-2))&lt;=1</formula>
    </cfRule>
  </conditionalFormatting>
  <conditionalFormatting sqref="D27">
    <cfRule type="expression" dxfId="87" priority="9">
      <formula>$O$24=0</formula>
    </cfRule>
    <cfRule type="expression" dxfId="86" priority="10" stopIfTrue="1">
      <formula>INDIRECT(ADDRESS($N$17+$N$12+17,$N$13-2))&lt;=1</formula>
    </cfRule>
  </conditionalFormatting>
  <conditionalFormatting sqref="E26:E27">
    <cfRule type="expression" dxfId="85" priority="6" stopIfTrue="1">
      <formula>INDIRECT(ADDRESS($N$17+$N$12+14,$N$13-2))&lt;=1</formula>
    </cfRule>
  </conditionalFormatting>
  <conditionalFormatting sqref="E27">
    <cfRule type="expression" dxfId="84" priority="2">
      <formula>FIND("E08",C27,1)&gt;0</formula>
    </cfRule>
  </conditionalFormatting>
  <conditionalFormatting sqref="E20:F20">
    <cfRule type="expression" dxfId="83" priority="18" stopIfTrue="1">
      <formula>INDIRECT(ADDRESS($N$17+$N$12+4,$N$13-2))&lt;=1</formula>
    </cfRule>
  </conditionalFormatting>
  <conditionalFormatting sqref="E21:F21">
    <cfRule type="expression" dxfId="82" priority="17" stopIfTrue="1">
      <formula>INDIRECT(ADDRESS($N$17+$N$12+6,$N$13-2))&lt;=1</formula>
    </cfRule>
  </conditionalFormatting>
  <conditionalFormatting sqref="E21:H21">
    <cfRule type="expression" dxfId="81" priority="15">
      <formula>$O$24=0</formula>
    </cfRule>
  </conditionalFormatting>
  <conditionalFormatting sqref="F28:H28">
    <cfRule type="expression" dxfId="80" priority="3">
      <formula>FIND("ZPI",F26,1)=1</formula>
    </cfRule>
  </conditionalFormatting>
  <conditionalFormatting sqref="G26">
    <cfRule type="expression" dxfId="79" priority="14" stopIfTrue="1">
      <formula>INDIRECT(ADDRESS($N$17+$N$12+13,$N$13-2))&lt;=1</formula>
    </cfRule>
  </conditionalFormatting>
  <conditionalFormatting sqref="G27">
    <cfRule type="expression" dxfId="78" priority="13" stopIfTrue="1">
      <formula>INDIRECT(ADDRESS($N$17+$N$12+17,$N$13-2))&lt;=1</formula>
    </cfRule>
    <cfRule type="expression" dxfId="77" priority="12">
      <formula>$O$24=0</formula>
    </cfRule>
  </conditionalFormatting>
  <conditionalFormatting sqref="G19:H19">
    <cfRule type="expression" dxfId="76" priority="22" stopIfTrue="1">
      <formula>F19=""</formula>
    </cfRule>
  </conditionalFormatting>
  <conditionalFormatting sqref="G20:H20">
    <cfRule type="expression" dxfId="75" priority="20" stopIfTrue="1">
      <formula>INDIRECT(ADDRESS($N$17+$N$12+13,$N$13-2))&lt;=1</formula>
    </cfRule>
  </conditionalFormatting>
  <conditionalFormatting sqref="G21:H21">
    <cfRule type="expression" dxfId="74" priority="19" stopIfTrue="1">
      <formula>INDIRECT(ADDRESS($N$17+$N$12+17,$N$13-2))&lt;=1</formula>
    </cfRule>
  </conditionalFormatting>
  <conditionalFormatting sqref="H12">
    <cfRule type="cellIs" dxfId="73" priority="23" stopIfTrue="1" operator="equal">
      <formula>"2D2G"</formula>
    </cfRule>
    <cfRule type="cellIs" dxfId="72" priority="24" stopIfTrue="1" operator="equal">
      <formula>"1D2G"</formula>
    </cfRule>
  </conditionalFormatting>
  <conditionalFormatting sqref="H17">
    <cfRule type="expression" dxfId="71" priority="8" stopIfTrue="1">
      <formula>INDIRECT(ADDRESS($N$17+$N$12+13,$N$13-2))&lt;=1</formula>
    </cfRule>
  </conditionalFormatting>
  <conditionalFormatting sqref="H26:H27">
    <cfRule type="expression" dxfId="70" priority="5" stopIfTrue="1">
      <formula>INDIRECT(ADDRESS($N$17+$N$12+14,$N$13-2))&lt;=1</formula>
    </cfRule>
  </conditionalFormatting>
  <conditionalFormatting sqref="H27">
    <cfRule type="expression" dxfId="69" priority="1">
      <formula>FIND("E08",F27,1)&gt;0</formula>
    </cfRule>
  </conditionalFormatting>
  <dataValidations count="31">
    <dataValidation type="list" allowBlank="1" showInputMessage="1" showErrorMessage="1" sqref="C26" xr:uid="{00000000-0002-0000-0500-000000000000}">
      <formula1>OFFSET($AK$41,$N$25,,,$O$25)</formula1>
    </dataValidation>
    <dataValidation type="list" allowBlank="1" showInputMessage="1" showErrorMessage="1" sqref="C29:H29" xr:uid="{00000000-0002-0000-0500-000001000000}">
      <formula1>OFFSET($AK$41,$N$27,,,$O$27)</formula1>
    </dataValidation>
    <dataValidation type="list" allowBlank="1" showInputMessage="1" showErrorMessage="1" sqref="C28:H28" xr:uid="{00000000-0002-0000-0500-000002000000}">
      <formula1>OFFSET($AK$41,$N$26,,,$O$26)</formula1>
    </dataValidation>
    <dataValidation type="list" errorStyle="information" allowBlank="1" showInputMessage="1" showErrorMessage="1" sqref="C20:D20" xr:uid="{00000000-0002-0000-0500-000003000000}">
      <formula1>OFFSET($AK$41,$N$23,,,$O$23)</formula1>
    </dataValidation>
    <dataValidation type="list" allowBlank="1" showInputMessage="1" showErrorMessage="1" sqref="H7" xr:uid="{00000000-0002-0000-0500-000004000000}">
      <formula1>OFFSET($AK$41,$N$22,,,$O$22)</formula1>
    </dataValidation>
    <dataValidation type="list" allowBlank="1" showInputMessage="1" showErrorMessage="1" sqref="E6:H6" xr:uid="{00000000-0002-0000-0500-000005000000}">
      <formula1>OFFSET($AK$41,$N$21,,,$O$21)</formula1>
    </dataValidation>
    <dataValidation type="list" allowBlank="1" showInputMessage="1" showErrorMessage="1" sqref="F20" xr:uid="{00000000-0002-0000-0500-000006000000}">
      <formula1>OFFSET($AK$41,$N$24,,,$O$24)</formula1>
    </dataValidation>
    <dataValidation type="list" allowBlank="1" showInputMessage="1" showErrorMessage="1" sqref="H21" xr:uid="{00000000-0002-0000-0500-000007000000}">
      <formula1>OFFSET($AK$41,$N$34,,,$O$34)</formula1>
    </dataValidation>
    <dataValidation type="list" allowBlank="1" showInputMessage="1" showErrorMessage="1" sqref="H27 E27" xr:uid="{00000000-0002-0000-0500-000008000000}">
      <formula1>OFFSET($AK$41,$N$36,,,$O$36)</formula1>
    </dataValidation>
    <dataValidation type="list" allowBlank="1" showInputMessage="1" showErrorMessage="1" sqref="F19" xr:uid="{00000000-0002-0000-0500-000009000000}">
      <formula1>OFFSET($AK$41,$N$38,,,$O$38)</formula1>
    </dataValidation>
    <dataValidation type="list" allowBlank="1" showInputMessage="1" showErrorMessage="1" sqref="E26 H26" xr:uid="{00000000-0002-0000-0500-00000A000000}">
      <formula1>OFFSET($AK$41,$N$29,,,$O$29)</formula1>
    </dataValidation>
    <dataValidation type="list" allowBlank="1" showInputMessage="1" showErrorMessage="1" sqref="F27 C27" xr:uid="{00000000-0002-0000-0500-00000B000000}">
      <formula1>OFFSET($AK$41,$N$35,,,$O$35)</formula1>
    </dataValidation>
    <dataValidation type="list" allowBlank="1" showInputMessage="1" showErrorMessage="1" sqref="H20" xr:uid="{00000000-0002-0000-0500-00000C000000}">
      <formula1>OFFSET($AK$41,$N$28,,,$O$28)</formula1>
    </dataValidation>
    <dataValidation type="list" allowBlank="1" showInputMessage="1" showErrorMessage="1" sqref="C21:D21" xr:uid="{00000000-0002-0000-0500-00000D000000}">
      <formula1>OFFSET($AK$41,$N$32,,,$O$32)</formula1>
    </dataValidation>
    <dataValidation type="list" allowBlank="1" showInputMessage="1" showErrorMessage="1" sqref="C17:D17" xr:uid="{00000000-0002-0000-0500-00000E000000}">
      <formula1>OFFSET($AK$41,$N$31,,,$O$31)</formula1>
    </dataValidation>
    <dataValidation type="list" allowBlank="1" showInputMessage="1" showErrorMessage="1" sqref="F17" xr:uid="{00000000-0002-0000-0500-00000F000000}">
      <formula1>OFFSET($AK$41,$N$37,,,$O$37)</formula1>
    </dataValidation>
    <dataValidation type="list" allowBlank="1" showInputMessage="1" showErrorMessage="1" sqref="F21" xr:uid="{00000000-0002-0000-0500-000010000000}">
      <formula1>OFFSET($AK$41,$N$33,,,$O$33)</formula1>
    </dataValidation>
    <dataValidation type="list" allowBlank="1" showInputMessage="1" showErrorMessage="1" sqref="C16:D16" xr:uid="{00000000-0002-0000-0500-000011000000}">
      <formula1>OFFSET($AK$41,$N$30,,,$O$30)</formula1>
    </dataValidation>
    <dataValidation type="list" allowBlank="1" showInputMessage="1" showErrorMessage="1" sqref="F26" xr:uid="{00000000-0002-0000-0500-000012000000}">
      <formula1>OFFSET(AK41,$N$25,,,$O$25)</formula1>
    </dataValidation>
    <dataValidation type="list" allowBlank="1" showInputMessage="1" showErrorMessage="1" sqref="E3:F3" xr:uid="{00000000-0002-0000-0500-000013000000}">
      <formula1>$R$30:$X$30</formula1>
    </dataValidation>
    <dataValidation type="list" allowBlank="1" showInputMessage="1" showErrorMessage="1" sqref="C19:D19" xr:uid="{00000000-0002-0000-0500-000014000000}">
      <formula1>$R$32:$T$32</formula1>
    </dataValidation>
    <dataValidation type="list" allowBlank="1" showInputMessage="1" showErrorMessage="1" sqref="C23 F23" xr:uid="{00000000-0002-0000-0500-000015000000}">
      <formula1>$R$31:$U$31</formula1>
    </dataValidation>
    <dataValidation type="list" allowBlank="1" showInputMessage="1" showErrorMessage="1" sqref="H17" xr:uid="{00000000-0002-0000-0500-000016000000}">
      <formula1>OFFSET($R$20,$Q$19,,,$R$19)</formula1>
    </dataValidation>
    <dataValidation type="list" allowBlank="1" showInputMessage="1" showErrorMessage="1" sqref="E8" xr:uid="{00000000-0002-0000-0500-000017000000}">
      <formula1>OFFSET($R$39,$N$18,,,$O$18)</formula1>
    </dataValidation>
    <dataValidation type="list" errorStyle="warning" allowBlank="1" showInputMessage="1" showErrorMessage="1" errorTitle="wrong" error="wrong" sqref="C8" xr:uid="{00000000-0002-0000-0500-000018000000}">
      <formula1>OFFSET($R$39,$N$19,,,$O$19)</formula1>
    </dataValidation>
    <dataValidation type="list" allowBlank="1" showInputMessage="1" showErrorMessage="1" sqref="E5:H5" xr:uid="{00000000-0002-0000-0500-000019000000}">
      <formula1>OFFSET($R$8,$N$9,,,$N$10)</formula1>
    </dataValidation>
    <dataValidation type="list" allowBlank="1" showInputMessage="1" showErrorMessage="1" sqref="G19:H19" xr:uid="{00000000-0002-0000-0500-00001A000000}">
      <formula1>"rear wall,two side walls,three side walls"</formula1>
    </dataValidation>
    <dataValidation type="list" allowBlank="1" showInputMessage="1" showErrorMessage="1" sqref="F14" xr:uid="{00000000-0002-0000-0500-00001B000000}">
      <formula1>"Central opening,Side opening"</formula1>
    </dataValidation>
    <dataValidation type="list" allowBlank="1" showInputMessage="1" showErrorMessage="1" sqref="H12" xr:uid="{00000000-0002-0000-0500-00001C000000}">
      <formula1>"1D1G,1D2G,2D2G"</formula1>
    </dataValidation>
    <dataValidation type="list" allowBlank="1" showInputMessage="1" showErrorMessage="1" sqref="C5" xr:uid="{00000000-0002-0000-0500-00001D000000}">
      <formula1>$Q$9:$Q$14</formula1>
    </dataValidation>
    <dataValidation type="list" allowBlank="1" showInputMessage="1" showErrorMessage="1" sqref="C24:H24" xr:uid="{00000000-0002-0000-0500-00001E000000}">
      <formula1>"Steel sill bracket by seller,Concrete sill bracket by local"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202"/>
  <sheetViews>
    <sheetView view="pageBreakPreview" zoomScale="85" zoomScaleNormal="100" zoomScaleSheetLayoutView="85" workbookViewId="0">
      <selection activeCell="E8" sqref="E8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290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85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9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126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159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2</v>
      </c>
      <c r="D7" s="48" t="s">
        <v>45</v>
      </c>
      <c r="E7" s="136" t="s">
        <v>667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177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56" t="s">
        <v>650</v>
      </c>
      <c r="D8" s="48" t="s">
        <v>1</v>
      </c>
      <c r="E8" s="56" t="s">
        <v>95</v>
      </c>
      <c r="F8" s="69" t="s">
        <v>46</v>
      </c>
      <c r="G8" s="140" t="s">
        <v>573</v>
      </c>
      <c r="H8" s="141"/>
      <c r="I8" s="102">
        <v>231110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7</v>
      </c>
      <c r="D9" s="48" t="s">
        <v>48</v>
      </c>
      <c r="E9" s="55">
        <v>7</v>
      </c>
      <c r="F9" s="57" t="s">
        <v>49</v>
      </c>
      <c r="G9" s="136">
        <v>7</v>
      </c>
      <c r="H9" s="137"/>
      <c r="I9" s="102">
        <v>7060</v>
      </c>
      <c r="J9" s="103" t="s">
        <v>654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54</v>
      </c>
      <c r="F10" s="142" t="s">
        <v>574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522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100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101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2600</v>
      </c>
      <c r="E12" s="48" t="s">
        <v>72</v>
      </c>
      <c r="F12" s="108">
        <v>3160</v>
      </c>
      <c r="G12" s="48" t="s">
        <v>69</v>
      </c>
      <c r="H12" s="41" t="s">
        <v>665</v>
      </c>
      <c r="I12" s="102">
        <v>27090</v>
      </c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472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226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24450</v>
      </c>
      <c r="E13" s="48" t="s">
        <v>73</v>
      </c>
      <c r="F13" s="108">
        <v>4300</v>
      </c>
      <c r="G13" s="48" t="s">
        <v>78</v>
      </c>
      <c r="H13" s="109">
        <v>1400</v>
      </c>
      <c r="I13" s="102">
        <v>3989.9999999999968</v>
      </c>
      <c r="J13" s="103" t="s">
        <v>655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227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108">
        <v>1200</v>
      </c>
      <c r="E14" s="48" t="s">
        <v>70</v>
      </c>
      <c r="F14" s="56" t="s">
        <v>576</v>
      </c>
      <c r="G14" s="48" t="s">
        <v>79</v>
      </c>
      <c r="H14" s="58">
        <v>2200</v>
      </c>
      <c r="I14" s="102">
        <v>4674.5</v>
      </c>
      <c r="J14" s="103" t="s">
        <v>656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228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1500</v>
      </c>
      <c r="E15" s="49" t="s">
        <v>71</v>
      </c>
      <c r="F15" s="59">
        <v>2700</v>
      </c>
      <c r="G15" s="49" t="s">
        <v>200</v>
      </c>
      <c r="H15" s="60">
        <v>2300</v>
      </c>
      <c r="I15" s="102"/>
      <c r="J15" s="103"/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229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230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8720</v>
      </c>
      <c r="J17" s="103" t="s">
        <v>657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231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581</v>
      </c>
      <c r="D18" s="125"/>
      <c r="E18" s="48" t="s">
        <v>4</v>
      </c>
      <c r="F18" s="136" t="s">
        <v>581</v>
      </c>
      <c r="G18" s="125"/>
      <c r="H18" s="126"/>
      <c r="I18" s="102">
        <v>7550</v>
      </c>
      <c r="J18" s="103" t="s">
        <v>658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232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2730</v>
      </c>
      <c r="J19" s="103" t="s">
        <v>659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651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0</v>
      </c>
      <c r="J20" s="103" t="s">
        <v>660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17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17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476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581</v>
      </c>
      <c r="F23" s="56" t="s">
        <v>604</v>
      </c>
      <c r="G23" s="47" t="s">
        <v>83</v>
      </c>
      <c r="H23" s="58" t="s">
        <v>581</v>
      </c>
      <c r="I23" s="102">
        <v>2310</v>
      </c>
      <c r="J23" s="103" t="s">
        <v>661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17</v>
      </c>
      <c r="AB23"/>
      <c r="AC23"/>
      <c r="AD23" s="1"/>
      <c r="AE23" s="1"/>
      <c r="AF23" s="82"/>
      <c r="AG23" s="82"/>
      <c r="AH23" s="82"/>
      <c r="AI23" s="82"/>
      <c r="AJ23" s="93" t="s">
        <v>477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1400</v>
      </c>
      <c r="J24" s="103" t="s">
        <v>612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17</v>
      </c>
      <c r="AB24"/>
      <c r="AC24"/>
      <c r="AD24" s="1"/>
      <c r="AE24" s="1"/>
      <c r="AF24" s="82"/>
      <c r="AG24" s="82"/>
      <c r="AH24" s="82"/>
      <c r="AI24" s="82"/>
      <c r="AJ24" s="93" t="s">
        <v>204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581</v>
      </c>
      <c r="D25" s="125"/>
      <c r="E25" s="125"/>
      <c r="F25" s="136" t="s">
        <v>581</v>
      </c>
      <c r="G25" s="125"/>
      <c r="H25" s="126"/>
      <c r="I25" s="102">
        <v>10920</v>
      </c>
      <c r="J25" s="103" t="s">
        <v>662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17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145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652</v>
      </c>
      <c r="D26" s="64" t="s">
        <v>129</v>
      </c>
      <c r="E26" s="42" t="s">
        <v>115</v>
      </c>
      <c r="F26" s="68" t="s">
        <v>652</v>
      </c>
      <c r="G26" s="64" t="s">
        <v>129</v>
      </c>
      <c r="H26" s="41" t="s">
        <v>115</v>
      </c>
      <c r="I26" s="102">
        <v>0</v>
      </c>
      <c r="J26" s="103" t="s">
        <v>663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17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176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615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17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615</v>
      </c>
      <c r="K28" s="23"/>
      <c r="L28" s="43"/>
      <c r="M28" s="90" t="s">
        <v>290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202</v>
      </c>
      <c r="C29" s="174"/>
      <c r="D29" s="175"/>
      <c r="E29" s="176"/>
      <c r="F29" s="174"/>
      <c r="G29" s="175"/>
      <c r="H29" s="177"/>
      <c r="I29" s="102">
        <v>0</v>
      </c>
      <c r="J29" s="103" t="s">
        <v>615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179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653</v>
      </c>
      <c r="C30" s="164"/>
      <c r="D30" s="164"/>
      <c r="E30" s="164"/>
      <c r="F30" s="164"/>
      <c r="G30" s="164"/>
      <c r="H30" s="165"/>
      <c r="I30" s="102">
        <v>18322.5</v>
      </c>
      <c r="J30" s="103" t="s">
        <v>664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13860</v>
      </c>
      <c r="J31" s="103" t="s">
        <v>616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>
        <v>2</v>
      </c>
      <c r="C32" s="162"/>
      <c r="D32" s="162"/>
      <c r="E32" s="162"/>
      <c r="F32" s="162"/>
      <c r="G32" s="162"/>
      <c r="H32" s="163"/>
      <c r="I32" s="102"/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>
        <v>3</v>
      </c>
      <c r="C33" s="162"/>
      <c r="D33" s="162"/>
      <c r="E33" s="162"/>
      <c r="F33" s="162"/>
      <c r="G33" s="162"/>
      <c r="H33" s="163"/>
      <c r="I33" s="102"/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>
        <v>4</v>
      </c>
      <c r="C34" s="162"/>
      <c r="D34" s="162"/>
      <c r="E34" s="162"/>
      <c r="F34" s="162"/>
      <c r="G34" s="162"/>
      <c r="H34" s="163"/>
      <c r="I34" s="102"/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524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339737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si="0"/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0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0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17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5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17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5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17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6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5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6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5"/>
        <v>1</v>
      </c>
      <c r="AG46" s="82">
        <v>5</v>
      </c>
      <c r="AH46" s="82"/>
      <c r="AI46" s="86" t="s">
        <v>344</v>
      </c>
      <c r="AJ46" s="82"/>
      <c r="AK46" s="82" t="s">
        <v>545</v>
      </c>
      <c r="AL46" s="82" t="s">
        <v>17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5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5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7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5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7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5"/>
        <v>1</v>
      </c>
      <c r="AG50" s="82">
        <v>9</v>
      </c>
      <c r="AH50" s="82"/>
      <c r="AI50" s="86" t="s">
        <v>345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5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5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8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5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8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5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5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5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9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5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9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14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5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5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5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0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5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0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5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5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5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1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5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1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5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5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5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2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5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2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5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5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5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3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5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3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5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5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5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4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5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4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5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5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5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5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5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5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13</v>
      </c>
      <c r="X82" s="39" t="s">
        <v>14</v>
      </c>
      <c r="Y82" s="39" t="s">
        <v>15</v>
      </c>
      <c r="Z82" s="1" t="s">
        <v>17</v>
      </c>
      <c r="AF82" s="2">
        <f t="shared" si="5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5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5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6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5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6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5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5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5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7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5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7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5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5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5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8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5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8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5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5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5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19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5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19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5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5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5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0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5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0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5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5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5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1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5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1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5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2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2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3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2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3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2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2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230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2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4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2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2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2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231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2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5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2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5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2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2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232</v>
      </c>
      <c r="R120" s="39"/>
      <c r="S120" s="39"/>
      <c r="T120" s="1"/>
      <c r="AF120" s="2">
        <f t="shared" si="22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6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2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6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2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2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2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7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2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7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2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2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476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2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8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2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8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13</v>
      </c>
      <c r="W130" s="39" t="s">
        <v>14</v>
      </c>
      <c r="X130" s="39" t="s">
        <v>15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2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2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477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2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29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2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29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2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2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2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0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2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0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2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2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1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2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1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2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2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204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2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2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2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2"/>
        <v>2</v>
      </c>
      <c r="Q146" s="12" t="s">
        <v>10</v>
      </c>
      <c r="R146" s="1" t="s">
        <v>138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2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2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2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3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2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3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2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2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2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4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2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4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2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2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2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5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2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5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2"/>
        <v>2</v>
      </c>
      <c r="AG158" s="82">
        <v>117</v>
      </c>
      <c r="AH158" s="82"/>
      <c r="AI158" s="86" t="s">
        <v>101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2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2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6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2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6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2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2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2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7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2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7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2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2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524</v>
      </c>
      <c r="AF168" s="2">
        <f t="shared" si="22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196</v>
      </c>
      <c r="AP168" s="82" t="s">
        <v>296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8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2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8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2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202" si="39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39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0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39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0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39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196</v>
      </c>
      <c r="AP174" s="82" t="s">
        <v>296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39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39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1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39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1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39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39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39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2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39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2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39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39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39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3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39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3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39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39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39"/>
        <v>5</v>
      </c>
      <c r="AG188" s="82">
        <v>147</v>
      </c>
      <c r="AH188" s="82"/>
      <c r="AI188" s="86" t="s">
        <v>344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39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39"/>
        <v>1</v>
      </c>
      <c r="AG190" s="82">
        <v>149</v>
      </c>
      <c r="AI190" s="86" t="s">
        <v>349</v>
      </c>
      <c r="AK190" s="82" t="s">
        <v>459</v>
      </c>
      <c r="AL190" s="82" t="s">
        <v>17</v>
      </c>
      <c r="AM190" s="82"/>
    </row>
    <row r="191" spans="16:71">
      <c r="AF191" s="2">
        <f t="shared" si="39"/>
        <v>1</v>
      </c>
      <c r="AG191" s="82">
        <v>150</v>
      </c>
      <c r="AI191" s="86" t="s">
        <v>345</v>
      </c>
      <c r="AL191" s="82" t="s">
        <v>17</v>
      </c>
    </row>
    <row r="192" spans="16:71">
      <c r="AF192" s="2" t="e">
        <f t="shared" si="39"/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39"/>
        <v>5</v>
      </c>
      <c r="AG193" s="82">
        <v>152</v>
      </c>
      <c r="AI193" s="86" t="s">
        <v>524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39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39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39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39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39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39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39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39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39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A5:A15"/>
    <mergeCell ref="E5:H5"/>
    <mergeCell ref="B6:D6"/>
    <mergeCell ref="E6:H6"/>
    <mergeCell ref="E7:F7"/>
    <mergeCell ref="A1:H1"/>
    <mergeCell ref="B3:C3"/>
    <mergeCell ref="E3:F3"/>
    <mergeCell ref="B4:C4"/>
    <mergeCell ref="E4:H4"/>
    <mergeCell ref="A16:A21"/>
    <mergeCell ref="C16:D16"/>
    <mergeCell ref="F16:H16"/>
    <mergeCell ref="C17:D17"/>
    <mergeCell ref="C18:D18"/>
    <mergeCell ref="G8:H8"/>
    <mergeCell ref="G9:H9"/>
    <mergeCell ref="F10:H10"/>
    <mergeCell ref="C11:D11"/>
    <mergeCell ref="F11:H11"/>
    <mergeCell ref="A22:A29"/>
    <mergeCell ref="C22:E22"/>
    <mergeCell ref="F22:H22"/>
    <mergeCell ref="C24:E24"/>
    <mergeCell ref="F24:H24"/>
    <mergeCell ref="F18:H18"/>
    <mergeCell ref="C19:D19"/>
    <mergeCell ref="G19:H19"/>
    <mergeCell ref="C20:D20"/>
    <mergeCell ref="C21:D21"/>
    <mergeCell ref="C25:E25"/>
    <mergeCell ref="F25:H25"/>
    <mergeCell ref="C28:E28"/>
    <mergeCell ref="F28:H28"/>
    <mergeCell ref="C29:E29"/>
    <mergeCell ref="F29:H29"/>
    <mergeCell ref="B30:H30"/>
    <mergeCell ref="A31:A36"/>
    <mergeCell ref="B31:H31"/>
    <mergeCell ref="B32:H32"/>
    <mergeCell ref="B33:H33"/>
    <mergeCell ref="B34:H34"/>
    <mergeCell ref="B35:H35"/>
    <mergeCell ref="B36:H36"/>
  </mergeCells>
  <conditionalFormatting sqref="B21:D21">
    <cfRule type="expression" dxfId="68" priority="16">
      <formula>$O$23=0</formula>
    </cfRule>
  </conditionalFormatting>
  <conditionalFormatting sqref="C18:D18">
    <cfRule type="expression" dxfId="67" priority="25" stopIfTrue="1">
      <formula>$C$16&lt;&gt;"Customized"</formula>
    </cfRule>
  </conditionalFormatting>
  <conditionalFormatting sqref="C28:E28">
    <cfRule type="expression" dxfId="66" priority="4">
      <formula>FIND("ZPI",C26,1)=1</formula>
    </cfRule>
  </conditionalFormatting>
  <conditionalFormatting sqref="D26">
    <cfRule type="expression" dxfId="65" priority="11" stopIfTrue="1">
      <formula>INDIRECT(ADDRESS($N$17+$N$12+13,$N$13-2))&lt;=1</formula>
    </cfRule>
  </conditionalFormatting>
  <conditionalFormatting sqref="D27">
    <cfRule type="expression" dxfId="64" priority="9">
      <formula>$O$24=0</formula>
    </cfRule>
    <cfRule type="expression" dxfId="63" priority="10" stopIfTrue="1">
      <formula>INDIRECT(ADDRESS($N$17+$N$12+17,$N$13-2))&lt;=1</formula>
    </cfRule>
  </conditionalFormatting>
  <conditionalFormatting sqref="E26:E27">
    <cfRule type="expression" dxfId="62" priority="6" stopIfTrue="1">
      <formula>INDIRECT(ADDRESS($N$17+$N$12+14,$N$13-2))&lt;=1</formula>
    </cfRule>
  </conditionalFormatting>
  <conditionalFormatting sqref="E27">
    <cfRule type="expression" dxfId="61" priority="2">
      <formula>FIND("E08",C27,1)&gt;0</formula>
    </cfRule>
  </conditionalFormatting>
  <conditionalFormatting sqref="E20:F20">
    <cfRule type="expression" dxfId="60" priority="18" stopIfTrue="1">
      <formula>INDIRECT(ADDRESS($N$17+$N$12+4,$N$13-2))&lt;=1</formula>
    </cfRule>
  </conditionalFormatting>
  <conditionalFormatting sqref="E21:F21">
    <cfRule type="expression" dxfId="59" priority="17" stopIfTrue="1">
      <formula>INDIRECT(ADDRESS($N$17+$N$12+6,$N$13-2))&lt;=1</formula>
    </cfRule>
  </conditionalFormatting>
  <conditionalFormatting sqref="E21:H21">
    <cfRule type="expression" dxfId="58" priority="15">
      <formula>$O$24=0</formula>
    </cfRule>
  </conditionalFormatting>
  <conditionalFormatting sqref="F28:H28">
    <cfRule type="expression" dxfId="57" priority="3">
      <formula>FIND("ZPI",F26,1)=1</formula>
    </cfRule>
  </conditionalFormatting>
  <conditionalFormatting sqref="G26">
    <cfRule type="expression" dxfId="56" priority="14" stopIfTrue="1">
      <formula>INDIRECT(ADDRESS($N$17+$N$12+13,$N$13-2))&lt;=1</formula>
    </cfRule>
  </conditionalFormatting>
  <conditionalFormatting sqref="G27">
    <cfRule type="expression" dxfId="55" priority="13" stopIfTrue="1">
      <formula>INDIRECT(ADDRESS($N$17+$N$12+17,$N$13-2))&lt;=1</formula>
    </cfRule>
    <cfRule type="expression" dxfId="54" priority="12">
      <formula>$O$24=0</formula>
    </cfRule>
  </conditionalFormatting>
  <conditionalFormatting sqref="G19:H19">
    <cfRule type="expression" dxfId="53" priority="22" stopIfTrue="1">
      <formula>F19=""</formula>
    </cfRule>
  </conditionalFormatting>
  <conditionalFormatting sqref="G20:H20">
    <cfRule type="expression" dxfId="52" priority="20" stopIfTrue="1">
      <formula>INDIRECT(ADDRESS($N$17+$N$12+13,$N$13-2))&lt;=1</formula>
    </cfRule>
  </conditionalFormatting>
  <conditionalFormatting sqref="G21:H21">
    <cfRule type="expression" dxfId="51" priority="19" stopIfTrue="1">
      <formula>INDIRECT(ADDRESS($N$17+$N$12+17,$N$13-2))&lt;=1</formula>
    </cfRule>
  </conditionalFormatting>
  <conditionalFormatting sqref="H12">
    <cfRule type="cellIs" dxfId="50" priority="23" stopIfTrue="1" operator="equal">
      <formula>"2D2G"</formula>
    </cfRule>
    <cfRule type="cellIs" dxfId="49" priority="24" stopIfTrue="1" operator="equal">
      <formula>"1D2G"</formula>
    </cfRule>
  </conditionalFormatting>
  <conditionalFormatting sqref="H17">
    <cfRule type="expression" dxfId="48" priority="8" stopIfTrue="1">
      <formula>INDIRECT(ADDRESS($N$17+$N$12+13,$N$13-2))&lt;=1</formula>
    </cfRule>
  </conditionalFormatting>
  <conditionalFormatting sqref="H26:H27">
    <cfRule type="expression" dxfId="47" priority="5" stopIfTrue="1">
      <formula>INDIRECT(ADDRESS($N$17+$N$12+14,$N$13-2))&lt;=1</formula>
    </cfRule>
  </conditionalFormatting>
  <conditionalFormatting sqref="H27">
    <cfRule type="expression" dxfId="46" priority="1">
      <formula>FIND("E08",F27,1)&gt;0</formula>
    </cfRule>
  </conditionalFormatting>
  <dataValidations count="31">
    <dataValidation type="list" allowBlank="1" showInputMessage="1" showErrorMessage="1" sqref="C24:H24" xr:uid="{00000000-0002-0000-0600-000000000000}">
      <formula1>"Steel sill bracket by seller,Concrete sill bracket by local"</formula1>
    </dataValidation>
    <dataValidation type="list" allowBlank="1" showInputMessage="1" showErrorMessage="1" sqref="C5" xr:uid="{00000000-0002-0000-0600-000001000000}">
      <formula1>$Q$9:$Q$14</formula1>
    </dataValidation>
    <dataValidation type="list" allowBlank="1" showInputMessage="1" showErrorMessage="1" sqref="H12" xr:uid="{00000000-0002-0000-0600-000002000000}">
      <formula1>"1D1G,1D2G,2D2G"</formula1>
    </dataValidation>
    <dataValidation type="list" allowBlank="1" showInputMessage="1" showErrorMessage="1" sqref="F14" xr:uid="{00000000-0002-0000-0600-000003000000}">
      <formula1>"Central opening,Side opening"</formula1>
    </dataValidation>
    <dataValidation type="list" allowBlank="1" showInputMessage="1" showErrorMessage="1" sqref="G19:H19" xr:uid="{00000000-0002-0000-0600-000004000000}">
      <formula1>"rear wall,two side walls,three side walls"</formula1>
    </dataValidation>
    <dataValidation type="list" allowBlank="1" showInputMessage="1" showErrorMessage="1" sqref="E5:H5" xr:uid="{00000000-0002-0000-0600-000005000000}">
      <formula1>OFFSET($R$8,$N$9,,,$N$10)</formula1>
    </dataValidation>
    <dataValidation type="list" errorStyle="warning" allowBlank="1" showInputMessage="1" showErrorMessage="1" errorTitle="wrong" error="wrong" sqref="C8" xr:uid="{00000000-0002-0000-0600-000006000000}">
      <formula1>OFFSET($R$39,$N$19,,,$O$19)</formula1>
    </dataValidation>
    <dataValidation type="list" allowBlank="1" showInputMessage="1" showErrorMessage="1" sqref="E8" xr:uid="{00000000-0002-0000-0600-000007000000}">
      <formula1>OFFSET($R$39,$N$18,,,$O$18)</formula1>
    </dataValidation>
    <dataValidation type="list" allowBlank="1" showInputMessage="1" showErrorMessage="1" sqref="H17" xr:uid="{00000000-0002-0000-0600-000008000000}">
      <formula1>OFFSET($R$20,$Q$19,,,$R$19)</formula1>
    </dataValidation>
    <dataValidation type="list" allowBlank="1" showInputMessage="1" showErrorMessage="1" sqref="C23 F23" xr:uid="{00000000-0002-0000-0600-000009000000}">
      <formula1>$R$31:$U$31</formula1>
    </dataValidation>
    <dataValidation type="list" allowBlank="1" showInputMessage="1" showErrorMessage="1" sqref="C19:D19" xr:uid="{00000000-0002-0000-0600-00000A000000}">
      <formula1>$R$32:$T$32</formula1>
    </dataValidation>
    <dataValidation type="list" allowBlank="1" showInputMessage="1" showErrorMessage="1" sqref="E3:F3" xr:uid="{00000000-0002-0000-0600-00000B000000}">
      <formula1>$R$30:$X$30</formula1>
    </dataValidation>
    <dataValidation type="list" allowBlank="1" showInputMessage="1" showErrorMessage="1" sqref="F26" xr:uid="{00000000-0002-0000-0600-00000C000000}">
      <formula1>OFFSET(AK41,$N$25,,,$O$25)</formula1>
    </dataValidation>
    <dataValidation type="list" allowBlank="1" showInputMessage="1" showErrorMessage="1" sqref="C16:D16" xr:uid="{00000000-0002-0000-0600-00000D000000}">
      <formula1>OFFSET($AK$41,$N$30,,,$O$30)</formula1>
    </dataValidation>
    <dataValidation type="list" allowBlank="1" showInputMessage="1" showErrorMessage="1" sqref="F21" xr:uid="{00000000-0002-0000-0600-00000E000000}">
      <formula1>OFFSET($AK$41,$N$33,,,$O$33)</formula1>
    </dataValidation>
    <dataValidation type="list" allowBlank="1" showInputMessage="1" showErrorMessage="1" sqref="F17" xr:uid="{00000000-0002-0000-0600-00000F000000}">
      <formula1>OFFSET($AK$41,$N$37,,,$O$37)</formula1>
    </dataValidation>
    <dataValidation type="list" allowBlank="1" showInputMessage="1" showErrorMessage="1" sqref="C17:D17" xr:uid="{00000000-0002-0000-0600-000010000000}">
      <formula1>OFFSET($AK$41,$N$31,,,$O$31)</formula1>
    </dataValidation>
    <dataValidation type="list" allowBlank="1" showInputMessage="1" showErrorMessage="1" sqref="C21:D21" xr:uid="{00000000-0002-0000-0600-000011000000}">
      <formula1>OFFSET($AK$41,$N$32,,,$O$32)</formula1>
    </dataValidation>
    <dataValidation type="list" allowBlank="1" showInputMessage="1" showErrorMessage="1" sqref="H20" xr:uid="{00000000-0002-0000-0600-000012000000}">
      <formula1>OFFSET($AK$41,$N$28,,,$O$28)</formula1>
    </dataValidation>
    <dataValidation type="list" allowBlank="1" showInputMessage="1" showErrorMessage="1" sqref="F27 C27" xr:uid="{00000000-0002-0000-0600-000013000000}">
      <formula1>OFFSET($AK$41,$N$35,,,$O$35)</formula1>
    </dataValidation>
    <dataValidation type="list" allowBlank="1" showInputMessage="1" showErrorMessage="1" sqref="E26 H26" xr:uid="{00000000-0002-0000-0600-000014000000}">
      <formula1>OFFSET($AK$41,$N$29,,,$O$29)</formula1>
    </dataValidation>
    <dataValidation type="list" allowBlank="1" showInputMessage="1" showErrorMessage="1" sqref="F19" xr:uid="{00000000-0002-0000-0600-000015000000}">
      <formula1>OFFSET($AK$41,$N$38,,,$O$38)</formula1>
    </dataValidation>
    <dataValidation type="list" allowBlank="1" showInputMessage="1" showErrorMessage="1" sqref="H27 E27" xr:uid="{00000000-0002-0000-0600-000016000000}">
      <formula1>OFFSET($AK$41,$N$36,,,$O$36)</formula1>
    </dataValidation>
    <dataValidation type="list" allowBlank="1" showInputMessage="1" showErrorMessage="1" sqref="H21" xr:uid="{00000000-0002-0000-0600-000017000000}">
      <formula1>OFFSET($AK$41,$N$34,,,$O$34)</formula1>
    </dataValidation>
    <dataValidation type="list" allowBlank="1" showInputMessage="1" showErrorMessage="1" sqref="F20" xr:uid="{00000000-0002-0000-0600-000018000000}">
      <formula1>OFFSET($AK$41,$N$24,,,$O$24)</formula1>
    </dataValidation>
    <dataValidation type="list" allowBlank="1" showInputMessage="1" showErrorMessage="1" sqref="E6:H6" xr:uid="{00000000-0002-0000-0600-000019000000}">
      <formula1>OFFSET($AK$41,$N$21,,,$O$21)</formula1>
    </dataValidation>
    <dataValidation type="list" allowBlank="1" showInputMessage="1" showErrorMessage="1" sqref="H7" xr:uid="{00000000-0002-0000-0600-00001A000000}">
      <formula1>OFFSET($AK$41,$N$22,,,$O$22)</formula1>
    </dataValidation>
    <dataValidation type="list" errorStyle="information" allowBlank="1" showInputMessage="1" showErrorMessage="1" sqref="C20:D20" xr:uid="{00000000-0002-0000-0600-00001B000000}">
      <formula1>OFFSET($AK$41,$N$23,,,$O$23)</formula1>
    </dataValidation>
    <dataValidation type="list" allowBlank="1" showInputMessage="1" showErrorMessage="1" sqref="C28:H28" xr:uid="{00000000-0002-0000-0600-00001C000000}">
      <formula1>OFFSET($AK$41,$N$26,,,$O$26)</formula1>
    </dataValidation>
    <dataValidation type="list" allowBlank="1" showInputMessage="1" showErrorMessage="1" sqref="C29:H29" xr:uid="{00000000-0002-0000-0600-00001D000000}">
      <formula1>OFFSET($AK$41,$N$27,,,$O$27)</formula1>
    </dataValidation>
    <dataValidation type="list" allowBlank="1" showInputMessage="1" showErrorMessage="1" sqref="C26" xr:uid="{00000000-0002-0000-0600-00001E000000}">
      <formula1>OFFSET($AK$41,$N$25,,,$O$25)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202"/>
  <sheetViews>
    <sheetView view="pageBreakPreview" topLeftCell="A7" zoomScale="85" zoomScaleNormal="100" zoomScaleSheetLayoutView="85" workbookViewId="0">
      <selection activeCell="H13" sqref="H13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290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85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9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126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159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1</v>
      </c>
      <c r="D7" s="48" t="s">
        <v>45</v>
      </c>
      <c r="E7" s="136" t="s">
        <v>668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177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107" t="s">
        <v>169</v>
      </c>
      <c r="D8" s="48" t="s">
        <v>1</v>
      </c>
      <c r="E8" s="56" t="s">
        <v>95</v>
      </c>
      <c r="F8" s="69" t="s">
        <v>46</v>
      </c>
      <c r="G8" s="140" t="s">
        <v>573</v>
      </c>
      <c r="H8" s="141"/>
      <c r="I8" s="102">
        <v>182910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7</v>
      </c>
      <c r="D9" s="48" t="s">
        <v>48</v>
      </c>
      <c r="E9" s="55">
        <v>7</v>
      </c>
      <c r="F9" s="57" t="s">
        <v>49</v>
      </c>
      <c r="G9" s="136">
        <v>7</v>
      </c>
      <c r="H9" s="137"/>
      <c r="I9" s="102">
        <v>6990</v>
      </c>
      <c r="J9" s="103" t="s">
        <v>670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54</v>
      </c>
      <c r="F10" s="142" t="s">
        <v>574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522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100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101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2100</v>
      </c>
      <c r="E12" s="48" t="s">
        <v>72</v>
      </c>
      <c r="F12" s="108">
        <v>2790</v>
      </c>
      <c r="G12" s="48" t="s">
        <v>69</v>
      </c>
      <c r="H12" s="41" t="s">
        <v>665</v>
      </c>
      <c r="I12" s="102">
        <v>27090</v>
      </c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472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226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24450</v>
      </c>
      <c r="E13" s="48" t="s">
        <v>73</v>
      </c>
      <c r="F13" s="108">
        <v>4300</v>
      </c>
      <c r="G13" s="48" t="s">
        <v>78</v>
      </c>
      <c r="H13" s="109">
        <v>1400</v>
      </c>
      <c r="I13" s="102">
        <v>3932.9999999999973</v>
      </c>
      <c r="J13" s="103" t="s">
        <v>591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227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108">
        <v>1100</v>
      </c>
      <c r="E14" s="48" t="s">
        <v>70</v>
      </c>
      <c r="F14" s="56" t="s">
        <v>636</v>
      </c>
      <c r="G14" s="48" t="s">
        <v>79</v>
      </c>
      <c r="H14" s="58">
        <v>2200</v>
      </c>
      <c r="I14" s="102">
        <v>7520</v>
      </c>
      <c r="J14" s="103" t="s">
        <v>671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228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1300</v>
      </c>
      <c r="E15" s="49" t="s">
        <v>71</v>
      </c>
      <c r="F15" s="59">
        <v>2200</v>
      </c>
      <c r="G15" s="49" t="s">
        <v>200</v>
      </c>
      <c r="H15" s="60">
        <v>2300</v>
      </c>
      <c r="I15" s="102">
        <v>7316.4000000000005</v>
      </c>
      <c r="J15" s="103" t="s">
        <v>672</v>
      </c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229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230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6730</v>
      </c>
      <c r="J17" s="103" t="s">
        <v>592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231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581</v>
      </c>
      <c r="D18" s="125"/>
      <c r="E18" s="48" t="s">
        <v>4</v>
      </c>
      <c r="F18" s="136" t="s">
        <v>581</v>
      </c>
      <c r="G18" s="125"/>
      <c r="H18" s="126"/>
      <c r="I18" s="102">
        <v>5550</v>
      </c>
      <c r="J18" s="103" t="s">
        <v>673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232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2290</v>
      </c>
      <c r="J19" s="103" t="s">
        <v>594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651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0</v>
      </c>
      <c r="J20" s="103" t="s">
        <v>660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17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17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476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581</v>
      </c>
      <c r="F23" s="56" t="s">
        <v>604</v>
      </c>
      <c r="G23" s="47" t="s">
        <v>83</v>
      </c>
      <c r="H23" s="58" t="s">
        <v>581</v>
      </c>
      <c r="I23" s="102">
        <v>2310</v>
      </c>
      <c r="J23" s="103" t="s">
        <v>661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17</v>
      </c>
      <c r="AB23"/>
      <c r="AC23"/>
      <c r="AD23" s="1"/>
      <c r="AE23" s="1"/>
      <c r="AF23" s="82"/>
      <c r="AG23" s="82"/>
      <c r="AH23" s="82"/>
      <c r="AI23" s="82"/>
      <c r="AJ23" s="93" t="s">
        <v>477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1400</v>
      </c>
      <c r="J24" s="103" t="s">
        <v>612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17</v>
      </c>
      <c r="AB24"/>
      <c r="AC24"/>
      <c r="AD24" s="1"/>
      <c r="AE24" s="1"/>
      <c r="AF24" s="82"/>
      <c r="AG24" s="82"/>
      <c r="AH24" s="82"/>
      <c r="AI24" s="82"/>
      <c r="AJ24" s="93" t="s">
        <v>204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581</v>
      </c>
      <c r="D25" s="125"/>
      <c r="E25" s="125"/>
      <c r="F25" s="136" t="s">
        <v>581</v>
      </c>
      <c r="G25" s="125"/>
      <c r="H25" s="126"/>
      <c r="I25" s="102">
        <v>9030</v>
      </c>
      <c r="J25" s="103" t="s">
        <v>674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17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145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652</v>
      </c>
      <c r="D26" s="64" t="s">
        <v>129</v>
      </c>
      <c r="E26" s="42" t="s">
        <v>115</v>
      </c>
      <c r="F26" s="68" t="s">
        <v>652</v>
      </c>
      <c r="G26" s="64" t="s">
        <v>129</v>
      </c>
      <c r="H26" s="41" t="s">
        <v>115</v>
      </c>
      <c r="I26" s="102">
        <v>0</v>
      </c>
      <c r="J26" s="103" t="s">
        <v>663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17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176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615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17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615</v>
      </c>
      <c r="K28" s="23"/>
      <c r="L28" s="43"/>
      <c r="M28" s="90" t="s">
        <v>290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202</v>
      </c>
      <c r="C29" s="174"/>
      <c r="D29" s="175"/>
      <c r="E29" s="176"/>
      <c r="F29" s="174"/>
      <c r="G29" s="175"/>
      <c r="H29" s="177"/>
      <c r="I29" s="102">
        <v>0</v>
      </c>
      <c r="J29" s="103" t="s">
        <v>615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179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669</v>
      </c>
      <c r="C30" s="164"/>
      <c r="D30" s="164"/>
      <c r="E30" s="164"/>
      <c r="F30" s="164"/>
      <c r="G30" s="164"/>
      <c r="H30" s="165"/>
      <c r="I30" s="102">
        <v>22572.5</v>
      </c>
      <c r="J30" s="103" t="s">
        <v>675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13860</v>
      </c>
      <c r="J31" s="103" t="s">
        <v>616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>
        <v>2</v>
      </c>
      <c r="C32" s="162"/>
      <c r="D32" s="162"/>
      <c r="E32" s="162"/>
      <c r="F32" s="162"/>
      <c r="G32" s="162"/>
      <c r="H32" s="163"/>
      <c r="I32" s="102"/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>
        <v>3</v>
      </c>
      <c r="C33" s="162"/>
      <c r="D33" s="162"/>
      <c r="E33" s="162"/>
      <c r="F33" s="162"/>
      <c r="G33" s="162"/>
      <c r="H33" s="163"/>
      <c r="I33" s="102"/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>
        <v>4</v>
      </c>
      <c r="C34" s="162"/>
      <c r="D34" s="162"/>
      <c r="E34" s="162"/>
      <c r="F34" s="162"/>
      <c r="G34" s="162"/>
      <c r="H34" s="163"/>
      <c r="I34" s="102"/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524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299501.90000000002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si="0"/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0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0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17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5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17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5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17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6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5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6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5"/>
        <v>1</v>
      </c>
      <c r="AG46" s="82">
        <v>5</v>
      </c>
      <c r="AH46" s="82"/>
      <c r="AI46" s="86" t="s">
        <v>344</v>
      </c>
      <c r="AJ46" s="82"/>
      <c r="AK46" s="82" t="s">
        <v>545</v>
      </c>
      <c r="AL46" s="82" t="s">
        <v>17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5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5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7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5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7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5"/>
        <v>1</v>
      </c>
      <c r="AG50" s="82">
        <v>9</v>
      </c>
      <c r="AH50" s="82"/>
      <c r="AI50" s="86" t="s">
        <v>345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5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5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8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5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8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5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5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5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9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5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9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14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5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5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5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0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5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0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5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5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5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1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5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1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5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5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5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2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5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2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5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5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5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3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5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3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5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5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5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4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5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4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5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5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5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5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5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5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13</v>
      </c>
      <c r="X82" s="39" t="s">
        <v>14</v>
      </c>
      <c r="Y82" s="39" t="s">
        <v>15</v>
      </c>
      <c r="Z82" s="1" t="s">
        <v>17</v>
      </c>
      <c r="AF82" s="2">
        <f t="shared" si="5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5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5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6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5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6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5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5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5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7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5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7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5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5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5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8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5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8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5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5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5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19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5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19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5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5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5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0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5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0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5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5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5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1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5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1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5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2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2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3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2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3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2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2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230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2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4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2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2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2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231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2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5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2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5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2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2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232</v>
      </c>
      <c r="R120" s="39"/>
      <c r="S120" s="39"/>
      <c r="T120" s="1"/>
      <c r="AF120" s="2">
        <f t="shared" si="22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6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2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6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2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2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2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7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2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7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2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2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476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2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8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2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8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13</v>
      </c>
      <c r="W130" s="39" t="s">
        <v>14</v>
      </c>
      <c r="X130" s="39" t="s">
        <v>15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2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2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477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2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29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2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29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2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2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2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0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2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0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2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2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1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2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1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2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2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204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2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2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2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2"/>
        <v>2</v>
      </c>
      <c r="Q146" s="12" t="s">
        <v>10</v>
      </c>
      <c r="R146" s="1" t="s">
        <v>138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2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2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2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3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2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3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2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2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2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4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2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4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2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2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2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5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2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5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2"/>
        <v>2</v>
      </c>
      <c r="AG158" s="82">
        <v>117</v>
      </c>
      <c r="AH158" s="82"/>
      <c r="AI158" s="86" t="s">
        <v>101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2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2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6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2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6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2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2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2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7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2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7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2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2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524</v>
      </c>
      <c r="AF168" s="2">
        <f t="shared" si="22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196</v>
      </c>
      <c r="AP168" s="82" t="s">
        <v>296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8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2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8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2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202" si="39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39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0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39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0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39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196</v>
      </c>
      <c r="AP174" s="82" t="s">
        <v>296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39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39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1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39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1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39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39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39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2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39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2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39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39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39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3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39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3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39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39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39"/>
        <v>5</v>
      </c>
      <c r="AG188" s="82">
        <v>147</v>
      </c>
      <c r="AH188" s="82"/>
      <c r="AI188" s="86" t="s">
        <v>344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39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39"/>
        <v>1</v>
      </c>
      <c r="AG190" s="82">
        <v>149</v>
      </c>
      <c r="AI190" s="86" t="s">
        <v>349</v>
      </c>
      <c r="AK190" s="82" t="s">
        <v>459</v>
      </c>
      <c r="AL190" s="82" t="s">
        <v>17</v>
      </c>
      <c r="AM190" s="82"/>
    </row>
    <row r="191" spans="16:71">
      <c r="AF191" s="2">
        <f t="shared" si="39"/>
        <v>1</v>
      </c>
      <c r="AG191" s="82">
        <v>150</v>
      </c>
      <c r="AI191" s="86" t="s">
        <v>345</v>
      </c>
      <c r="AL191" s="82" t="s">
        <v>17</v>
      </c>
    </row>
    <row r="192" spans="16:71">
      <c r="AF192" s="2" t="e">
        <f t="shared" si="39"/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39"/>
        <v>5</v>
      </c>
      <c r="AG193" s="82">
        <v>152</v>
      </c>
      <c r="AI193" s="86" t="s">
        <v>524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39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39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39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39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39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39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39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39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39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A5:A15"/>
    <mergeCell ref="E5:H5"/>
    <mergeCell ref="B6:D6"/>
    <mergeCell ref="E6:H6"/>
    <mergeCell ref="E7:F7"/>
    <mergeCell ref="A1:H1"/>
    <mergeCell ref="B3:C3"/>
    <mergeCell ref="E3:F3"/>
    <mergeCell ref="B4:C4"/>
    <mergeCell ref="E4:H4"/>
    <mergeCell ref="A16:A21"/>
    <mergeCell ref="C16:D16"/>
    <mergeCell ref="F16:H16"/>
    <mergeCell ref="C17:D17"/>
    <mergeCell ref="C18:D18"/>
    <mergeCell ref="G8:H8"/>
    <mergeCell ref="G9:H9"/>
    <mergeCell ref="F10:H10"/>
    <mergeCell ref="C11:D11"/>
    <mergeCell ref="F11:H11"/>
    <mergeCell ref="A22:A29"/>
    <mergeCell ref="C22:E22"/>
    <mergeCell ref="F22:H22"/>
    <mergeCell ref="C24:E24"/>
    <mergeCell ref="F24:H24"/>
    <mergeCell ref="F18:H18"/>
    <mergeCell ref="C19:D19"/>
    <mergeCell ref="G19:H19"/>
    <mergeCell ref="C20:D20"/>
    <mergeCell ref="C21:D21"/>
    <mergeCell ref="C25:E25"/>
    <mergeCell ref="F25:H25"/>
    <mergeCell ref="C28:E28"/>
    <mergeCell ref="F28:H28"/>
    <mergeCell ref="C29:E29"/>
    <mergeCell ref="F29:H29"/>
    <mergeCell ref="B30:H30"/>
    <mergeCell ref="A31:A36"/>
    <mergeCell ref="B31:H31"/>
    <mergeCell ref="B32:H32"/>
    <mergeCell ref="B33:H33"/>
    <mergeCell ref="B34:H34"/>
    <mergeCell ref="B35:H35"/>
    <mergeCell ref="B36:H36"/>
  </mergeCells>
  <conditionalFormatting sqref="B21:D21">
    <cfRule type="expression" dxfId="45" priority="16">
      <formula>$O$23=0</formula>
    </cfRule>
  </conditionalFormatting>
  <conditionalFormatting sqref="C18:D18">
    <cfRule type="expression" dxfId="44" priority="25" stopIfTrue="1">
      <formula>$C$16&lt;&gt;"Customized"</formula>
    </cfRule>
  </conditionalFormatting>
  <conditionalFormatting sqref="C28:E28">
    <cfRule type="expression" dxfId="43" priority="4">
      <formula>FIND("ZPI",C26,1)=1</formula>
    </cfRule>
  </conditionalFormatting>
  <conditionalFormatting sqref="D26">
    <cfRule type="expression" dxfId="42" priority="11" stopIfTrue="1">
      <formula>INDIRECT(ADDRESS($N$17+$N$12+13,$N$13-2))&lt;=1</formula>
    </cfRule>
  </conditionalFormatting>
  <conditionalFormatting sqref="D27">
    <cfRule type="expression" dxfId="41" priority="9">
      <formula>$O$24=0</formula>
    </cfRule>
    <cfRule type="expression" dxfId="40" priority="10" stopIfTrue="1">
      <formula>INDIRECT(ADDRESS($N$17+$N$12+17,$N$13-2))&lt;=1</formula>
    </cfRule>
  </conditionalFormatting>
  <conditionalFormatting sqref="E26:E27">
    <cfRule type="expression" dxfId="39" priority="6" stopIfTrue="1">
      <formula>INDIRECT(ADDRESS($N$17+$N$12+14,$N$13-2))&lt;=1</formula>
    </cfRule>
  </conditionalFormatting>
  <conditionalFormatting sqref="E27">
    <cfRule type="expression" dxfId="38" priority="2">
      <formula>FIND("E08",C27,1)&gt;0</formula>
    </cfRule>
  </conditionalFormatting>
  <conditionalFormatting sqref="E20:F20">
    <cfRule type="expression" dxfId="37" priority="18" stopIfTrue="1">
      <formula>INDIRECT(ADDRESS($N$17+$N$12+4,$N$13-2))&lt;=1</formula>
    </cfRule>
  </conditionalFormatting>
  <conditionalFormatting sqref="E21:F21">
    <cfRule type="expression" dxfId="36" priority="17" stopIfTrue="1">
      <formula>INDIRECT(ADDRESS($N$17+$N$12+6,$N$13-2))&lt;=1</formula>
    </cfRule>
  </conditionalFormatting>
  <conditionalFormatting sqref="E21:H21">
    <cfRule type="expression" dxfId="35" priority="15">
      <formula>$O$24=0</formula>
    </cfRule>
  </conditionalFormatting>
  <conditionalFormatting sqref="F28:H28">
    <cfRule type="expression" dxfId="34" priority="3">
      <formula>FIND("ZPI",F26,1)=1</formula>
    </cfRule>
  </conditionalFormatting>
  <conditionalFormatting sqref="G26">
    <cfRule type="expression" dxfId="33" priority="14" stopIfTrue="1">
      <formula>INDIRECT(ADDRESS($N$17+$N$12+13,$N$13-2))&lt;=1</formula>
    </cfRule>
  </conditionalFormatting>
  <conditionalFormatting sqref="G27">
    <cfRule type="expression" dxfId="32" priority="13" stopIfTrue="1">
      <formula>INDIRECT(ADDRESS($N$17+$N$12+17,$N$13-2))&lt;=1</formula>
    </cfRule>
    <cfRule type="expression" dxfId="31" priority="12">
      <formula>$O$24=0</formula>
    </cfRule>
  </conditionalFormatting>
  <conditionalFormatting sqref="G19:H19">
    <cfRule type="expression" dxfId="30" priority="22" stopIfTrue="1">
      <formula>F19=""</formula>
    </cfRule>
  </conditionalFormatting>
  <conditionalFormatting sqref="G20:H20">
    <cfRule type="expression" dxfId="29" priority="20" stopIfTrue="1">
      <formula>INDIRECT(ADDRESS($N$17+$N$12+13,$N$13-2))&lt;=1</formula>
    </cfRule>
  </conditionalFormatting>
  <conditionalFormatting sqref="G21:H21">
    <cfRule type="expression" dxfId="28" priority="19" stopIfTrue="1">
      <formula>INDIRECT(ADDRESS($N$17+$N$12+17,$N$13-2))&lt;=1</formula>
    </cfRule>
  </conditionalFormatting>
  <conditionalFormatting sqref="H12">
    <cfRule type="cellIs" dxfId="27" priority="23" stopIfTrue="1" operator="equal">
      <formula>"2D2G"</formula>
    </cfRule>
    <cfRule type="cellIs" dxfId="26" priority="24" stopIfTrue="1" operator="equal">
      <formula>"1D2G"</formula>
    </cfRule>
  </conditionalFormatting>
  <conditionalFormatting sqref="H17">
    <cfRule type="expression" dxfId="25" priority="8" stopIfTrue="1">
      <formula>INDIRECT(ADDRESS($N$17+$N$12+13,$N$13-2))&lt;=1</formula>
    </cfRule>
  </conditionalFormatting>
  <conditionalFormatting sqref="H26:H27">
    <cfRule type="expression" dxfId="24" priority="5" stopIfTrue="1">
      <formula>INDIRECT(ADDRESS($N$17+$N$12+14,$N$13-2))&lt;=1</formula>
    </cfRule>
  </conditionalFormatting>
  <conditionalFormatting sqref="H27">
    <cfRule type="expression" dxfId="23" priority="1">
      <formula>FIND("E08",F27,1)&gt;0</formula>
    </cfRule>
  </conditionalFormatting>
  <dataValidations count="31">
    <dataValidation type="list" allowBlank="1" showInputMessage="1" showErrorMessage="1" sqref="C26" xr:uid="{00000000-0002-0000-0700-000000000000}">
      <formula1>OFFSET($AK$41,$N$25,,,$O$25)</formula1>
    </dataValidation>
    <dataValidation type="list" allowBlank="1" showInputMessage="1" showErrorMessage="1" sqref="C29:H29" xr:uid="{00000000-0002-0000-0700-000001000000}">
      <formula1>OFFSET($AK$41,$N$27,,,$O$27)</formula1>
    </dataValidation>
    <dataValidation type="list" allowBlank="1" showInputMessage="1" showErrorMessage="1" sqref="C28:H28" xr:uid="{00000000-0002-0000-0700-000002000000}">
      <formula1>OFFSET($AK$41,$N$26,,,$O$26)</formula1>
    </dataValidation>
    <dataValidation type="list" errorStyle="information" allowBlank="1" showInputMessage="1" showErrorMessage="1" sqref="C20:D20" xr:uid="{00000000-0002-0000-0700-000003000000}">
      <formula1>OFFSET($AK$41,$N$23,,,$O$23)</formula1>
    </dataValidation>
    <dataValidation type="list" allowBlank="1" showInputMessage="1" showErrorMessage="1" sqref="H7" xr:uid="{00000000-0002-0000-0700-000004000000}">
      <formula1>OFFSET($AK$41,$N$22,,,$O$22)</formula1>
    </dataValidation>
    <dataValidation type="list" allowBlank="1" showInputMessage="1" showErrorMessage="1" sqref="E6:H6" xr:uid="{00000000-0002-0000-0700-000005000000}">
      <formula1>OFFSET($AK$41,$N$21,,,$O$21)</formula1>
    </dataValidation>
    <dataValidation type="list" allowBlank="1" showInputMessage="1" showErrorMessage="1" sqref="F20" xr:uid="{00000000-0002-0000-0700-000006000000}">
      <formula1>OFFSET($AK$41,$N$24,,,$O$24)</formula1>
    </dataValidation>
    <dataValidation type="list" allowBlank="1" showInputMessage="1" showErrorMessage="1" sqref="H21" xr:uid="{00000000-0002-0000-0700-000007000000}">
      <formula1>OFFSET($AK$41,$N$34,,,$O$34)</formula1>
    </dataValidation>
    <dataValidation type="list" allowBlank="1" showInputMessage="1" showErrorMessage="1" sqref="H27 E27" xr:uid="{00000000-0002-0000-0700-000008000000}">
      <formula1>OFFSET($AK$41,$N$36,,,$O$36)</formula1>
    </dataValidation>
    <dataValidation type="list" allowBlank="1" showInputMessage="1" showErrorMessage="1" sqref="F19" xr:uid="{00000000-0002-0000-0700-000009000000}">
      <formula1>OFFSET($AK$41,$N$38,,,$O$38)</formula1>
    </dataValidation>
    <dataValidation type="list" allowBlank="1" showInputMessage="1" showErrorMessage="1" sqref="E26 H26" xr:uid="{00000000-0002-0000-0700-00000A000000}">
      <formula1>OFFSET($AK$41,$N$29,,,$O$29)</formula1>
    </dataValidation>
    <dataValidation type="list" allowBlank="1" showInputMessage="1" showErrorMessage="1" sqref="F27 C27" xr:uid="{00000000-0002-0000-0700-00000B000000}">
      <formula1>OFFSET($AK$41,$N$35,,,$O$35)</formula1>
    </dataValidation>
    <dataValidation type="list" allowBlank="1" showInputMessage="1" showErrorMessage="1" sqref="H20" xr:uid="{00000000-0002-0000-0700-00000C000000}">
      <formula1>OFFSET($AK$41,$N$28,,,$O$28)</formula1>
    </dataValidation>
    <dataValidation type="list" allowBlank="1" showInputMessage="1" showErrorMessage="1" sqref="C21:D21" xr:uid="{00000000-0002-0000-0700-00000D000000}">
      <formula1>OFFSET($AK$41,$N$32,,,$O$32)</formula1>
    </dataValidation>
    <dataValidation type="list" allowBlank="1" showInputMessage="1" showErrorMessage="1" sqref="C17:D17" xr:uid="{00000000-0002-0000-0700-00000E000000}">
      <formula1>OFFSET($AK$41,$N$31,,,$O$31)</formula1>
    </dataValidation>
    <dataValidation type="list" allowBlank="1" showInputMessage="1" showErrorMessage="1" sqref="F17" xr:uid="{00000000-0002-0000-0700-00000F000000}">
      <formula1>OFFSET($AK$41,$N$37,,,$O$37)</formula1>
    </dataValidation>
    <dataValidation type="list" allowBlank="1" showInputMessage="1" showErrorMessage="1" sqref="F21" xr:uid="{00000000-0002-0000-0700-000010000000}">
      <formula1>OFFSET($AK$41,$N$33,,,$O$33)</formula1>
    </dataValidation>
    <dataValidation type="list" allowBlank="1" showInputMessage="1" showErrorMessage="1" sqref="C16:D16" xr:uid="{00000000-0002-0000-0700-000011000000}">
      <formula1>OFFSET($AK$41,$N$30,,,$O$30)</formula1>
    </dataValidation>
    <dataValidation type="list" allowBlank="1" showInputMessage="1" showErrorMessage="1" sqref="F26" xr:uid="{00000000-0002-0000-0700-000012000000}">
      <formula1>OFFSET(AK41,$N$25,,,$O$25)</formula1>
    </dataValidation>
    <dataValidation type="list" allowBlank="1" showInputMessage="1" showErrorMessage="1" sqref="E3:F3" xr:uid="{00000000-0002-0000-0700-000013000000}">
      <formula1>$R$30:$X$30</formula1>
    </dataValidation>
    <dataValidation type="list" allowBlank="1" showInputMessage="1" showErrorMessage="1" sqref="C19:D19" xr:uid="{00000000-0002-0000-0700-000014000000}">
      <formula1>$R$32:$T$32</formula1>
    </dataValidation>
    <dataValidation type="list" allowBlank="1" showInputMessage="1" showErrorMessage="1" sqref="C23 F23" xr:uid="{00000000-0002-0000-0700-000015000000}">
      <formula1>$R$31:$U$31</formula1>
    </dataValidation>
    <dataValidation type="list" allowBlank="1" showInputMessage="1" showErrorMessage="1" sqref="H17" xr:uid="{00000000-0002-0000-0700-000016000000}">
      <formula1>OFFSET($R$20,$Q$19,,,$R$19)</formula1>
    </dataValidation>
    <dataValidation type="list" allowBlank="1" showInputMessage="1" showErrorMessage="1" sqref="E8" xr:uid="{00000000-0002-0000-0700-000017000000}">
      <formula1>OFFSET($R$39,$N$18,,,$O$18)</formula1>
    </dataValidation>
    <dataValidation type="list" errorStyle="warning" allowBlank="1" showInputMessage="1" showErrorMessage="1" errorTitle="wrong" error="wrong" sqref="C8" xr:uid="{00000000-0002-0000-0700-000018000000}">
      <formula1>OFFSET($R$39,$N$19,,,$O$19)</formula1>
    </dataValidation>
    <dataValidation type="list" allowBlank="1" showInputMessage="1" showErrorMessage="1" sqref="E5:H5" xr:uid="{00000000-0002-0000-0700-000019000000}">
      <formula1>OFFSET($R$8,$N$9,,,$N$10)</formula1>
    </dataValidation>
    <dataValidation type="list" allowBlank="1" showInputMessage="1" showErrorMessage="1" sqref="G19:H19" xr:uid="{00000000-0002-0000-0700-00001A000000}">
      <formula1>"rear wall,two side walls,three side walls"</formula1>
    </dataValidation>
    <dataValidation type="list" allowBlank="1" showInputMessage="1" showErrorMessage="1" sqref="F14" xr:uid="{00000000-0002-0000-0700-00001B000000}">
      <formula1>"Central opening,Side opening"</formula1>
    </dataValidation>
    <dataValidation type="list" allowBlank="1" showInputMessage="1" showErrorMessage="1" sqref="H12" xr:uid="{00000000-0002-0000-0700-00001C000000}">
      <formula1>"1D1G,1D2G,2D2G"</formula1>
    </dataValidation>
    <dataValidation type="list" allowBlank="1" showInputMessage="1" showErrorMessage="1" sqref="C5" xr:uid="{00000000-0002-0000-0700-00001D000000}">
      <formula1>$Q$9:$Q$14</formula1>
    </dataValidation>
    <dataValidation type="list" allowBlank="1" showInputMessage="1" showErrorMessage="1" sqref="C24:H24" xr:uid="{00000000-0002-0000-0700-00001E000000}">
      <formula1>"Steel sill bracket by seller,Concrete sill bracket by local"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202"/>
  <sheetViews>
    <sheetView view="pageBreakPreview" zoomScale="85" zoomScaleNormal="100" zoomScaleSheetLayoutView="85" workbookViewId="0">
      <selection activeCell="F12" sqref="F12"/>
    </sheetView>
  </sheetViews>
  <sheetFormatPr baseColWidth="10" defaultColWidth="9" defaultRowHeight="16"/>
  <cols>
    <col min="1" max="1" width="12.33203125" style="17" bestFit="1" customWidth="1"/>
    <col min="2" max="2" width="15.1640625" style="18" bestFit="1" customWidth="1"/>
    <col min="3" max="3" width="13.1640625" style="17" customWidth="1"/>
    <col min="4" max="4" width="11.1640625" style="17" bestFit="1" customWidth="1"/>
    <col min="5" max="6" width="14.1640625" style="17" bestFit="1" customWidth="1"/>
    <col min="7" max="7" width="12" style="17" bestFit="1" customWidth="1"/>
    <col min="8" max="8" width="10.83203125" style="17" bestFit="1" customWidth="1"/>
    <col min="9" max="9" width="11.5" style="101" customWidth="1"/>
    <col min="10" max="10" width="4" style="101" customWidth="1"/>
    <col min="11" max="11" width="4" style="27" customWidth="1"/>
    <col min="12" max="12" width="4.6640625" style="43" customWidth="1"/>
    <col min="13" max="13" width="19.5" style="12" hidden="1" customWidth="1"/>
    <col min="14" max="16" width="9" style="15" hidden="1" customWidth="1"/>
    <col min="17" max="17" width="16" style="12" hidden="1" customWidth="1"/>
    <col min="18" max="22" width="13.6640625" hidden="1" customWidth="1"/>
    <col min="23" max="27" width="11.6640625" hidden="1" customWidth="1"/>
    <col min="28" max="28" width="12.33203125" hidden="1" customWidth="1"/>
    <col min="29" max="29" width="12.1640625" hidden="1" customWidth="1"/>
    <col min="30" max="30" width="17.33203125" style="12" hidden="1" customWidth="1"/>
    <col min="31" max="31" width="2.33203125" style="12" hidden="1" customWidth="1"/>
    <col min="32" max="32" width="12.1640625" style="12" hidden="1" customWidth="1"/>
    <col min="33" max="33" width="3.83203125" style="12" hidden="1" customWidth="1"/>
    <col min="34" max="35" width="12.6640625" style="12" hidden="1" customWidth="1"/>
    <col min="36" max="36" width="17.1640625" style="12" hidden="1" customWidth="1"/>
    <col min="37" max="37" width="12.6640625" style="12" hidden="1" customWidth="1"/>
    <col min="38" max="38" width="11.33203125" style="12" hidden="1" customWidth="1"/>
    <col min="39" max="39" width="12.1640625" style="12" hidden="1" customWidth="1"/>
    <col min="40" max="40" width="10.6640625" style="12" hidden="1" customWidth="1"/>
    <col min="41" max="41" width="10.33203125" style="12" hidden="1" customWidth="1"/>
    <col min="42" max="42" width="10.6640625" style="12" hidden="1" customWidth="1"/>
    <col min="43" max="45" width="10.83203125" style="27" hidden="1" customWidth="1"/>
    <col min="46" max="46" width="9.6640625" style="27" hidden="1" customWidth="1"/>
    <col min="47" max="47" width="9" style="27" hidden="1" customWidth="1"/>
    <col min="48" max="48" width="13.1640625" style="27" hidden="1" customWidth="1"/>
    <col min="49" max="49" width="16.83203125" style="27" hidden="1" customWidth="1"/>
    <col min="50" max="50" width="12.83203125" style="27" hidden="1" customWidth="1"/>
    <col min="51" max="52" width="12.1640625" style="27" hidden="1" customWidth="1"/>
    <col min="53" max="53" width="12.83203125" style="27" hidden="1" customWidth="1"/>
    <col min="54" max="54" width="12.1640625" style="27" hidden="1" customWidth="1"/>
    <col min="55" max="55" width="15.5" style="27" hidden="1" customWidth="1"/>
    <col min="56" max="66" width="9" style="27" hidden="1" customWidth="1"/>
    <col min="67" max="16384" width="9" style="27"/>
  </cols>
  <sheetData>
    <row r="1" spans="1:71" s="17" customFormat="1" ht="23">
      <c r="A1" s="127" t="s">
        <v>84</v>
      </c>
      <c r="B1" s="128"/>
      <c r="C1" s="128"/>
      <c r="D1" s="128"/>
      <c r="E1" s="128"/>
      <c r="F1" s="128"/>
      <c r="G1" s="128"/>
      <c r="H1" s="128"/>
      <c r="I1" s="102"/>
      <c r="J1" s="103"/>
      <c r="K1" s="16"/>
      <c r="L1" s="43"/>
      <c r="M1" s="1"/>
      <c r="N1" s="2"/>
      <c r="O1" s="2"/>
      <c r="P1" s="2"/>
      <c r="Q1" s="1"/>
      <c r="R1"/>
      <c r="S1"/>
      <c r="T1"/>
      <c r="U1"/>
      <c r="V1"/>
      <c r="W1"/>
      <c r="X1"/>
      <c r="Y1"/>
      <c r="Z1"/>
      <c r="AA1"/>
      <c r="AB1"/>
      <c r="AC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86"/>
    </row>
    <row r="2" spans="1:71" s="17" customFormat="1" ht="25" thickBot="1">
      <c r="B2" s="18"/>
      <c r="I2" s="102"/>
      <c r="J2" s="103"/>
      <c r="L2" s="43"/>
      <c r="M2" s="1"/>
      <c r="N2" s="2"/>
      <c r="O2" s="2"/>
      <c r="P2" s="2"/>
      <c r="Q2" s="1"/>
      <c r="R2"/>
      <c r="S2"/>
      <c r="T2"/>
      <c r="U2"/>
      <c r="V2"/>
      <c r="W2"/>
      <c r="X2"/>
      <c r="Y2"/>
      <c r="Z2"/>
      <c r="AA2"/>
      <c r="AB2"/>
      <c r="AC2"/>
      <c r="AD2" s="1"/>
      <c r="AE2" s="1"/>
      <c r="AF2" s="1"/>
      <c r="AG2" s="1"/>
      <c r="AH2" s="1"/>
      <c r="AI2" s="1"/>
      <c r="AJ2" s="93"/>
      <c r="AK2" s="84" t="s">
        <v>342</v>
      </c>
      <c r="AL2" s="85" t="s">
        <v>18</v>
      </c>
      <c r="AM2" s="85" t="s">
        <v>19</v>
      </c>
      <c r="AN2" s="85" t="s">
        <v>86</v>
      </c>
      <c r="AO2" s="85" t="s">
        <v>201</v>
      </c>
      <c r="AP2" s="85" t="s">
        <v>120</v>
      </c>
      <c r="AQ2" s="85" t="s">
        <v>202</v>
      </c>
      <c r="AR2" s="85" t="s">
        <v>290</v>
      </c>
      <c r="AS2" s="85" t="s">
        <v>452</v>
      </c>
      <c r="AT2" s="85" t="s">
        <v>102</v>
      </c>
      <c r="AU2" s="85" t="s">
        <v>20</v>
      </c>
      <c r="AV2" s="85" t="s">
        <v>105</v>
      </c>
      <c r="AW2" s="85" t="s">
        <v>106</v>
      </c>
      <c r="AX2" s="85" t="s">
        <v>303</v>
      </c>
      <c r="AY2" s="85" t="s">
        <v>512</v>
      </c>
      <c r="AZ2" s="85" t="s">
        <v>302</v>
      </c>
      <c r="BA2" s="85" t="s">
        <v>124</v>
      </c>
      <c r="BB2" s="85" t="s">
        <v>125</v>
      </c>
      <c r="BC2" s="93"/>
    </row>
    <row r="3" spans="1:71" s="17" customFormat="1" ht="21" customHeight="1">
      <c r="A3" s="51" t="s">
        <v>57</v>
      </c>
      <c r="B3" s="143" t="s">
        <v>567</v>
      </c>
      <c r="C3" s="144"/>
      <c r="D3" s="52" t="s">
        <v>58</v>
      </c>
      <c r="E3" s="145" t="s">
        <v>569</v>
      </c>
      <c r="F3" s="146"/>
      <c r="G3" s="52" t="s">
        <v>59</v>
      </c>
      <c r="H3" s="53">
        <v>45856</v>
      </c>
      <c r="I3" s="102"/>
      <c r="J3" s="104"/>
      <c r="K3" s="19"/>
      <c r="L3" s="43"/>
      <c r="U3" s="1"/>
      <c r="V3"/>
      <c r="W3"/>
      <c r="X3"/>
      <c r="Y3"/>
      <c r="Z3"/>
      <c r="AA3"/>
      <c r="AB3"/>
      <c r="AC3"/>
      <c r="AD3" s="1"/>
      <c r="AE3" s="1"/>
      <c r="AF3" s="1"/>
      <c r="AG3" s="1"/>
      <c r="AH3" s="1"/>
      <c r="AI3" s="1"/>
      <c r="AJ3" s="93" t="s">
        <v>85</v>
      </c>
      <c r="AK3" s="85">
        <v>1</v>
      </c>
      <c r="AL3" s="85">
        <v>11</v>
      </c>
      <c r="AM3" s="85">
        <v>36</v>
      </c>
      <c r="AN3" s="85">
        <v>37</v>
      </c>
      <c r="AO3" s="85">
        <v>38</v>
      </c>
      <c r="AP3" s="85">
        <v>39</v>
      </c>
      <c r="AQ3" s="85">
        <v>40</v>
      </c>
      <c r="AR3" s="85">
        <v>41</v>
      </c>
      <c r="AS3" s="85">
        <v>42</v>
      </c>
      <c r="AT3" s="85">
        <v>43</v>
      </c>
      <c r="AU3" s="85">
        <v>44</v>
      </c>
      <c r="AV3" s="85">
        <v>121</v>
      </c>
      <c r="AW3" s="85">
        <v>122</v>
      </c>
      <c r="AX3" s="85">
        <v>127</v>
      </c>
      <c r="AY3" s="85">
        <v>129</v>
      </c>
      <c r="AZ3" s="85">
        <v>133</v>
      </c>
      <c r="BA3" s="85">
        <v>137</v>
      </c>
      <c r="BB3" s="85">
        <v>144</v>
      </c>
      <c r="BC3" s="93" t="str">
        <f>AJ3</f>
        <v>LEHY-III</v>
      </c>
    </row>
    <row r="4" spans="1:71" s="17" customFormat="1" ht="20" customHeight="1" thickBot="1">
      <c r="A4" s="54" t="s">
        <v>60</v>
      </c>
      <c r="B4" s="129" t="s">
        <v>568</v>
      </c>
      <c r="C4" s="129"/>
      <c r="D4" s="76" t="s">
        <v>61</v>
      </c>
      <c r="E4" s="130" t="s">
        <v>570</v>
      </c>
      <c r="F4" s="131"/>
      <c r="G4" s="131"/>
      <c r="H4" s="132"/>
      <c r="I4" s="102"/>
      <c r="J4" s="103"/>
      <c r="L4" s="43"/>
      <c r="U4" s="1"/>
      <c r="V4"/>
      <c r="W4"/>
      <c r="X4"/>
      <c r="Y4"/>
      <c r="Z4"/>
      <c r="AA4"/>
      <c r="AB4"/>
      <c r="AC4"/>
      <c r="AD4" s="1"/>
      <c r="AF4" s="1"/>
      <c r="AG4" s="1"/>
      <c r="AH4" s="1"/>
      <c r="AI4" s="1"/>
      <c r="AJ4" s="93" t="s">
        <v>478</v>
      </c>
      <c r="AK4" s="85">
        <v>1</v>
      </c>
      <c r="AL4" s="85">
        <v>11</v>
      </c>
      <c r="AM4" s="85">
        <v>36</v>
      </c>
      <c r="AN4" s="85">
        <v>37</v>
      </c>
      <c r="AO4" s="85">
        <v>38</v>
      </c>
      <c r="AP4" s="85">
        <v>39</v>
      </c>
      <c r="AQ4" s="85">
        <v>40</v>
      </c>
      <c r="AR4" s="85">
        <v>41</v>
      </c>
      <c r="AS4" s="85">
        <v>42</v>
      </c>
      <c r="AT4" s="85">
        <v>43</v>
      </c>
      <c r="AU4" s="85">
        <v>44</v>
      </c>
      <c r="AV4" s="85">
        <v>121</v>
      </c>
      <c r="AW4" s="85">
        <v>122</v>
      </c>
      <c r="AX4" s="85">
        <v>127</v>
      </c>
      <c r="AY4" s="85">
        <v>129</v>
      </c>
      <c r="AZ4" s="85">
        <v>133</v>
      </c>
      <c r="BA4" s="85">
        <v>137</v>
      </c>
      <c r="BB4" s="85">
        <v>144</v>
      </c>
      <c r="BC4" s="93" t="str">
        <f t="shared" ref="BC4:BC39" si="0">AJ4</f>
        <v>LEHY-Pro</v>
      </c>
    </row>
    <row r="5" spans="1:71" s="17" customFormat="1" ht="20" customHeight="1">
      <c r="A5" s="120" t="s">
        <v>44</v>
      </c>
      <c r="B5" s="77" t="s">
        <v>62</v>
      </c>
      <c r="C5" s="78" t="s">
        <v>562</v>
      </c>
      <c r="D5" s="79" t="s">
        <v>187</v>
      </c>
      <c r="E5" s="133" t="s">
        <v>563</v>
      </c>
      <c r="F5" s="134"/>
      <c r="G5" s="134"/>
      <c r="H5" s="135"/>
      <c r="I5" s="102"/>
      <c r="J5" s="103"/>
      <c r="K5" s="20"/>
      <c r="L5" s="43"/>
      <c r="U5" s="1"/>
      <c r="V5"/>
      <c r="W5"/>
      <c r="X5"/>
      <c r="Y5"/>
      <c r="Z5"/>
      <c r="AA5"/>
      <c r="AB5"/>
      <c r="AC5"/>
      <c r="AD5" s="1"/>
      <c r="AF5" s="1"/>
      <c r="AG5" s="1"/>
      <c r="AH5" s="1"/>
      <c r="AI5" s="1"/>
      <c r="AJ5" s="93" t="s">
        <v>126</v>
      </c>
      <c r="AK5" s="85">
        <v>1</v>
      </c>
      <c r="AL5" s="85">
        <v>11</v>
      </c>
      <c r="AM5" s="85">
        <v>36</v>
      </c>
      <c r="AN5" s="85">
        <v>37</v>
      </c>
      <c r="AO5" s="85">
        <v>38</v>
      </c>
      <c r="AP5" s="85">
        <v>39</v>
      </c>
      <c r="AQ5" s="85">
        <v>40</v>
      </c>
      <c r="AR5" s="85">
        <v>41</v>
      </c>
      <c r="AS5" s="85">
        <v>42</v>
      </c>
      <c r="AT5" s="85">
        <v>43</v>
      </c>
      <c r="AU5" s="85">
        <v>44</v>
      </c>
      <c r="AV5" s="85">
        <v>121</v>
      </c>
      <c r="AW5" s="85">
        <v>122</v>
      </c>
      <c r="AX5" s="85">
        <v>127</v>
      </c>
      <c r="AY5" s="85">
        <v>129</v>
      </c>
      <c r="AZ5" s="85">
        <v>133</v>
      </c>
      <c r="BA5" s="85">
        <v>137</v>
      </c>
      <c r="BB5" s="85">
        <v>144</v>
      </c>
      <c r="BC5" s="93" t="str">
        <f t="shared" si="0"/>
        <v>LEHY-M-II</v>
      </c>
    </row>
    <row r="6" spans="1:71" s="17" customFormat="1" ht="20" customHeight="1">
      <c r="A6" s="121"/>
      <c r="B6" s="123" t="s">
        <v>225</v>
      </c>
      <c r="C6" s="123"/>
      <c r="D6" s="123"/>
      <c r="E6" s="124" t="s">
        <v>554</v>
      </c>
      <c r="F6" s="125"/>
      <c r="G6" s="125"/>
      <c r="H6" s="126"/>
      <c r="I6" s="102"/>
      <c r="J6" s="103"/>
      <c r="L6" s="43"/>
      <c r="M6" s="1"/>
      <c r="N6" s="1"/>
      <c r="O6" s="1"/>
      <c r="P6" s="2"/>
      <c r="Q6" s="2"/>
      <c r="R6" s="2"/>
      <c r="S6" s="2"/>
      <c r="T6"/>
      <c r="U6"/>
      <c r="V6"/>
      <c r="W6"/>
      <c r="X6"/>
      <c r="Y6"/>
      <c r="Z6"/>
      <c r="AA6"/>
      <c r="AB6"/>
      <c r="AC6"/>
      <c r="AD6" s="1"/>
      <c r="AF6" s="1"/>
      <c r="AG6" s="1"/>
      <c r="AH6" s="1"/>
      <c r="AI6" s="1"/>
      <c r="AJ6" s="93" t="s">
        <v>159</v>
      </c>
      <c r="AK6" s="85">
        <v>1</v>
      </c>
      <c r="AL6" s="85">
        <v>11</v>
      </c>
      <c r="AM6" s="85">
        <v>36</v>
      </c>
      <c r="AN6" s="85">
        <v>37</v>
      </c>
      <c r="AO6" s="85">
        <v>38</v>
      </c>
      <c r="AP6" s="85">
        <v>39</v>
      </c>
      <c r="AQ6" s="85">
        <v>40</v>
      </c>
      <c r="AR6" s="85">
        <v>41</v>
      </c>
      <c r="AS6" s="85">
        <v>42</v>
      </c>
      <c r="AT6" s="85">
        <v>43</v>
      </c>
      <c r="AU6" s="85">
        <v>44</v>
      </c>
      <c r="AV6" s="85">
        <v>121</v>
      </c>
      <c r="AW6" s="85">
        <v>122</v>
      </c>
      <c r="AX6" s="85">
        <v>127</v>
      </c>
      <c r="AY6" s="85">
        <v>129</v>
      </c>
      <c r="AZ6" s="85">
        <v>133</v>
      </c>
      <c r="BA6" s="85">
        <v>137</v>
      </c>
      <c r="BB6" s="85">
        <v>144</v>
      </c>
      <c r="BC6" s="93" t="str">
        <f t="shared" si="0"/>
        <v>LEHY-H</v>
      </c>
    </row>
    <row r="7" spans="1:71" s="17" customFormat="1" ht="20" customHeight="1">
      <c r="A7" s="121"/>
      <c r="B7" s="48" t="s">
        <v>63</v>
      </c>
      <c r="C7" s="55">
        <v>1</v>
      </c>
      <c r="D7" s="48" t="s">
        <v>45</v>
      </c>
      <c r="E7" s="136" t="s">
        <v>676</v>
      </c>
      <c r="F7" s="139"/>
      <c r="G7" s="48" t="s">
        <v>96</v>
      </c>
      <c r="H7" s="41" t="s">
        <v>572</v>
      </c>
      <c r="I7" s="102">
        <v>0</v>
      </c>
      <c r="J7" s="103"/>
      <c r="L7" s="43"/>
      <c r="M7" s="1"/>
      <c r="N7" s="1"/>
      <c r="O7" s="1"/>
      <c r="P7" s="2"/>
      <c r="Q7" s="1"/>
      <c r="R7"/>
      <c r="S7"/>
      <c r="T7"/>
      <c r="U7"/>
      <c r="V7"/>
      <c r="W7"/>
      <c r="X7"/>
      <c r="Y7"/>
      <c r="Z7"/>
      <c r="AA7"/>
      <c r="AB7"/>
      <c r="AC7"/>
      <c r="AD7" s="1"/>
      <c r="AF7" s="1"/>
      <c r="AG7" s="1"/>
      <c r="AH7" s="1"/>
      <c r="AI7" s="1"/>
      <c r="AJ7" s="93" t="s">
        <v>177</v>
      </c>
      <c r="AK7" s="85">
        <v>1</v>
      </c>
      <c r="AL7" s="85">
        <v>11</v>
      </c>
      <c r="AM7" s="85">
        <v>36</v>
      </c>
      <c r="AN7" s="85">
        <v>37</v>
      </c>
      <c r="AO7" s="85">
        <v>38</v>
      </c>
      <c r="AP7" s="85">
        <v>39</v>
      </c>
      <c r="AQ7" s="85">
        <v>40</v>
      </c>
      <c r="AR7" s="85">
        <v>41</v>
      </c>
      <c r="AS7" s="85">
        <v>42</v>
      </c>
      <c r="AT7" s="85">
        <v>43</v>
      </c>
      <c r="AU7" s="85">
        <v>44</v>
      </c>
      <c r="AV7" s="85">
        <v>121</v>
      </c>
      <c r="AW7" s="85">
        <v>122</v>
      </c>
      <c r="AX7" s="85">
        <v>127</v>
      </c>
      <c r="AY7" s="85">
        <v>129</v>
      </c>
      <c r="AZ7" s="85">
        <v>133</v>
      </c>
      <c r="BA7" s="85">
        <v>137</v>
      </c>
      <c r="BB7" s="85">
        <v>144</v>
      </c>
      <c r="BC7" s="93" t="str">
        <f t="shared" si="0"/>
        <v>LEHY-MRL-II</v>
      </c>
    </row>
    <row r="8" spans="1:71" s="17" customFormat="1" ht="20" customHeight="1">
      <c r="A8" s="121"/>
      <c r="B8" s="48" t="s">
        <v>0</v>
      </c>
      <c r="C8" s="56" t="s">
        <v>152</v>
      </c>
      <c r="D8" s="48" t="s">
        <v>1</v>
      </c>
      <c r="E8" s="56" t="s">
        <v>95</v>
      </c>
      <c r="F8" s="69" t="s">
        <v>46</v>
      </c>
      <c r="G8" s="140" t="s">
        <v>573</v>
      </c>
      <c r="H8" s="141"/>
      <c r="I8" s="102">
        <v>187950</v>
      </c>
      <c r="J8" s="103"/>
      <c r="K8" s="21"/>
      <c r="L8" s="43"/>
      <c r="M8" s="1" t="s">
        <v>21</v>
      </c>
      <c r="N8" s="2">
        <f>MATCH(C5,Q1:Q17,0)</f>
        <v>9</v>
      </c>
      <c r="O8" s="2"/>
      <c r="P8" s="2" t="s">
        <v>23</v>
      </c>
      <c r="Q8" s="5" t="s">
        <v>41</v>
      </c>
      <c r="R8" s="6" t="s">
        <v>42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"/>
      <c r="AF8" s="82"/>
      <c r="AG8" s="82"/>
      <c r="AH8" s="82"/>
      <c r="AI8" s="82"/>
      <c r="AJ8" s="93" t="s">
        <v>472</v>
      </c>
      <c r="AK8" s="85">
        <v>1</v>
      </c>
      <c r="AL8" s="85">
        <v>11</v>
      </c>
      <c r="AM8" s="85">
        <v>36</v>
      </c>
      <c r="AN8" s="85">
        <v>37</v>
      </c>
      <c r="AO8" s="85">
        <v>38</v>
      </c>
      <c r="AP8" s="85">
        <v>39</v>
      </c>
      <c r="AQ8" s="85">
        <v>40</v>
      </c>
      <c r="AR8" s="85">
        <v>41</v>
      </c>
      <c r="AS8" s="85">
        <v>42</v>
      </c>
      <c r="AT8" s="87">
        <v>119</v>
      </c>
      <c r="AU8" s="85">
        <v>44</v>
      </c>
      <c r="AV8" s="85">
        <v>121</v>
      </c>
      <c r="AW8" s="85">
        <v>122</v>
      </c>
      <c r="AX8" s="85">
        <v>127</v>
      </c>
      <c r="AY8" s="85">
        <v>129</v>
      </c>
      <c r="AZ8" s="85">
        <v>133</v>
      </c>
      <c r="BA8" s="85">
        <v>137</v>
      </c>
      <c r="BB8" s="85">
        <v>146</v>
      </c>
      <c r="BC8" s="93" t="str">
        <f t="shared" si="0"/>
        <v>LEHY-III-NZ11S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</row>
    <row r="9" spans="1:71" s="17" customFormat="1" ht="20" customHeight="1">
      <c r="A9" s="121"/>
      <c r="B9" s="48" t="s">
        <v>47</v>
      </c>
      <c r="C9" s="55">
        <v>3</v>
      </c>
      <c r="D9" s="48" t="s">
        <v>48</v>
      </c>
      <c r="E9" s="55">
        <v>3</v>
      </c>
      <c r="F9" s="57" t="s">
        <v>49</v>
      </c>
      <c r="G9" s="136">
        <v>3</v>
      </c>
      <c r="H9" s="137"/>
      <c r="I9" s="102">
        <v>-20970</v>
      </c>
      <c r="J9" s="103" t="s">
        <v>677</v>
      </c>
      <c r="K9" s="23"/>
      <c r="L9" s="43"/>
      <c r="M9" s="1" t="s">
        <v>182</v>
      </c>
      <c r="N9" s="71">
        <f>MATCH(C5,Q9:Q17,0)</f>
        <v>1</v>
      </c>
      <c r="O9" s="71"/>
      <c r="P9" s="2">
        <f>MATCH("\\",R9:AC9,0)-1</f>
        <v>8</v>
      </c>
      <c r="Q9" s="8" t="s">
        <v>180</v>
      </c>
      <c r="R9" s="9" t="s">
        <v>85</v>
      </c>
      <c r="S9" s="9" t="s">
        <v>176</v>
      </c>
      <c r="T9" s="9" t="s">
        <v>145</v>
      </c>
      <c r="U9" s="9" t="s">
        <v>478</v>
      </c>
      <c r="V9" s="17" t="s">
        <v>524</v>
      </c>
      <c r="W9" s="9" t="s">
        <v>556</v>
      </c>
      <c r="X9" s="9" t="s">
        <v>126</v>
      </c>
      <c r="Y9" s="9" t="s">
        <v>159</v>
      </c>
      <c r="Z9" s="9" t="s">
        <v>149</v>
      </c>
      <c r="AA9" s="7"/>
      <c r="AB9" s="7"/>
      <c r="AC9" s="7"/>
      <c r="AD9"/>
      <c r="AF9" s="82"/>
      <c r="AG9" s="82"/>
      <c r="AH9" s="82"/>
      <c r="AI9" s="82"/>
      <c r="AJ9" s="93" t="s">
        <v>474</v>
      </c>
      <c r="AK9" s="85">
        <v>1</v>
      </c>
      <c r="AL9" s="85">
        <v>11</v>
      </c>
      <c r="AM9" s="85">
        <v>36</v>
      </c>
      <c r="AN9" s="85">
        <v>37</v>
      </c>
      <c r="AO9" s="85">
        <v>38</v>
      </c>
      <c r="AP9" s="85">
        <v>39</v>
      </c>
      <c r="AQ9" s="85">
        <v>40</v>
      </c>
      <c r="AR9" s="85">
        <v>41</v>
      </c>
      <c r="AS9" s="85">
        <v>42</v>
      </c>
      <c r="AT9" s="87">
        <v>119</v>
      </c>
      <c r="AU9" s="85">
        <v>44</v>
      </c>
      <c r="AV9" s="85">
        <v>121</v>
      </c>
      <c r="AW9" s="85">
        <v>122</v>
      </c>
      <c r="AX9" s="85">
        <v>127</v>
      </c>
      <c r="AY9" s="85">
        <v>129</v>
      </c>
      <c r="AZ9" s="85">
        <v>133</v>
      </c>
      <c r="BA9" s="85">
        <v>137</v>
      </c>
      <c r="BB9" s="85">
        <v>146</v>
      </c>
      <c r="BC9" s="93" t="str">
        <f t="shared" si="0"/>
        <v>LEHY-III-NZ22S</v>
      </c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</row>
    <row r="10" spans="1:71" s="17" customFormat="1" ht="20" customHeight="1">
      <c r="A10" s="121"/>
      <c r="B10" s="50" t="s">
        <v>50</v>
      </c>
      <c r="C10" s="48" t="s">
        <v>64</v>
      </c>
      <c r="D10" s="98">
        <v>1</v>
      </c>
      <c r="E10" s="48" t="s">
        <v>54</v>
      </c>
      <c r="F10" s="142" t="s">
        <v>635</v>
      </c>
      <c r="G10" s="136"/>
      <c r="H10" s="138"/>
      <c r="I10" s="102"/>
      <c r="J10" s="103"/>
      <c r="K10" s="23"/>
      <c r="L10" s="43"/>
      <c r="M10" s="1" t="s">
        <v>183</v>
      </c>
      <c r="N10" s="2">
        <f>INDEX(P9:P17,N9)</f>
        <v>8</v>
      </c>
      <c r="O10" s="2"/>
      <c r="P10" s="2">
        <f t="shared" ref="P10:P14" si="1">MATCH("\\",R10:AC10,0)-1</f>
        <v>5</v>
      </c>
      <c r="Q10" s="8" t="s">
        <v>186</v>
      </c>
      <c r="R10" s="9" t="s">
        <v>521</v>
      </c>
      <c r="S10" s="17" t="s">
        <v>522</v>
      </c>
      <c r="T10" s="9" t="s">
        <v>536</v>
      </c>
      <c r="U10" s="17" t="s">
        <v>537</v>
      </c>
      <c r="V10" s="9" t="s">
        <v>179</v>
      </c>
      <c r="W10" s="9" t="s">
        <v>149</v>
      </c>
      <c r="X10" s="9"/>
      <c r="Y10" s="9"/>
      <c r="Z10" s="9"/>
      <c r="AA10" s="7"/>
      <c r="AB10" s="7"/>
      <c r="AC10" s="7"/>
      <c r="AD10" s="1"/>
      <c r="AF10" s="82"/>
      <c r="AG10" s="82"/>
      <c r="AH10" s="82"/>
      <c r="AI10" s="82"/>
      <c r="AJ10" s="93" t="s">
        <v>100</v>
      </c>
      <c r="AK10" s="85">
        <v>1</v>
      </c>
      <c r="AL10" s="85">
        <v>11</v>
      </c>
      <c r="AM10" s="85">
        <v>36</v>
      </c>
      <c r="AN10" s="85">
        <v>37</v>
      </c>
      <c r="AO10" s="85">
        <v>38</v>
      </c>
      <c r="AP10" s="85">
        <v>39</v>
      </c>
      <c r="AQ10" s="85">
        <v>40</v>
      </c>
      <c r="AR10" s="85">
        <v>41</v>
      </c>
      <c r="AS10" s="85">
        <v>42</v>
      </c>
      <c r="AT10" s="87">
        <v>119</v>
      </c>
      <c r="AU10" s="87">
        <v>116</v>
      </c>
      <c r="AV10" s="85">
        <v>121</v>
      </c>
      <c r="AW10" s="85">
        <v>122</v>
      </c>
      <c r="AX10" s="85">
        <v>127</v>
      </c>
      <c r="AY10" s="85">
        <v>129</v>
      </c>
      <c r="AZ10" s="85">
        <v>133</v>
      </c>
      <c r="BA10" s="87">
        <v>138</v>
      </c>
      <c r="BB10" s="85">
        <v>146</v>
      </c>
      <c r="BC10" s="93" t="str">
        <f t="shared" si="0"/>
        <v>LEHY-III-HY05S</v>
      </c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</row>
    <row r="11" spans="1:71" s="17" customFormat="1" ht="20" customHeight="1">
      <c r="A11" s="121"/>
      <c r="B11" s="48" t="s">
        <v>8</v>
      </c>
      <c r="C11" s="136" t="s">
        <v>51</v>
      </c>
      <c r="D11" s="136"/>
      <c r="E11" s="48" t="s">
        <v>80</v>
      </c>
      <c r="F11" s="136" t="s">
        <v>52</v>
      </c>
      <c r="G11" s="136"/>
      <c r="H11" s="138"/>
      <c r="I11" s="102"/>
      <c r="J11" s="103"/>
      <c r="K11" s="22"/>
      <c r="L11" s="43"/>
      <c r="M11" s="10"/>
      <c r="N11" s="2"/>
      <c r="O11" s="2"/>
      <c r="P11" s="2">
        <f t="shared" si="1"/>
        <v>2</v>
      </c>
      <c r="Q11" s="8" t="s">
        <v>16</v>
      </c>
      <c r="R11" s="9" t="s">
        <v>226</v>
      </c>
      <c r="S11" s="9" t="s">
        <v>227</v>
      </c>
      <c r="T11" s="9" t="s">
        <v>149</v>
      </c>
      <c r="U11" s="7"/>
      <c r="V11" s="7"/>
      <c r="W11" s="7"/>
      <c r="X11" s="7"/>
      <c r="Y11" s="9"/>
      <c r="Z11" s="9"/>
      <c r="AA11" s="74"/>
      <c r="AB11" s="9"/>
      <c r="AC11" s="7"/>
      <c r="AD11" s="1"/>
      <c r="AF11" s="82"/>
      <c r="AG11" s="82"/>
      <c r="AH11" s="82"/>
      <c r="AI11" s="82"/>
      <c r="AJ11" s="93" t="s">
        <v>101</v>
      </c>
      <c r="AK11" s="85">
        <v>1</v>
      </c>
      <c r="AL11" s="85">
        <v>11</v>
      </c>
      <c r="AM11" s="85">
        <v>36</v>
      </c>
      <c r="AN11" s="85">
        <v>37</v>
      </c>
      <c r="AO11" s="85">
        <v>38</v>
      </c>
      <c r="AP11" s="85">
        <v>39</v>
      </c>
      <c r="AQ11" s="85">
        <v>40</v>
      </c>
      <c r="AR11" s="85">
        <v>41</v>
      </c>
      <c r="AS11" s="85">
        <v>42</v>
      </c>
      <c r="AT11" s="87">
        <v>119</v>
      </c>
      <c r="AU11" s="87">
        <v>117</v>
      </c>
      <c r="AV11" s="85">
        <v>121</v>
      </c>
      <c r="AW11" s="85">
        <v>122</v>
      </c>
      <c r="AX11" s="85">
        <v>127</v>
      </c>
      <c r="AY11" s="85">
        <v>129</v>
      </c>
      <c r="AZ11" s="85">
        <v>133</v>
      </c>
      <c r="BA11" s="85">
        <v>137</v>
      </c>
      <c r="BB11" s="85">
        <v>146</v>
      </c>
      <c r="BC11" s="93" t="str">
        <f t="shared" si="0"/>
        <v>LEHY-III-SY06S</v>
      </c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</row>
    <row r="12" spans="1:71" s="17" customFormat="1" ht="20" customHeight="1">
      <c r="A12" s="121"/>
      <c r="B12" s="48" t="s">
        <v>43</v>
      </c>
      <c r="C12" s="48" t="s">
        <v>74</v>
      </c>
      <c r="D12" s="108">
        <v>2100</v>
      </c>
      <c r="E12" s="48" t="s">
        <v>72</v>
      </c>
      <c r="F12" s="108">
        <v>2890</v>
      </c>
      <c r="G12" s="48" t="s">
        <v>69</v>
      </c>
      <c r="H12" s="41" t="s">
        <v>665</v>
      </c>
      <c r="I12" s="102">
        <v>27090</v>
      </c>
      <c r="J12" s="103"/>
      <c r="K12" s="23"/>
      <c r="L12" s="43"/>
      <c r="M12" s="10"/>
      <c r="N12" s="11"/>
      <c r="O12" s="11"/>
      <c r="P12" s="2">
        <f>MATCH("\\",R12:AE12,0)-1</f>
        <v>13</v>
      </c>
      <c r="Q12" s="8" t="s">
        <v>181</v>
      </c>
      <c r="R12" s="9" t="s">
        <v>472</v>
      </c>
      <c r="S12" s="9" t="s">
        <v>474</v>
      </c>
      <c r="T12" s="9" t="s">
        <v>174</v>
      </c>
      <c r="U12" s="9" t="s">
        <v>175</v>
      </c>
      <c r="V12" s="9" t="s">
        <v>558</v>
      </c>
      <c r="W12" s="9" t="s">
        <v>559</v>
      </c>
      <c r="X12" s="9" t="s">
        <v>560</v>
      </c>
      <c r="Y12" s="9" t="s">
        <v>561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149</v>
      </c>
      <c r="AF12" s="82"/>
      <c r="AG12" s="82"/>
      <c r="AH12" s="82"/>
      <c r="AI12" s="82"/>
      <c r="AJ12" s="93" t="s">
        <v>226</v>
      </c>
      <c r="AK12" s="85">
        <v>2</v>
      </c>
      <c r="AL12" s="85">
        <v>12</v>
      </c>
      <c r="AM12" s="85">
        <v>36</v>
      </c>
      <c r="AN12" s="85">
        <v>37</v>
      </c>
      <c r="AO12" s="85">
        <v>38</v>
      </c>
      <c r="AP12" s="85">
        <v>39</v>
      </c>
      <c r="AQ12" s="85">
        <v>40</v>
      </c>
      <c r="AR12" s="85">
        <v>41</v>
      </c>
      <c r="AS12" s="85">
        <v>42</v>
      </c>
      <c r="AT12" s="85">
        <v>43</v>
      </c>
      <c r="AU12" s="85">
        <v>44</v>
      </c>
      <c r="AV12" s="85">
        <v>121</v>
      </c>
      <c r="AW12" s="85">
        <v>122</v>
      </c>
      <c r="AX12" s="85">
        <v>127</v>
      </c>
      <c r="AY12" s="85">
        <v>129</v>
      </c>
      <c r="AZ12" s="85">
        <v>133</v>
      </c>
      <c r="BA12" s="85">
        <v>137</v>
      </c>
      <c r="BB12" s="85">
        <v>144</v>
      </c>
      <c r="BC12" s="93" t="str">
        <f t="shared" si="0"/>
        <v>ELENESSA(GQXL3)</v>
      </c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</row>
    <row r="13" spans="1:71" s="17" customFormat="1" ht="20" customHeight="1">
      <c r="A13" s="121"/>
      <c r="B13" s="48" t="s">
        <v>68</v>
      </c>
      <c r="C13" s="48" t="s">
        <v>75</v>
      </c>
      <c r="D13" s="55">
        <v>9300</v>
      </c>
      <c r="E13" s="48" t="s">
        <v>73</v>
      </c>
      <c r="F13" s="108">
        <v>4300</v>
      </c>
      <c r="G13" s="48" t="s">
        <v>78</v>
      </c>
      <c r="H13" s="109">
        <v>1400</v>
      </c>
      <c r="I13" s="102">
        <v>2898.0000000000009</v>
      </c>
      <c r="J13" s="103" t="s">
        <v>638</v>
      </c>
      <c r="K13" s="23"/>
      <c r="L13" s="43"/>
      <c r="M13" s="10"/>
      <c r="N13" s="11"/>
      <c r="O13" s="11"/>
      <c r="P13" s="2">
        <f t="shared" si="1"/>
        <v>6</v>
      </c>
      <c r="Q13" s="75" t="s">
        <v>195</v>
      </c>
      <c r="R13" s="9" t="s">
        <v>481</v>
      </c>
      <c r="S13" s="9" t="s">
        <v>483</v>
      </c>
      <c r="T13" s="9" t="s">
        <v>476</v>
      </c>
      <c r="U13" s="9" t="s">
        <v>477</v>
      </c>
      <c r="V13" s="17" t="s">
        <v>542</v>
      </c>
      <c r="W13" s="9" t="s">
        <v>543</v>
      </c>
      <c r="X13" s="9" t="s">
        <v>17</v>
      </c>
      <c r="Y13" s="9"/>
      <c r="Z13" s="9"/>
      <c r="AA13" s="7"/>
      <c r="AB13" s="7"/>
      <c r="AC13" s="7"/>
      <c r="AD13" s="1"/>
      <c r="AE13" s="1"/>
      <c r="AF13" s="82"/>
      <c r="AG13" s="82"/>
      <c r="AH13" s="82"/>
      <c r="AI13" s="82"/>
      <c r="AJ13" s="93" t="s">
        <v>227</v>
      </c>
      <c r="AK13" s="85">
        <v>2</v>
      </c>
      <c r="AL13" s="85">
        <v>12</v>
      </c>
      <c r="AM13" s="85">
        <v>36</v>
      </c>
      <c r="AN13" s="85">
        <v>37</v>
      </c>
      <c r="AO13" s="85">
        <v>38</v>
      </c>
      <c r="AP13" s="85">
        <v>39</v>
      </c>
      <c r="AQ13" s="85">
        <v>40</v>
      </c>
      <c r="AR13" s="85">
        <v>41</v>
      </c>
      <c r="AS13" s="85">
        <v>42</v>
      </c>
      <c r="AT13" s="85">
        <v>43</v>
      </c>
      <c r="AU13" s="85">
        <v>44</v>
      </c>
      <c r="AV13" s="85">
        <v>121</v>
      </c>
      <c r="AW13" s="85">
        <v>122</v>
      </c>
      <c r="AX13" s="85">
        <v>127</v>
      </c>
      <c r="AY13" s="85">
        <v>129</v>
      </c>
      <c r="AZ13" s="85">
        <v>133</v>
      </c>
      <c r="BA13" s="85">
        <v>137</v>
      </c>
      <c r="BB13" s="85">
        <v>144</v>
      </c>
      <c r="BC13" s="93" t="str">
        <f t="shared" si="0"/>
        <v>ELENESSA(GQXM3)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</row>
    <row r="14" spans="1:71" s="17" customFormat="1" ht="20" customHeight="1">
      <c r="A14" s="121"/>
      <c r="B14" s="48" t="s">
        <v>66</v>
      </c>
      <c r="C14" s="48" t="s">
        <v>76</v>
      </c>
      <c r="D14" s="55">
        <v>1100</v>
      </c>
      <c r="E14" s="48" t="s">
        <v>70</v>
      </c>
      <c r="F14" s="56" t="s">
        <v>636</v>
      </c>
      <c r="G14" s="48" t="s">
        <v>79</v>
      </c>
      <c r="H14" s="58">
        <v>2200</v>
      </c>
      <c r="I14" s="102">
        <v>6800</v>
      </c>
      <c r="J14" s="103" t="s">
        <v>678</v>
      </c>
      <c r="K14" s="25"/>
      <c r="L14" s="43"/>
      <c r="M14" s="1"/>
      <c r="N14" s="2"/>
      <c r="O14" s="2"/>
      <c r="P14" s="2">
        <f t="shared" si="1"/>
        <v>1</v>
      </c>
      <c r="Q14" s="8" t="s">
        <v>203</v>
      </c>
      <c r="R14" s="9" t="s">
        <v>204</v>
      </c>
      <c r="S14" s="9" t="s">
        <v>17</v>
      </c>
      <c r="T14" s="9"/>
      <c r="U14" s="9"/>
      <c r="V14" s="9"/>
      <c r="W14" s="9"/>
      <c r="X14" s="9"/>
      <c r="Y14" s="9"/>
      <c r="Z14" s="9"/>
      <c r="AA14" s="7"/>
      <c r="AB14" s="7"/>
      <c r="AC14" s="9"/>
      <c r="AD14" s="1"/>
      <c r="AE14" s="1"/>
      <c r="AF14" s="82"/>
      <c r="AG14" s="82"/>
      <c r="AH14" s="82"/>
      <c r="AI14" s="82"/>
      <c r="AJ14" s="93" t="s">
        <v>228</v>
      </c>
      <c r="AK14" s="85">
        <v>2</v>
      </c>
      <c r="AL14" s="85">
        <v>12</v>
      </c>
      <c r="AM14" s="85">
        <v>36</v>
      </c>
      <c r="AN14" s="85">
        <v>37</v>
      </c>
      <c r="AO14" s="85">
        <v>38</v>
      </c>
      <c r="AP14" s="85">
        <v>39</v>
      </c>
      <c r="AQ14" s="85">
        <v>40</v>
      </c>
      <c r="AR14" s="85">
        <v>41</v>
      </c>
      <c r="AS14" s="85">
        <v>42</v>
      </c>
      <c r="AT14" s="87">
        <v>119</v>
      </c>
      <c r="AU14" s="85">
        <v>44</v>
      </c>
      <c r="AV14" s="85">
        <v>121</v>
      </c>
      <c r="AW14" s="85">
        <v>122</v>
      </c>
      <c r="AX14" s="85">
        <v>127</v>
      </c>
      <c r="AY14" s="85">
        <v>129</v>
      </c>
      <c r="AZ14" s="85">
        <v>133</v>
      </c>
      <c r="BA14" s="85">
        <v>137</v>
      </c>
      <c r="BB14" s="85">
        <v>146</v>
      </c>
      <c r="BC14" s="93" t="str">
        <f t="shared" si="0"/>
        <v>ELE-NZ11S(GQXV3)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</row>
    <row r="15" spans="1:71" s="17" customFormat="1" ht="20" customHeight="1" thickBot="1">
      <c r="A15" s="122"/>
      <c r="B15" s="49" t="s">
        <v>67</v>
      </c>
      <c r="C15" s="49" t="s">
        <v>77</v>
      </c>
      <c r="D15" s="59">
        <v>1400</v>
      </c>
      <c r="E15" s="49" t="s">
        <v>71</v>
      </c>
      <c r="F15" s="59">
        <v>2300</v>
      </c>
      <c r="G15" s="49" t="s">
        <v>200</v>
      </c>
      <c r="H15" s="60">
        <v>2300</v>
      </c>
      <c r="I15" s="102">
        <v>7518</v>
      </c>
      <c r="J15" s="103" t="s">
        <v>679</v>
      </c>
      <c r="K15" s="23"/>
      <c r="L15" s="43"/>
      <c r="M15" s="1"/>
      <c r="N15" s="2"/>
      <c r="O15" s="2"/>
      <c r="P15" s="2"/>
      <c r="Q15" s="8"/>
      <c r="R15" s="9"/>
      <c r="S15" s="9"/>
      <c r="T15" s="9"/>
      <c r="U15" s="9"/>
      <c r="V15" s="9"/>
      <c r="W15" s="9"/>
      <c r="X15" s="9"/>
      <c r="Y15" s="9"/>
      <c r="Z15" s="9"/>
      <c r="AA15" s="7"/>
      <c r="AB15" s="7"/>
      <c r="AC15" s="7"/>
      <c r="AD15" s="1"/>
      <c r="AE15" s="1"/>
      <c r="AF15" s="82"/>
      <c r="AG15" s="82"/>
      <c r="AH15" s="82"/>
      <c r="AI15" s="82"/>
      <c r="AJ15" s="93" t="s">
        <v>229</v>
      </c>
      <c r="AK15" s="85">
        <v>2</v>
      </c>
      <c r="AL15" s="85">
        <v>12</v>
      </c>
      <c r="AM15" s="85">
        <v>36</v>
      </c>
      <c r="AN15" s="85">
        <v>37</v>
      </c>
      <c r="AO15" s="85">
        <v>38</v>
      </c>
      <c r="AP15" s="85">
        <v>39</v>
      </c>
      <c r="AQ15" s="85">
        <v>40</v>
      </c>
      <c r="AR15" s="85">
        <v>41</v>
      </c>
      <c r="AS15" s="85">
        <v>42</v>
      </c>
      <c r="AT15" s="87">
        <v>119</v>
      </c>
      <c r="AU15" s="85">
        <v>44</v>
      </c>
      <c r="AV15" s="85">
        <v>121</v>
      </c>
      <c r="AW15" s="85">
        <v>122</v>
      </c>
      <c r="AX15" s="85">
        <v>127</v>
      </c>
      <c r="AY15" s="85">
        <v>129</v>
      </c>
      <c r="AZ15" s="85">
        <v>133</v>
      </c>
      <c r="BA15" s="85">
        <v>137</v>
      </c>
      <c r="BB15" s="85">
        <v>146</v>
      </c>
      <c r="BC15" s="93" t="str">
        <f t="shared" si="0"/>
        <v>ELE-NZ22S(GQXV3)</v>
      </c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</row>
    <row r="16" spans="1:71" s="17" customFormat="1" ht="20" customHeight="1" thickBot="1">
      <c r="A16" s="117" t="s">
        <v>53</v>
      </c>
      <c r="B16" s="61" t="s">
        <v>131</v>
      </c>
      <c r="C16" s="154" t="s">
        <v>577</v>
      </c>
      <c r="D16" s="155"/>
      <c r="E16" s="62"/>
      <c r="F16" s="150"/>
      <c r="G16" s="151"/>
      <c r="H16" s="152"/>
      <c r="I16" s="102"/>
      <c r="J16" s="103"/>
      <c r="K16" s="23"/>
      <c r="L16" s="43"/>
      <c r="M16" s="73"/>
      <c r="N16" s="72" t="s">
        <v>184</v>
      </c>
      <c r="O16" s="72" t="s">
        <v>185</v>
      </c>
      <c r="P16" s="2"/>
      <c r="Q16" s="1"/>
      <c r="X16"/>
      <c r="Y16"/>
      <c r="Z16"/>
      <c r="AA16"/>
      <c r="AB16"/>
      <c r="AC16"/>
      <c r="AD16" s="1"/>
      <c r="AE16" s="1"/>
      <c r="AF16" s="82"/>
      <c r="AG16" s="82"/>
      <c r="AH16" s="82"/>
      <c r="AI16" s="82"/>
      <c r="AJ16" s="93" t="s">
        <v>230</v>
      </c>
      <c r="AK16" s="85">
        <v>2</v>
      </c>
      <c r="AL16" s="85">
        <v>12</v>
      </c>
      <c r="AM16" s="85">
        <v>36</v>
      </c>
      <c r="AN16" s="85">
        <v>37</v>
      </c>
      <c r="AO16" s="85">
        <v>38</v>
      </c>
      <c r="AP16" s="85">
        <v>39</v>
      </c>
      <c r="AQ16" s="85">
        <v>40</v>
      </c>
      <c r="AR16" s="85">
        <v>41</v>
      </c>
      <c r="AS16" s="85">
        <v>42</v>
      </c>
      <c r="AT16" s="87">
        <v>119</v>
      </c>
      <c r="AU16" s="85">
        <v>44</v>
      </c>
      <c r="AV16" s="85">
        <v>121</v>
      </c>
      <c r="AW16" s="85">
        <v>122</v>
      </c>
      <c r="AX16" s="85">
        <v>127</v>
      </c>
      <c r="AY16" s="85">
        <v>129</v>
      </c>
      <c r="AZ16" s="85">
        <v>133</v>
      </c>
      <c r="BA16" s="85">
        <v>137</v>
      </c>
      <c r="BB16" s="85">
        <v>146</v>
      </c>
      <c r="BC16" s="93" t="str">
        <f t="shared" si="0"/>
        <v>ELE-NZ31S(GQXV3)</v>
      </c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</row>
    <row r="17" spans="1:77" s="17" customFormat="1" ht="20" customHeight="1">
      <c r="A17" s="118"/>
      <c r="B17" s="63" t="s">
        <v>2</v>
      </c>
      <c r="C17" s="148" t="s">
        <v>580</v>
      </c>
      <c r="D17" s="149"/>
      <c r="E17" s="48" t="s">
        <v>255</v>
      </c>
      <c r="F17" s="42" t="s">
        <v>578</v>
      </c>
      <c r="G17" s="48" t="s">
        <v>256</v>
      </c>
      <c r="H17" s="41" t="s">
        <v>579</v>
      </c>
      <c r="I17" s="102">
        <v>6980</v>
      </c>
      <c r="J17" s="103" t="s">
        <v>640</v>
      </c>
      <c r="K17" s="23"/>
      <c r="L17" s="43"/>
      <c r="M17" s="73" t="s">
        <v>22</v>
      </c>
      <c r="N17" s="72">
        <f>MATCH(E5,Q40:Q200,0)</f>
        <v>133</v>
      </c>
      <c r="O17" s="72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2"/>
      <c r="AG17" s="82"/>
      <c r="AH17" s="82"/>
      <c r="AI17" s="82"/>
      <c r="AJ17" s="93" t="s">
        <v>231</v>
      </c>
      <c r="AK17" s="85">
        <v>2</v>
      </c>
      <c r="AL17" s="85">
        <v>12</v>
      </c>
      <c r="AM17" s="85">
        <v>36</v>
      </c>
      <c r="AN17" s="85">
        <v>37</v>
      </c>
      <c r="AO17" s="85">
        <v>38</v>
      </c>
      <c r="AP17" s="85">
        <v>39</v>
      </c>
      <c r="AQ17" s="85">
        <v>40</v>
      </c>
      <c r="AR17" s="85">
        <v>41</v>
      </c>
      <c r="AS17" s="85">
        <v>42</v>
      </c>
      <c r="AT17" s="87">
        <v>119</v>
      </c>
      <c r="AU17" s="85">
        <v>44</v>
      </c>
      <c r="AV17" s="85">
        <v>121</v>
      </c>
      <c r="AW17" s="85">
        <v>122</v>
      </c>
      <c r="AX17" s="85">
        <v>127</v>
      </c>
      <c r="AY17" s="85">
        <v>129</v>
      </c>
      <c r="AZ17" s="85">
        <v>133</v>
      </c>
      <c r="BA17" s="85">
        <v>137</v>
      </c>
      <c r="BB17" s="85">
        <v>146</v>
      </c>
      <c r="BC17" s="93" t="str">
        <f t="shared" si="0"/>
        <v>ELE-NZ42S(GQXV3)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</row>
    <row r="18" spans="1:77" s="17" customFormat="1" ht="19.5" customHeight="1">
      <c r="A18" s="118"/>
      <c r="B18" s="48" t="s">
        <v>3</v>
      </c>
      <c r="C18" s="136" t="s">
        <v>581</v>
      </c>
      <c r="D18" s="125"/>
      <c r="E18" s="48" t="s">
        <v>4</v>
      </c>
      <c r="F18" s="136" t="s">
        <v>581</v>
      </c>
      <c r="G18" s="125"/>
      <c r="H18" s="126"/>
      <c r="I18" s="102">
        <v>6000</v>
      </c>
      <c r="J18" s="103" t="s">
        <v>680</v>
      </c>
      <c r="K18" s="23"/>
      <c r="L18" s="43"/>
      <c r="M18" s="73" t="s">
        <v>9</v>
      </c>
      <c r="N18" s="72">
        <f>1+N17</f>
        <v>134</v>
      </c>
      <c r="O18" s="72">
        <f>INDEX($P$40:$P$200,N18)</f>
        <v>5</v>
      </c>
      <c r="P18" s="2"/>
      <c r="Q18" s="72" t="s">
        <v>184</v>
      </c>
      <c r="R18" s="72" t="s">
        <v>185</v>
      </c>
      <c r="S18" s="1"/>
      <c r="T18" s="1"/>
      <c r="U18" s="1"/>
      <c r="V18" s="1"/>
      <c r="W18" s="1"/>
      <c r="X18" s="1"/>
      <c r="Y18" s="1"/>
      <c r="Z18" s="1"/>
      <c r="AA18"/>
      <c r="AB18"/>
      <c r="AC18"/>
      <c r="AD18" s="1"/>
      <c r="AE18" s="1"/>
      <c r="AF18" s="82"/>
      <c r="AG18" s="82"/>
      <c r="AH18" s="82"/>
      <c r="AI18" s="82"/>
      <c r="AJ18" s="93" t="s">
        <v>232</v>
      </c>
      <c r="AK18" s="85">
        <v>2</v>
      </c>
      <c r="AL18" s="85">
        <v>12</v>
      </c>
      <c r="AM18" s="85">
        <v>36</v>
      </c>
      <c r="AN18" s="85">
        <v>37</v>
      </c>
      <c r="AO18" s="85">
        <v>38</v>
      </c>
      <c r="AP18" s="85">
        <v>39</v>
      </c>
      <c r="AQ18" s="85">
        <v>40</v>
      </c>
      <c r="AR18" s="85">
        <v>41</v>
      </c>
      <c r="AS18" s="85">
        <v>42</v>
      </c>
      <c r="AT18" s="87">
        <v>119</v>
      </c>
      <c r="AU18" s="87">
        <v>116</v>
      </c>
      <c r="AV18" s="85">
        <v>121</v>
      </c>
      <c r="AW18" s="85">
        <v>122</v>
      </c>
      <c r="AX18" s="85">
        <v>127</v>
      </c>
      <c r="AY18" s="85">
        <v>129</v>
      </c>
      <c r="AZ18" s="85">
        <v>133</v>
      </c>
      <c r="BA18" s="87">
        <v>138</v>
      </c>
      <c r="BB18" s="85">
        <v>146</v>
      </c>
      <c r="BC18" s="93" t="str">
        <f t="shared" si="0"/>
        <v>ELE-HY05S(GQXV3)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</row>
    <row r="19" spans="1:77" s="17" customFormat="1" ht="20" customHeight="1">
      <c r="A19" s="118"/>
      <c r="B19" s="48" t="s">
        <v>5</v>
      </c>
      <c r="C19" s="124" t="s">
        <v>582</v>
      </c>
      <c r="D19" s="124"/>
      <c r="E19" s="48" t="s">
        <v>6</v>
      </c>
      <c r="F19" s="42" t="s">
        <v>583</v>
      </c>
      <c r="G19" s="157" t="s">
        <v>584</v>
      </c>
      <c r="H19" s="158"/>
      <c r="I19" s="102">
        <v>2290</v>
      </c>
      <c r="J19" s="103" t="s">
        <v>594</v>
      </c>
      <c r="K19" s="23"/>
      <c r="L19" s="43"/>
      <c r="M19" s="73" t="s">
        <v>10</v>
      </c>
      <c r="N19" s="72">
        <f>1+N18</f>
        <v>135</v>
      </c>
      <c r="O19" s="72">
        <f>INDEX($P$40:$P$200,N19)</f>
        <v>10</v>
      </c>
      <c r="P19" s="2"/>
      <c r="Q19" s="72">
        <f>IF(E5="LEON-II",MATCH(F17,$Q$33:$Q$36,0)+12,MATCH(F17,$Q$21:$Q$27,0))</f>
        <v>7</v>
      </c>
      <c r="R19" s="72">
        <f>IF(E5="LEON-II",INDEX($P$33:$P$36,MATCH(F17,$Q$33:$Q$36,0)),INDEX($P$21:$P$27,MATCH(F17,$Q$21:$Q$27,0)))</f>
        <v>3</v>
      </c>
      <c r="S19" s="1"/>
      <c r="T19" s="1"/>
      <c r="U19" s="1"/>
      <c r="V19" s="1"/>
      <c r="W19" s="1"/>
      <c r="X19" s="1"/>
      <c r="Y19" s="1"/>
      <c r="Z19" s="1"/>
      <c r="AA19"/>
      <c r="AB19"/>
      <c r="AC19"/>
      <c r="AD19" s="1"/>
      <c r="AE19" s="1"/>
      <c r="AF19" s="82"/>
      <c r="AG19" s="82"/>
      <c r="AH19" s="82"/>
      <c r="AI19" s="82"/>
      <c r="AJ19" s="93" t="s">
        <v>481</v>
      </c>
      <c r="AK19" s="85">
        <v>3</v>
      </c>
      <c r="AL19" s="85">
        <v>11</v>
      </c>
      <c r="AM19" s="85">
        <v>46</v>
      </c>
      <c r="AN19" s="85">
        <v>47</v>
      </c>
      <c r="AO19" s="85">
        <v>48</v>
      </c>
      <c r="AP19" s="85">
        <v>49</v>
      </c>
      <c r="AQ19" s="85">
        <v>50</v>
      </c>
      <c r="AR19" s="85">
        <v>51</v>
      </c>
      <c r="AS19" s="85">
        <v>52</v>
      </c>
      <c r="AT19" s="85">
        <v>53</v>
      </c>
      <c r="AU19" s="85">
        <v>54</v>
      </c>
      <c r="AV19" s="85">
        <v>123</v>
      </c>
      <c r="AW19" s="85">
        <v>124</v>
      </c>
      <c r="AX19" s="85">
        <v>127</v>
      </c>
      <c r="AY19" s="85">
        <v>130</v>
      </c>
      <c r="AZ19" s="85">
        <v>133</v>
      </c>
      <c r="BA19" s="85">
        <v>137</v>
      </c>
      <c r="BB19" s="85">
        <v>144</v>
      </c>
      <c r="BC19" s="93" t="str">
        <f t="shared" si="0"/>
        <v>LEHY-III(F)</v>
      </c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</row>
    <row r="20" spans="1:77" s="17" customFormat="1" ht="20" customHeight="1">
      <c r="A20" s="118"/>
      <c r="B20" s="48" t="s">
        <v>162</v>
      </c>
      <c r="C20" s="124" t="s">
        <v>651</v>
      </c>
      <c r="D20" s="124"/>
      <c r="E20" s="48" t="s">
        <v>163</v>
      </c>
      <c r="F20" s="56"/>
      <c r="G20" s="64" t="s">
        <v>129</v>
      </c>
      <c r="H20" s="41" t="s">
        <v>115</v>
      </c>
      <c r="I20" s="102">
        <v>0</v>
      </c>
      <c r="J20" s="103" t="s">
        <v>681</v>
      </c>
      <c r="K20" s="23"/>
      <c r="L20" s="43"/>
      <c r="M20" s="23"/>
      <c r="N20" s="23"/>
      <c r="O20" s="23"/>
      <c r="P20" s="2"/>
      <c r="Q20" s="81"/>
      <c r="R20" s="1"/>
      <c r="S20" s="1"/>
      <c r="T20" s="1"/>
      <c r="U20" s="1"/>
      <c r="V20" s="1"/>
      <c r="W20" s="1"/>
      <c r="X20" s="1"/>
      <c r="Y20" s="1"/>
      <c r="Z20" s="1"/>
      <c r="AA20"/>
      <c r="AB20"/>
      <c r="AC20"/>
      <c r="AD20" s="1"/>
      <c r="AE20" s="1"/>
      <c r="AF20" s="82"/>
      <c r="AG20" s="82"/>
      <c r="AH20" s="82"/>
      <c r="AI20" s="82"/>
      <c r="AJ20" s="93" t="s">
        <v>482</v>
      </c>
      <c r="AK20" s="85">
        <v>3</v>
      </c>
      <c r="AL20" s="85">
        <v>11</v>
      </c>
      <c r="AM20" s="85">
        <v>46</v>
      </c>
      <c r="AN20" s="85">
        <v>47</v>
      </c>
      <c r="AO20" s="85">
        <v>48</v>
      </c>
      <c r="AP20" s="85">
        <v>49</v>
      </c>
      <c r="AQ20" s="85">
        <v>50</v>
      </c>
      <c r="AR20" s="85">
        <v>51</v>
      </c>
      <c r="AS20" s="85">
        <v>52</v>
      </c>
      <c r="AT20" s="85">
        <v>53</v>
      </c>
      <c r="AU20" s="85">
        <v>54</v>
      </c>
      <c r="AV20" s="85">
        <v>123</v>
      </c>
      <c r="AW20" s="85">
        <v>124</v>
      </c>
      <c r="AX20" s="85">
        <v>127</v>
      </c>
      <c r="AY20" s="85">
        <v>130</v>
      </c>
      <c r="AZ20" s="85">
        <v>133</v>
      </c>
      <c r="BA20" s="85">
        <v>137</v>
      </c>
      <c r="BB20" s="85">
        <v>144</v>
      </c>
      <c r="BC20" s="93" t="str">
        <f t="shared" si="0"/>
        <v>LEHY-MRL-II(F)</v>
      </c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</row>
    <row r="21" spans="1:77" s="17" customFormat="1" ht="20" customHeight="1" thickBot="1">
      <c r="A21" s="119"/>
      <c r="B21" s="65" t="s">
        <v>165</v>
      </c>
      <c r="C21" s="153"/>
      <c r="D21" s="153"/>
      <c r="E21" s="65" t="s">
        <v>164</v>
      </c>
      <c r="F21" s="66"/>
      <c r="G21" s="67" t="s">
        <v>129</v>
      </c>
      <c r="H21" s="45"/>
      <c r="I21" s="102">
        <v>0</v>
      </c>
      <c r="J21" s="103" t="s">
        <v>596</v>
      </c>
      <c r="K21" s="26"/>
      <c r="L21" s="43"/>
      <c r="M21" s="89" t="s">
        <v>342</v>
      </c>
      <c r="N21" s="72">
        <f>INDEX($AK$3:$AK$40,MATCH(E5,$AJ$3:$AJ$40,0))</f>
        <v>1</v>
      </c>
      <c r="O21" s="72">
        <f>INDEX($AF$42:$AF$202,N21,)</f>
        <v>2</v>
      </c>
      <c r="P21" s="2">
        <f t="shared" ref="P21:P27" si="2">MATCH("\\",R21:Z21,0)-1</f>
        <v>6</v>
      </c>
      <c r="Q21" s="80" t="s">
        <v>132</v>
      </c>
      <c r="R21" s="80" t="s">
        <v>421</v>
      </c>
      <c r="S21" s="80" t="s">
        <v>422</v>
      </c>
      <c r="T21" s="80" t="s">
        <v>423</v>
      </c>
      <c r="U21" s="80" t="s">
        <v>424</v>
      </c>
      <c r="V21" s="80" t="s">
        <v>425</v>
      </c>
      <c r="W21" s="80" t="s">
        <v>426</v>
      </c>
      <c r="X21" s="80" t="s">
        <v>17</v>
      </c>
      <c r="Y21" s="80"/>
      <c r="Z21" s="80"/>
      <c r="AB21"/>
      <c r="AC21"/>
      <c r="AD21" s="1"/>
      <c r="AE21" s="1"/>
      <c r="AF21" s="82"/>
      <c r="AG21" s="82"/>
      <c r="AH21" s="82"/>
      <c r="AI21" s="82"/>
      <c r="AJ21" s="93" t="s">
        <v>483</v>
      </c>
      <c r="AK21" s="85">
        <v>3</v>
      </c>
      <c r="AL21" s="85">
        <v>11</v>
      </c>
      <c r="AM21" s="85">
        <v>46</v>
      </c>
      <c r="AN21" s="85">
        <v>47</v>
      </c>
      <c r="AO21" s="85">
        <v>48</v>
      </c>
      <c r="AP21" s="85">
        <v>49</v>
      </c>
      <c r="AQ21" s="85">
        <v>50</v>
      </c>
      <c r="AR21" s="85">
        <v>51</v>
      </c>
      <c r="AS21" s="85">
        <v>52</v>
      </c>
      <c r="AT21" s="85">
        <v>53</v>
      </c>
      <c r="AU21" s="85">
        <v>54</v>
      </c>
      <c r="AV21" s="85">
        <v>123</v>
      </c>
      <c r="AW21" s="85">
        <v>124</v>
      </c>
      <c r="AX21" s="85">
        <v>127</v>
      </c>
      <c r="AY21" s="85">
        <v>130</v>
      </c>
      <c r="AZ21" s="85">
        <v>133</v>
      </c>
      <c r="BA21" s="85">
        <v>137</v>
      </c>
      <c r="BB21" s="85">
        <v>144</v>
      </c>
      <c r="BC21" s="93" t="str">
        <f t="shared" si="0"/>
        <v>LEHY-M-II(F)</v>
      </c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</row>
    <row r="22" spans="1:77" s="17" customFormat="1" ht="20" customHeight="1">
      <c r="A22" s="120" t="s">
        <v>170</v>
      </c>
      <c r="B22" s="46"/>
      <c r="C22" s="156" t="s">
        <v>7</v>
      </c>
      <c r="D22" s="156"/>
      <c r="E22" s="156"/>
      <c r="F22" s="156" t="s">
        <v>54</v>
      </c>
      <c r="G22" s="156"/>
      <c r="H22" s="159"/>
      <c r="I22" s="102"/>
      <c r="J22" s="103"/>
      <c r="K22" s="28"/>
      <c r="L22" s="43"/>
      <c r="M22" s="90" t="s">
        <v>18</v>
      </c>
      <c r="N22" s="72">
        <f>INDEX($AL$3:$AL$40,MATCH(E5,$AJ$3:$AJ$40,0))</f>
        <v>11</v>
      </c>
      <c r="O22" s="72">
        <f>INDEX($AF$42:$AF$202,N22,)</f>
        <v>11</v>
      </c>
      <c r="P22" s="2">
        <f t="shared" si="2"/>
        <v>4</v>
      </c>
      <c r="Q22" s="80" t="s">
        <v>457</v>
      </c>
      <c r="R22" s="80" t="s">
        <v>427</v>
      </c>
      <c r="S22" s="80" t="s">
        <v>428</v>
      </c>
      <c r="T22" s="80" t="s">
        <v>429</v>
      </c>
      <c r="U22" s="80" t="s">
        <v>430</v>
      </c>
      <c r="V22" s="80" t="s">
        <v>17</v>
      </c>
      <c r="W22" s="80"/>
      <c r="X22" s="80"/>
      <c r="Y22" s="80"/>
      <c r="Z22" s="80"/>
      <c r="AB22"/>
      <c r="AC22"/>
      <c r="AD22" s="1"/>
      <c r="AE22" s="1"/>
      <c r="AF22" s="82"/>
      <c r="AG22" s="82"/>
      <c r="AH22" s="82"/>
      <c r="AI22" s="82"/>
      <c r="AJ22" s="93" t="s">
        <v>476</v>
      </c>
      <c r="AK22" s="85">
        <v>3</v>
      </c>
      <c r="AL22" s="85">
        <v>13</v>
      </c>
      <c r="AM22" s="85">
        <v>26</v>
      </c>
      <c r="AN22" s="85">
        <v>27</v>
      </c>
      <c r="AO22" s="85">
        <v>28</v>
      </c>
      <c r="AP22" s="85">
        <v>29</v>
      </c>
      <c r="AQ22" s="85">
        <v>30</v>
      </c>
      <c r="AR22" s="85">
        <v>31</v>
      </c>
      <c r="AS22" s="85">
        <v>32</v>
      </c>
      <c r="AT22" s="85">
        <v>33</v>
      </c>
      <c r="AU22" s="85">
        <v>34</v>
      </c>
      <c r="AV22" s="85">
        <v>123</v>
      </c>
      <c r="AW22" s="85">
        <v>124</v>
      </c>
      <c r="AX22" s="85">
        <v>127</v>
      </c>
      <c r="AY22" s="85">
        <v>130</v>
      </c>
      <c r="AZ22" s="85">
        <v>133</v>
      </c>
      <c r="BA22" s="85">
        <v>137</v>
      </c>
      <c r="BB22" s="85">
        <v>145</v>
      </c>
      <c r="BC22" s="93" t="str">
        <f t="shared" si="0"/>
        <v>LEHY-III-S(F)</v>
      </c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</row>
    <row r="23" spans="1:77" s="17" customFormat="1" ht="20" customHeight="1">
      <c r="A23" s="121"/>
      <c r="B23" s="48" t="s">
        <v>55</v>
      </c>
      <c r="C23" s="56" t="s">
        <v>604</v>
      </c>
      <c r="D23" s="47" t="s">
        <v>83</v>
      </c>
      <c r="E23" s="55" t="s">
        <v>581</v>
      </c>
      <c r="F23" s="56" t="s">
        <v>604</v>
      </c>
      <c r="G23" s="47" t="s">
        <v>83</v>
      </c>
      <c r="H23" s="58" t="s">
        <v>581</v>
      </c>
      <c r="I23" s="102">
        <v>990</v>
      </c>
      <c r="J23" s="103" t="s">
        <v>682</v>
      </c>
      <c r="K23" s="23"/>
      <c r="L23" s="43"/>
      <c r="M23" s="90" t="s">
        <v>19</v>
      </c>
      <c r="N23" s="72">
        <f>INDEX($AM$3:$AM$40,MATCH(E5,$AJ$3:$AJ$40,0))</f>
        <v>36</v>
      </c>
      <c r="O23" s="72">
        <f>INDEX($AF$42:$AF$202,N23,)</f>
        <v>13</v>
      </c>
      <c r="P23" s="2">
        <f t="shared" si="2"/>
        <v>8</v>
      </c>
      <c r="Q23" s="80" t="s">
        <v>251</v>
      </c>
      <c r="R23" s="80" t="s">
        <v>431</v>
      </c>
      <c r="S23" s="80" t="s">
        <v>432</v>
      </c>
      <c r="T23" s="80" t="s">
        <v>433</v>
      </c>
      <c r="U23" s="80" t="s">
        <v>434</v>
      </c>
      <c r="V23" s="80" t="s">
        <v>435</v>
      </c>
      <c r="W23" s="80" t="s">
        <v>436</v>
      </c>
      <c r="X23" s="80" t="s">
        <v>437</v>
      </c>
      <c r="Y23" s="80" t="s">
        <v>438</v>
      </c>
      <c r="Z23" s="80" t="s">
        <v>17</v>
      </c>
      <c r="AB23"/>
      <c r="AC23"/>
      <c r="AD23" s="1"/>
      <c r="AE23" s="1"/>
      <c r="AF23" s="82"/>
      <c r="AG23" s="82"/>
      <c r="AH23" s="82"/>
      <c r="AI23" s="82"/>
      <c r="AJ23" s="93" t="s">
        <v>477</v>
      </c>
      <c r="AK23" s="85">
        <v>3</v>
      </c>
      <c r="AL23" s="85">
        <v>12</v>
      </c>
      <c r="AM23" s="85">
        <v>46</v>
      </c>
      <c r="AN23" s="85">
        <v>47</v>
      </c>
      <c r="AO23" s="85">
        <v>48</v>
      </c>
      <c r="AP23" s="85">
        <v>49</v>
      </c>
      <c r="AQ23" s="85">
        <v>50</v>
      </c>
      <c r="AR23" s="85">
        <v>51</v>
      </c>
      <c r="AS23" s="85">
        <v>52</v>
      </c>
      <c r="AT23" s="85">
        <v>53</v>
      </c>
      <c r="AU23" s="85">
        <v>54</v>
      </c>
      <c r="AV23" s="85">
        <v>123</v>
      </c>
      <c r="AW23" s="85">
        <v>124</v>
      </c>
      <c r="AX23" s="85">
        <v>127</v>
      </c>
      <c r="AY23" s="85">
        <v>130</v>
      </c>
      <c r="AZ23" s="85">
        <v>133</v>
      </c>
      <c r="BA23" s="85">
        <v>137</v>
      </c>
      <c r="BB23" s="85">
        <v>144</v>
      </c>
      <c r="BC23" s="93" t="str">
        <f t="shared" si="0"/>
        <v>LEHY-Pro(F)</v>
      </c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</row>
    <row r="24" spans="1:77" s="17" customFormat="1" ht="20" customHeight="1">
      <c r="A24" s="121"/>
      <c r="B24" s="57" t="s">
        <v>171</v>
      </c>
      <c r="C24" s="147" t="s">
        <v>605</v>
      </c>
      <c r="D24" s="125"/>
      <c r="E24" s="125"/>
      <c r="F24" s="147" t="s">
        <v>605</v>
      </c>
      <c r="G24" s="125"/>
      <c r="H24" s="126"/>
      <c r="I24" s="102">
        <v>600</v>
      </c>
      <c r="J24" s="103" t="s">
        <v>644</v>
      </c>
      <c r="K24" s="23"/>
      <c r="L24" s="43"/>
      <c r="M24" s="90" t="s">
        <v>86</v>
      </c>
      <c r="N24" s="72">
        <f>INDEX($AN$3:$AN$40,MATCH(E5,$AJ$3:$AJ$40,0))</f>
        <v>37</v>
      </c>
      <c r="O24" s="72">
        <f>INDEX($AF$42:$AF$202,N24,)</f>
        <v>13</v>
      </c>
      <c r="P24" s="2">
        <f t="shared" si="2"/>
        <v>8</v>
      </c>
      <c r="Q24" s="80" t="s">
        <v>252</v>
      </c>
      <c r="R24" s="80" t="s">
        <v>439</v>
      </c>
      <c r="S24" s="80" t="s">
        <v>441</v>
      </c>
      <c r="T24" s="80" t="s">
        <v>442</v>
      </c>
      <c r="U24" s="80" t="s">
        <v>443</v>
      </c>
      <c r="V24" s="80" t="s">
        <v>548</v>
      </c>
      <c r="W24" s="80" t="s">
        <v>549</v>
      </c>
      <c r="X24" s="80" t="s">
        <v>550</v>
      </c>
      <c r="Y24" s="80" t="s">
        <v>551</v>
      </c>
      <c r="Z24" s="80" t="s">
        <v>17</v>
      </c>
      <c r="AB24"/>
      <c r="AC24"/>
      <c r="AD24" s="1"/>
      <c r="AE24" s="1"/>
      <c r="AF24" s="82"/>
      <c r="AG24" s="82"/>
      <c r="AH24" s="82"/>
      <c r="AI24" s="82"/>
      <c r="AJ24" s="93" t="s">
        <v>204</v>
      </c>
      <c r="AK24" s="85">
        <v>4</v>
      </c>
      <c r="AL24" s="85">
        <v>14</v>
      </c>
      <c r="AM24" s="85">
        <v>76</v>
      </c>
      <c r="AN24" s="85">
        <v>77</v>
      </c>
      <c r="AO24" s="85">
        <v>78</v>
      </c>
      <c r="AP24" s="85">
        <v>79</v>
      </c>
      <c r="AQ24" s="85">
        <v>80</v>
      </c>
      <c r="AR24" s="85">
        <v>81</v>
      </c>
      <c r="AS24" s="85">
        <v>82</v>
      </c>
      <c r="AT24" s="85">
        <v>83</v>
      </c>
      <c r="AU24" s="85">
        <v>84</v>
      </c>
      <c r="AV24" s="85">
        <v>125</v>
      </c>
      <c r="AW24" s="85">
        <v>126</v>
      </c>
      <c r="AX24" s="85">
        <v>127</v>
      </c>
      <c r="AY24" s="85">
        <v>131</v>
      </c>
      <c r="AZ24" s="85">
        <v>134</v>
      </c>
      <c r="BA24" s="85">
        <v>139</v>
      </c>
      <c r="BB24" s="85">
        <v>149</v>
      </c>
      <c r="BC24" s="93" t="str">
        <f t="shared" si="0"/>
        <v>LEON-II</v>
      </c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</row>
    <row r="25" spans="1:77" s="17" customFormat="1" ht="20" customHeight="1">
      <c r="A25" s="121"/>
      <c r="B25" s="48" t="s">
        <v>56</v>
      </c>
      <c r="C25" s="136" t="s">
        <v>581</v>
      </c>
      <c r="D25" s="125"/>
      <c r="E25" s="125"/>
      <c r="F25" s="136" t="s">
        <v>581</v>
      </c>
      <c r="G25" s="125"/>
      <c r="H25" s="126"/>
      <c r="I25" s="102">
        <v>3870</v>
      </c>
      <c r="J25" s="103" t="s">
        <v>683</v>
      </c>
      <c r="K25" s="23"/>
      <c r="L25" s="43"/>
      <c r="M25" s="90" t="s">
        <v>201</v>
      </c>
      <c r="N25" s="72">
        <f>INDEX($AO$3:$AO$40,MATCH(E5,$AJ$3:$AJ$40,0))</f>
        <v>38</v>
      </c>
      <c r="O25" s="72">
        <f>INDEX($AF$42:$AF$202,N25,)</f>
        <v>20</v>
      </c>
      <c r="P25" s="2">
        <f t="shared" si="2"/>
        <v>1</v>
      </c>
      <c r="Q25" s="80" t="s">
        <v>253</v>
      </c>
      <c r="R25" s="80"/>
      <c r="S25" s="80" t="s">
        <v>17</v>
      </c>
      <c r="T25" s="80"/>
      <c r="U25" s="80"/>
      <c r="V25" s="80"/>
      <c r="W25" s="80"/>
      <c r="X25" s="80"/>
      <c r="Y25" s="80"/>
      <c r="Z25" s="80"/>
      <c r="AB25"/>
      <c r="AC25"/>
      <c r="AD25" s="1"/>
      <c r="AE25" s="1"/>
      <c r="AF25" s="82"/>
      <c r="AG25" s="82"/>
      <c r="AH25" s="82"/>
      <c r="AI25" s="82"/>
      <c r="AJ25" s="93" t="s">
        <v>145</v>
      </c>
      <c r="AK25" s="85">
        <v>5</v>
      </c>
      <c r="AL25" s="85">
        <v>11</v>
      </c>
      <c r="AM25" s="85">
        <v>36</v>
      </c>
      <c r="AN25" s="85">
        <v>37</v>
      </c>
      <c r="AO25" s="85">
        <v>68</v>
      </c>
      <c r="AP25" s="85">
        <v>69</v>
      </c>
      <c r="AQ25" s="85">
        <v>70</v>
      </c>
      <c r="AR25" s="85">
        <v>71</v>
      </c>
      <c r="AS25" s="85">
        <v>72</v>
      </c>
      <c r="AT25" s="85">
        <v>73</v>
      </c>
      <c r="AU25" s="85">
        <v>74</v>
      </c>
      <c r="AV25" s="85">
        <v>121</v>
      </c>
      <c r="AW25" s="85">
        <v>122</v>
      </c>
      <c r="AX25" s="85">
        <v>127</v>
      </c>
      <c r="AY25" s="85">
        <v>129</v>
      </c>
      <c r="AZ25" s="85">
        <v>133</v>
      </c>
      <c r="BA25" s="87">
        <v>142</v>
      </c>
      <c r="BB25" s="85">
        <v>144</v>
      </c>
      <c r="BC25" s="93" t="str">
        <f t="shared" si="0"/>
        <v>LEHY-III-B</v>
      </c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27"/>
      <c r="BU25" s="27"/>
      <c r="BV25" s="27"/>
      <c r="BW25" s="27"/>
      <c r="BX25" s="27"/>
      <c r="BY25" s="27"/>
    </row>
    <row r="26" spans="1:77" s="17" customFormat="1" ht="20" customHeight="1">
      <c r="A26" s="121"/>
      <c r="B26" s="48" t="s">
        <v>201</v>
      </c>
      <c r="C26" s="68" t="s">
        <v>652</v>
      </c>
      <c r="D26" s="64" t="s">
        <v>129</v>
      </c>
      <c r="E26" s="42" t="s">
        <v>115</v>
      </c>
      <c r="F26" s="68" t="s">
        <v>652</v>
      </c>
      <c r="G26" s="64" t="s">
        <v>129</v>
      </c>
      <c r="H26" s="41" t="s">
        <v>115</v>
      </c>
      <c r="I26" s="102">
        <v>0</v>
      </c>
      <c r="J26" s="103" t="s">
        <v>684</v>
      </c>
      <c r="K26" s="23"/>
      <c r="L26" s="43"/>
      <c r="M26" s="90" t="s">
        <v>120</v>
      </c>
      <c r="N26" s="72">
        <f>INDEX($AP$3:$AP$40,MATCH(E5,$AJ$3:$AJ$40,0))</f>
        <v>39</v>
      </c>
      <c r="O26" s="72">
        <f>INDEX($AF$42:$AF$202,N26)</f>
        <v>8</v>
      </c>
      <c r="P26" s="2">
        <f t="shared" si="2"/>
        <v>1</v>
      </c>
      <c r="Q26" s="80" t="s">
        <v>250</v>
      </c>
      <c r="R26" s="80"/>
      <c r="S26" s="80" t="s">
        <v>17</v>
      </c>
      <c r="T26" s="80"/>
      <c r="U26" s="80"/>
      <c r="V26" s="80"/>
      <c r="W26" s="80"/>
      <c r="X26" s="80"/>
      <c r="Y26" s="80"/>
      <c r="Z26" s="80"/>
      <c r="AB26"/>
      <c r="AC26"/>
      <c r="AD26" s="1"/>
      <c r="AE26" s="1"/>
      <c r="AF26" s="82"/>
      <c r="AG26" s="82"/>
      <c r="AH26" s="82"/>
      <c r="AI26" s="82"/>
      <c r="AJ26" s="93" t="s">
        <v>176</v>
      </c>
      <c r="AK26" s="85">
        <v>6</v>
      </c>
      <c r="AL26" s="85">
        <v>13</v>
      </c>
      <c r="AM26" s="85">
        <v>56</v>
      </c>
      <c r="AN26" s="85">
        <v>57</v>
      </c>
      <c r="AO26" s="85">
        <v>58</v>
      </c>
      <c r="AP26" s="85">
        <v>59</v>
      </c>
      <c r="AQ26" s="85">
        <v>60</v>
      </c>
      <c r="AR26" s="85">
        <v>61</v>
      </c>
      <c r="AS26" s="85">
        <v>62</v>
      </c>
      <c r="AT26" s="85">
        <v>63</v>
      </c>
      <c r="AU26" s="85">
        <v>64</v>
      </c>
      <c r="AV26" s="85">
        <v>121</v>
      </c>
      <c r="AW26" s="85">
        <v>122</v>
      </c>
      <c r="AX26" s="85">
        <v>127</v>
      </c>
      <c r="AY26" s="85">
        <v>129</v>
      </c>
      <c r="AZ26" s="85">
        <v>133</v>
      </c>
      <c r="BA26" s="85">
        <v>137</v>
      </c>
      <c r="BB26" s="85">
        <v>145</v>
      </c>
      <c r="BC26" s="93" t="str">
        <f t="shared" si="0"/>
        <v>LEHY-III-S</v>
      </c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27"/>
      <c r="BU26" s="27"/>
      <c r="BV26" s="27"/>
      <c r="BW26" s="27"/>
      <c r="BX26" s="27"/>
      <c r="BY26" s="27"/>
    </row>
    <row r="27" spans="1:77" s="17" customFormat="1" ht="20" customHeight="1" thickBot="1">
      <c r="A27" s="121"/>
      <c r="B27" s="48" t="s">
        <v>512</v>
      </c>
      <c r="C27" s="68"/>
      <c r="D27" s="67" t="s">
        <v>129</v>
      </c>
      <c r="E27" s="42"/>
      <c r="F27" s="68"/>
      <c r="G27" s="67" t="s">
        <v>129</v>
      </c>
      <c r="H27" s="41"/>
      <c r="I27" s="102">
        <v>0</v>
      </c>
      <c r="J27" s="103" t="s">
        <v>647</v>
      </c>
      <c r="K27" s="23"/>
      <c r="L27" s="43"/>
      <c r="M27" s="90" t="s">
        <v>202</v>
      </c>
      <c r="N27" s="72">
        <f>INDEX($AQ$3:$AQ$40,MATCH(E5,$AJ$3:$AJ$40,0))</f>
        <v>40</v>
      </c>
      <c r="O27" s="72">
        <f t="shared" ref="O27:O38" si="3">INDEX($AF$42:$AF$202,N27,)</f>
        <v>6</v>
      </c>
      <c r="P27" s="2">
        <f t="shared" si="2"/>
        <v>3</v>
      </c>
      <c r="Q27" s="92" t="s">
        <v>254</v>
      </c>
      <c r="R27" s="80" t="s">
        <v>501</v>
      </c>
      <c r="S27" s="80" t="s">
        <v>502</v>
      </c>
      <c r="T27" s="80" t="s">
        <v>503</v>
      </c>
      <c r="U27" s="80" t="s">
        <v>17</v>
      </c>
      <c r="V27" s="80"/>
      <c r="W27" s="80"/>
      <c r="X27" s="80"/>
      <c r="Y27" s="80"/>
      <c r="Z27" s="80"/>
      <c r="AB27"/>
      <c r="AC27"/>
      <c r="AD27" s="1"/>
      <c r="AE27" s="1"/>
      <c r="AF27" s="82"/>
      <c r="AG27" s="82"/>
      <c r="AH27" s="82"/>
      <c r="AI27" s="82"/>
      <c r="AJ27" s="93" t="s">
        <v>521</v>
      </c>
      <c r="AK27" s="85">
        <v>7</v>
      </c>
      <c r="AL27" s="85">
        <v>13</v>
      </c>
      <c r="AM27" s="85">
        <v>86</v>
      </c>
      <c r="AN27" s="85">
        <v>87</v>
      </c>
      <c r="AO27" s="85">
        <v>88</v>
      </c>
      <c r="AP27" s="85">
        <v>89</v>
      </c>
      <c r="AQ27" s="85">
        <v>90</v>
      </c>
      <c r="AR27" s="85">
        <v>91</v>
      </c>
      <c r="AS27" s="85">
        <v>92</v>
      </c>
      <c r="AT27" s="85">
        <v>93</v>
      </c>
      <c r="AU27" s="85">
        <v>94</v>
      </c>
      <c r="AV27" s="85">
        <v>125</v>
      </c>
      <c r="AW27" s="85">
        <v>126</v>
      </c>
      <c r="AX27" s="85">
        <v>128</v>
      </c>
      <c r="AY27" s="85">
        <v>131</v>
      </c>
      <c r="AZ27" s="85">
        <v>134</v>
      </c>
      <c r="BA27" s="85">
        <v>140</v>
      </c>
      <c r="BB27" s="85">
        <v>148</v>
      </c>
      <c r="BC27" s="93" t="str">
        <f t="shared" si="0"/>
        <v>LEHY-G standard</v>
      </c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27"/>
      <c r="BU27" s="27"/>
      <c r="BV27" s="27"/>
      <c r="BW27" s="27"/>
      <c r="BX27" s="27"/>
      <c r="BY27" s="27"/>
    </row>
    <row r="28" spans="1:77" s="17" customFormat="1" ht="20" customHeight="1">
      <c r="A28" s="121"/>
      <c r="B28" s="48" t="s">
        <v>449</v>
      </c>
      <c r="C28" s="166"/>
      <c r="D28" s="167"/>
      <c r="E28" s="168"/>
      <c r="F28" s="166"/>
      <c r="G28" s="167"/>
      <c r="H28" s="169"/>
      <c r="I28" s="102">
        <v>0</v>
      </c>
      <c r="J28" s="103" t="s">
        <v>647</v>
      </c>
      <c r="K28" s="23"/>
      <c r="L28" s="43"/>
      <c r="M28" s="90" t="s">
        <v>290</v>
      </c>
      <c r="N28" s="72">
        <f>INDEX($AR$3:$AR$40,MATCH(E5,$AJ$3:$AJ$40,0))</f>
        <v>41</v>
      </c>
      <c r="O28" s="72">
        <f t="shared" si="3"/>
        <v>16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/>
      <c r="AB28"/>
      <c r="AC28"/>
      <c r="AD28" s="1"/>
      <c r="AE28" s="1"/>
      <c r="AF28" s="82"/>
      <c r="AG28" s="82"/>
      <c r="AH28" s="82"/>
      <c r="AI28" s="82"/>
      <c r="AJ28" s="93" t="s">
        <v>536</v>
      </c>
      <c r="AK28" s="85">
        <v>7</v>
      </c>
      <c r="AL28" s="85">
        <v>13</v>
      </c>
      <c r="AM28" s="85">
        <v>86</v>
      </c>
      <c r="AN28" s="85">
        <v>87</v>
      </c>
      <c r="AO28" s="85">
        <v>88</v>
      </c>
      <c r="AP28" s="85">
        <v>89</v>
      </c>
      <c r="AQ28" s="85">
        <v>90</v>
      </c>
      <c r="AR28" s="85">
        <v>91</v>
      </c>
      <c r="AS28" s="85">
        <v>92</v>
      </c>
      <c r="AT28" s="85">
        <v>93</v>
      </c>
      <c r="AU28" s="85">
        <v>94</v>
      </c>
      <c r="AV28" s="85">
        <v>125</v>
      </c>
      <c r="AW28" s="85">
        <v>126</v>
      </c>
      <c r="AX28" s="85">
        <v>128</v>
      </c>
      <c r="AY28" s="85">
        <v>131</v>
      </c>
      <c r="AZ28" s="85">
        <v>134</v>
      </c>
      <c r="BA28" s="85">
        <v>140</v>
      </c>
      <c r="BB28" s="85">
        <v>148</v>
      </c>
      <c r="BC28" s="93" t="str">
        <f t="shared" si="0"/>
        <v>LEHY-L-G standard</v>
      </c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27"/>
      <c r="BU28" s="27"/>
      <c r="BV28" s="27"/>
      <c r="BW28" s="27"/>
      <c r="BX28" s="27"/>
      <c r="BY28" s="27"/>
    </row>
    <row r="29" spans="1:77" s="17" customFormat="1" ht="20" customHeight="1" thickBot="1">
      <c r="A29" s="122"/>
      <c r="B29" s="48" t="s">
        <v>202</v>
      </c>
      <c r="C29" s="174"/>
      <c r="D29" s="175"/>
      <c r="E29" s="176"/>
      <c r="F29" s="174"/>
      <c r="G29" s="175"/>
      <c r="H29" s="177"/>
      <c r="I29" s="102">
        <v>0</v>
      </c>
      <c r="J29" s="103" t="s">
        <v>647</v>
      </c>
      <c r="K29" s="23"/>
      <c r="L29" s="43"/>
      <c r="M29" s="90" t="s">
        <v>452</v>
      </c>
      <c r="N29" s="72">
        <f>INDEX($AS$3:$AS$40,MATCH(E5,$AJ$3:$AJ$40,0))</f>
        <v>42</v>
      </c>
      <c r="O29" s="72">
        <f t="shared" si="3"/>
        <v>14</v>
      </c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/>
      <c r="AB29"/>
      <c r="AC29"/>
      <c r="AD29" s="1"/>
      <c r="AE29" s="1"/>
      <c r="AF29" s="82"/>
      <c r="AG29" s="82"/>
      <c r="AH29" s="82"/>
      <c r="AI29" s="82"/>
      <c r="AJ29" s="93" t="s">
        <v>179</v>
      </c>
      <c r="AK29" s="85">
        <v>9</v>
      </c>
      <c r="AL29" s="85">
        <v>14</v>
      </c>
      <c r="AM29" s="85">
        <v>106</v>
      </c>
      <c r="AN29" s="85">
        <v>107</v>
      </c>
      <c r="AO29" s="85">
        <v>108</v>
      </c>
      <c r="AP29" s="85">
        <v>109</v>
      </c>
      <c r="AQ29" s="85">
        <v>110</v>
      </c>
      <c r="AR29" s="85">
        <v>111</v>
      </c>
      <c r="AS29" s="85">
        <v>112</v>
      </c>
      <c r="AT29" s="85">
        <v>113</v>
      </c>
      <c r="AU29" s="85">
        <v>114</v>
      </c>
      <c r="AV29" s="85">
        <v>125</v>
      </c>
      <c r="AW29" s="85">
        <v>126</v>
      </c>
      <c r="AX29" s="85">
        <v>128</v>
      </c>
      <c r="AY29" s="85">
        <v>131</v>
      </c>
      <c r="AZ29" s="85">
        <v>134</v>
      </c>
      <c r="BA29" s="85">
        <v>141</v>
      </c>
      <c r="BB29" s="85">
        <v>150</v>
      </c>
      <c r="BC29" s="93" t="str">
        <f t="shared" si="0"/>
        <v>SD-BS-II</v>
      </c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27"/>
      <c r="BU29" s="27"/>
      <c r="BV29" s="27"/>
      <c r="BW29" s="27"/>
      <c r="BX29" s="27"/>
      <c r="BY29" s="27"/>
    </row>
    <row r="30" spans="1:77" s="17" customFormat="1" ht="45.75" customHeight="1" thickBot="1">
      <c r="A30" s="70" t="s">
        <v>97</v>
      </c>
      <c r="B30" s="164" t="s">
        <v>653</v>
      </c>
      <c r="C30" s="164"/>
      <c r="D30" s="164"/>
      <c r="E30" s="164"/>
      <c r="F30" s="164"/>
      <c r="G30" s="164"/>
      <c r="H30" s="165"/>
      <c r="I30" s="102">
        <v>17565</v>
      </c>
      <c r="J30" s="103" t="s">
        <v>685</v>
      </c>
      <c r="K30" s="23"/>
      <c r="L30" s="43"/>
      <c r="M30" s="90" t="s">
        <v>102</v>
      </c>
      <c r="N30" s="72">
        <f>INDEX($AT$3:$AT$40,MATCH(E5,$AJ$3:$AJ$40,0))</f>
        <v>43</v>
      </c>
      <c r="O30" s="72">
        <f t="shared" si="3"/>
        <v>15</v>
      </c>
      <c r="P30" s="2"/>
      <c r="Q30" s="9" t="s">
        <v>32</v>
      </c>
      <c r="R30" s="94" t="s">
        <v>26</v>
      </c>
      <c r="S30" s="94" t="s">
        <v>27</v>
      </c>
      <c r="T30" s="95" t="s">
        <v>28</v>
      </c>
      <c r="U30" s="95" t="s">
        <v>29</v>
      </c>
      <c r="V30" s="95" t="s">
        <v>30</v>
      </c>
      <c r="W30" s="95" t="s">
        <v>33</v>
      </c>
      <c r="X30" s="95" t="s">
        <v>31</v>
      </c>
      <c r="Y30" s="1"/>
      <c r="Z30" s="1"/>
      <c r="AA30"/>
      <c r="AB30"/>
      <c r="AC30"/>
      <c r="AD30" s="1"/>
      <c r="AE30" s="1"/>
      <c r="AF30" s="82"/>
      <c r="AG30" s="82"/>
      <c r="AH30" s="82"/>
      <c r="AI30" s="82"/>
      <c r="AJ30" s="93" t="s">
        <v>558</v>
      </c>
      <c r="AK30" s="85">
        <v>1</v>
      </c>
      <c r="AL30" s="85">
        <v>11</v>
      </c>
      <c r="AM30" s="85">
        <v>36</v>
      </c>
      <c r="AN30" s="85">
        <v>37</v>
      </c>
      <c r="AO30" s="85">
        <v>38</v>
      </c>
      <c r="AP30" s="85">
        <v>39</v>
      </c>
      <c r="AQ30" s="85">
        <v>40</v>
      </c>
      <c r="AR30" s="85">
        <v>41</v>
      </c>
      <c r="AS30" s="85">
        <v>42</v>
      </c>
      <c r="AT30" s="87">
        <v>119</v>
      </c>
      <c r="AU30" s="85">
        <v>44</v>
      </c>
      <c r="AV30" s="85">
        <v>121</v>
      </c>
      <c r="AW30" s="85">
        <v>122</v>
      </c>
      <c r="AX30" s="85">
        <v>127</v>
      </c>
      <c r="AY30" s="85">
        <v>129</v>
      </c>
      <c r="AZ30" s="85">
        <v>133</v>
      </c>
      <c r="BA30" s="85">
        <v>137</v>
      </c>
      <c r="BB30" s="85">
        <v>146</v>
      </c>
      <c r="BC30" s="93" t="str">
        <f t="shared" si="0"/>
        <v>LEHY-L-Pro-NZ11S</v>
      </c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27"/>
      <c r="BU30" s="27"/>
      <c r="BV30" s="27"/>
      <c r="BW30" s="27"/>
      <c r="BX30" s="27"/>
      <c r="BY30" s="27"/>
    </row>
    <row r="31" spans="1:77" s="17" customFormat="1" ht="28.5" customHeight="1">
      <c r="A31" s="170" t="s">
        <v>98</v>
      </c>
      <c r="B31" s="162" t="s">
        <v>587</v>
      </c>
      <c r="C31" s="162"/>
      <c r="D31" s="162"/>
      <c r="E31" s="162"/>
      <c r="F31" s="162"/>
      <c r="G31" s="162"/>
      <c r="H31" s="163"/>
      <c r="I31" s="102">
        <v>5940</v>
      </c>
      <c r="J31" s="103" t="s">
        <v>648</v>
      </c>
      <c r="K31" s="29"/>
      <c r="L31" s="43"/>
      <c r="M31" s="90" t="s">
        <v>20</v>
      </c>
      <c r="N31" s="72">
        <f>INDEX($AU$3:$AU$40,MATCH(E5,$AJ$3:$AJ$40,0))</f>
        <v>44</v>
      </c>
      <c r="O31" s="72">
        <f t="shared" si="3"/>
        <v>16</v>
      </c>
      <c r="P31" s="2"/>
      <c r="Q31" s="9" t="s">
        <v>34</v>
      </c>
      <c r="R31" s="94" t="s">
        <v>35</v>
      </c>
      <c r="S31" s="94" t="s">
        <v>36</v>
      </c>
      <c r="T31" s="95" t="s">
        <v>37</v>
      </c>
      <c r="U31" s="95" t="s">
        <v>40</v>
      </c>
      <c r="V31"/>
      <c r="W31"/>
      <c r="X31"/>
      <c r="Y31" s="1"/>
      <c r="Z31" s="1"/>
      <c r="AA31"/>
      <c r="AB31"/>
      <c r="AC31"/>
      <c r="AD31" s="1"/>
      <c r="AE31" s="1"/>
      <c r="AF31" s="82"/>
      <c r="AG31" s="82"/>
      <c r="AH31" s="82"/>
      <c r="AI31" s="82"/>
      <c r="AJ31" s="93" t="s">
        <v>559</v>
      </c>
      <c r="AK31" s="85">
        <v>1</v>
      </c>
      <c r="AL31" s="85">
        <v>11</v>
      </c>
      <c r="AM31" s="85">
        <v>36</v>
      </c>
      <c r="AN31" s="85">
        <v>37</v>
      </c>
      <c r="AO31" s="85">
        <v>38</v>
      </c>
      <c r="AP31" s="85">
        <v>39</v>
      </c>
      <c r="AQ31" s="85">
        <v>40</v>
      </c>
      <c r="AR31" s="85">
        <v>41</v>
      </c>
      <c r="AS31" s="85">
        <v>42</v>
      </c>
      <c r="AT31" s="87">
        <v>119</v>
      </c>
      <c r="AU31" s="85">
        <v>44</v>
      </c>
      <c r="AV31" s="85">
        <v>121</v>
      </c>
      <c r="AW31" s="85">
        <v>122</v>
      </c>
      <c r="AX31" s="85">
        <v>127</v>
      </c>
      <c r="AY31" s="85">
        <v>129</v>
      </c>
      <c r="AZ31" s="85">
        <v>133</v>
      </c>
      <c r="BA31" s="85">
        <v>137</v>
      </c>
      <c r="BB31" s="85">
        <v>146</v>
      </c>
      <c r="BC31" s="93" t="str">
        <f t="shared" si="0"/>
        <v>LEHY-L-Pro-NZ22S</v>
      </c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27"/>
      <c r="BU31" s="27"/>
      <c r="BV31" s="27"/>
      <c r="BW31" s="27"/>
      <c r="BX31" s="27"/>
      <c r="BY31" s="27"/>
    </row>
    <row r="32" spans="1:77" s="17" customFormat="1" ht="28.5" customHeight="1">
      <c r="A32" s="171"/>
      <c r="B32" s="162">
        <v>2</v>
      </c>
      <c r="C32" s="162"/>
      <c r="D32" s="162"/>
      <c r="E32" s="162"/>
      <c r="F32" s="162"/>
      <c r="G32" s="162"/>
      <c r="H32" s="163"/>
      <c r="I32" s="102"/>
      <c r="J32" s="103"/>
      <c r="K32" s="30"/>
      <c r="L32" s="43"/>
      <c r="M32" s="85" t="s">
        <v>105</v>
      </c>
      <c r="N32" s="72">
        <f>INDEX($AV$3:$AV$40,MATCH(E5,$AJ$3:$AJ$40,0))</f>
        <v>121</v>
      </c>
      <c r="O32" s="72">
        <f t="shared" si="3"/>
        <v>2</v>
      </c>
      <c r="P32" s="2"/>
      <c r="Q32" s="9" t="s">
        <v>38</v>
      </c>
      <c r="R32" s="94" t="s">
        <v>39</v>
      </c>
      <c r="S32" s="94" t="s">
        <v>81</v>
      </c>
      <c r="T32" s="94" t="s">
        <v>82</v>
      </c>
      <c r="U32" s="3"/>
      <c r="V32" s="4"/>
      <c r="W32"/>
      <c r="X32"/>
      <c r="Y32" s="1"/>
      <c r="Z32" s="1"/>
      <c r="AA32"/>
      <c r="AB32"/>
      <c r="AC32"/>
      <c r="AD32" s="1"/>
      <c r="AE32" s="1"/>
      <c r="AF32" s="82"/>
      <c r="AG32" s="82"/>
      <c r="AH32" s="82"/>
      <c r="AI32" s="82"/>
      <c r="AJ32" s="93" t="s">
        <v>560</v>
      </c>
      <c r="AK32" s="85">
        <v>1</v>
      </c>
      <c r="AL32" s="85">
        <v>11</v>
      </c>
      <c r="AM32" s="85">
        <v>36</v>
      </c>
      <c r="AN32" s="85">
        <v>37</v>
      </c>
      <c r="AO32" s="85">
        <v>38</v>
      </c>
      <c r="AP32" s="85">
        <v>39</v>
      </c>
      <c r="AQ32" s="85">
        <v>40</v>
      </c>
      <c r="AR32" s="85">
        <v>41</v>
      </c>
      <c r="AS32" s="85">
        <v>42</v>
      </c>
      <c r="AT32" s="87">
        <v>119</v>
      </c>
      <c r="AU32" s="85">
        <v>44</v>
      </c>
      <c r="AV32" s="85">
        <v>121</v>
      </c>
      <c r="AW32" s="85">
        <v>122</v>
      </c>
      <c r="AX32" s="85">
        <v>127</v>
      </c>
      <c r="AY32" s="85">
        <v>129</v>
      </c>
      <c r="AZ32" s="85">
        <v>133</v>
      </c>
      <c r="BA32" s="85">
        <v>137</v>
      </c>
      <c r="BB32" s="85">
        <v>146</v>
      </c>
      <c r="BC32" s="93" t="str">
        <f t="shared" si="0"/>
        <v>LEHY-L-Pro-NZ31S</v>
      </c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27"/>
      <c r="BU32" s="27"/>
      <c r="BV32" s="27"/>
      <c r="BW32" s="27"/>
      <c r="BX32" s="27"/>
      <c r="BY32" s="27"/>
    </row>
    <row r="33" spans="1:88" s="17" customFormat="1" ht="28.5" customHeight="1">
      <c r="A33" s="171"/>
      <c r="B33" s="162">
        <v>3</v>
      </c>
      <c r="C33" s="162"/>
      <c r="D33" s="162"/>
      <c r="E33" s="162"/>
      <c r="F33" s="162"/>
      <c r="G33" s="162"/>
      <c r="H33" s="163"/>
      <c r="I33" s="102"/>
      <c r="J33" s="103"/>
      <c r="K33" s="23"/>
      <c r="L33" s="43"/>
      <c r="M33" s="85" t="s">
        <v>106</v>
      </c>
      <c r="N33" s="72">
        <f>INDEX($AW$3:$AW$40,MATCH(E5,$AJ$3:$AJ$40,0))</f>
        <v>122</v>
      </c>
      <c r="O33" s="72">
        <f t="shared" si="3"/>
        <v>2</v>
      </c>
      <c r="P33" s="2">
        <f t="shared" ref="P33:P36" si="4">MATCH("\\",R33:Z33,0)-1</f>
        <v>6</v>
      </c>
      <c r="Q33" s="80" t="s">
        <v>132</v>
      </c>
      <c r="R33" s="80" t="s">
        <v>421</v>
      </c>
      <c r="S33" s="80" t="s">
        <v>422</v>
      </c>
      <c r="T33" s="80" t="s">
        <v>423</v>
      </c>
      <c r="U33" s="80" t="s">
        <v>424</v>
      </c>
      <c r="V33" s="80" t="s">
        <v>425</v>
      </c>
      <c r="W33" s="80" t="s">
        <v>426</v>
      </c>
      <c r="X33" s="80" t="s">
        <v>17</v>
      </c>
      <c r="Y33" s="10" t="s">
        <v>531</v>
      </c>
      <c r="Z33" s="1"/>
      <c r="AA33"/>
      <c r="AB33"/>
      <c r="AC33"/>
      <c r="AD33" s="1"/>
      <c r="AE33" s="1"/>
      <c r="AF33" s="82"/>
      <c r="AG33" s="82"/>
      <c r="AH33" s="82"/>
      <c r="AI33" s="82"/>
      <c r="AJ33" s="93" t="s">
        <v>561</v>
      </c>
      <c r="AK33" s="85">
        <v>1</v>
      </c>
      <c r="AL33" s="85">
        <v>11</v>
      </c>
      <c r="AM33" s="85">
        <v>36</v>
      </c>
      <c r="AN33" s="85">
        <v>37</v>
      </c>
      <c r="AO33" s="85">
        <v>38</v>
      </c>
      <c r="AP33" s="85">
        <v>39</v>
      </c>
      <c r="AQ33" s="85">
        <v>40</v>
      </c>
      <c r="AR33" s="85">
        <v>41</v>
      </c>
      <c r="AS33" s="85">
        <v>42</v>
      </c>
      <c r="AT33" s="87">
        <v>119</v>
      </c>
      <c r="AU33" s="85">
        <v>44</v>
      </c>
      <c r="AV33" s="85">
        <v>121</v>
      </c>
      <c r="AW33" s="85">
        <v>122</v>
      </c>
      <c r="AX33" s="85">
        <v>127</v>
      </c>
      <c r="AY33" s="85">
        <v>129</v>
      </c>
      <c r="AZ33" s="85">
        <v>133</v>
      </c>
      <c r="BA33" s="85">
        <v>137</v>
      </c>
      <c r="BB33" s="85">
        <v>146</v>
      </c>
      <c r="BC33" s="93" t="str">
        <f t="shared" si="0"/>
        <v>LEHY-L-Pro-NZ42S</v>
      </c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27"/>
      <c r="BU33" s="27"/>
      <c r="BV33" s="27"/>
      <c r="BW33" s="27"/>
      <c r="BX33" s="27"/>
      <c r="BY33" s="27"/>
    </row>
    <row r="34" spans="1:88" s="17" customFormat="1" ht="28.5" customHeight="1">
      <c r="A34" s="171"/>
      <c r="B34" s="162">
        <v>4</v>
      </c>
      <c r="C34" s="162"/>
      <c r="D34" s="162"/>
      <c r="E34" s="162"/>
      <c r="F34" s="162"/>
      <c r="G34" s="162"/>
      <c r="H34" s="163"/>
      <c r="I34" s="102"/>
      <c r="J34" s="103"/>
      <c r="K34" s="31"/>
      <c r="L34" s="43"/>
      <c r="M34" s="85" t="s">
        <v>303</v>
      </c>
      <c r="N34" s="72">
        <f>INDEX($AX$3:$AX$40,MATCH(E5,$AJ$3:$AJ$40,0))</f>
        <v>127</v>
      </c>
      <c r="O34" s="72">
        <f t="shared" si="3"/>
        <v>7</v>
      </c>
      <c r="P34" s="2">
        <f t="shared" si="4"/>
        <v>4</v>
      </c>
      <c r="Q34" s="80" t="s">
        <v>457</v>
      </c>
      <c r="R34" s="80" t="s">
        <v>427</v>
      </c>
      <c r="S34" s="80" t="s">
        <v>428</v>
      </c>
      <c r="T34" s="80" t="s">
        <v>429</v>
      </c>
      <c r="U34" s="80" t="s">
        <v>430</v>
      </c>
      <c r="V34" s="80" t="s">
        <v>17</v>
      </c>
      <c r="W34" s="80"/>
      <c r="X34" s="10" t="s">
        <v>531</v>
      </c>
      <c r="Y34" s="1"/>
      <c r="Z34" s="1"/>
      <c r="AA34"/>
      <c r="AB34"/>
      <c r="AC34"/>
      <c r="AD34" s="1"/>
      <c r="AE34" s="1"/>
      <c r="AF34" s="82"/>
      <c r="AG34" s="82"/>
      <c r="AH34" s="82"/>
      <c r="AI34" s="82"/>
      <c r="AJ34" s="93" t="s">
        <v>522</v>
      </c>
      <c r="AK34" s="85">
        <v>7</v>
      </c>
      <c r="AL34" s="85">
        <v>13</v>
      </c>
      <c r="AM34" s="85">
        <v>86</v>
      </c>
      <c r="AN34" s="85">
        <v>87</v>
      </c>
      <c r="AO34" s="85">
        <v>88</v>
      </c>
      <c r="AP34" s="85">
        <v>89</v>
      </c>
      <c r="AQ34" s="85">
        <v>90</v>
      </c>
      <c r="AR34" s="85">
        <v>91</v>
      </c>
      <c r="AS34" s="85">
        <v>92</v>
      </c>
      <c r="AT34" s="85">
        <v>93</v>
      </c>
      <c r="AU34" s="85">
        <v>94</v>
      </c>
      <c r="AV34" s="85">
        <v>125</v>
      </c>
      <c r="AW34" s="85">
        <v>126</v>
      </c>
      <c r="AX34" s="85">
        <v>128</v>
      </c>
      <c r="AY34" s="85">
        <v>131</v>
      </c>
      <c r="AZ34" s="85">
        <v>134</v>
      </c>
      <c r="BA34" s="85">
        <v>140</v>
      </c>
      <c r="BB34" s="85">
        <v>148</v>
      </c>
      <c r="BC34" s="93" t="str">
        <f t="shared" si="0"/>
        <v>LEHY-G forklift</v>
      </c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27"/>
      <c r="BU34" s="27"/>
      <c r="BV34" s="27"/>
      <c r="BW34" s="27"/>
      <c r="BX34" s="27"/>
      <c r="BY34" s="27"/>
    </row>
    <row r="35" spans="1:88" s="17" customFormat="1" ht="28.5" customHeight="1">
      <c r="A35" s="172"/>
      <c r="B35" s="162">
        <v>5</v>
      </c>
      <c r="C35" s="162"/>
      <c r="D35" s="162"/>
      <c r="E35" s="162"/>
      <c r="F35" s="162"/>
      <c r="G35" s="162"/>
      <c r="H35" s="163"/>
      <c r="I35" s="102"/>
      <c r="J35" s="103"/>
      <c r="K35" s="28"/>
      <c r="L35" s="43"/>
      <c r="M35" s="85" t="s">
        <v>512</v>
      </c>
      <c r="N35" s="72">
        <f>INDEX($AY$3:$AY$40,MATCH(E5,$AJ$3:$AJ$40,0))</f>
        <v>129</v>
      </c>
      <c r="O35" s="72">
        <f t="shared" si="3"/>
        <v>5</v>
      </c>
      <c r="P35" s="2">
        <f t="shared" si="4"/>
        <v>5</v>
      </c>
      <c r="Q35" s="80" t="s">
        <v>251</v>
      </c>
      <c r="R35" s="80" t="s">
        <v>433</v>
      </c>
      <c r="S35" s="80" t="s">
        <v>435</v>
      </c>
      <c r="T35" s="80" t="s">
        <v>436</v>
      </c>
      <c r="U35" s="80" t="s">
        <v>529</v>
      </c>
      <c r="V35" s="80" t="s">
        <v>530</v>
      </c>
      <c r="W35" s="80" t="s">
        <v>17</v>
      </c>
      <c r="X35" s="10" t="s">
        <v>531</v>
      </c>
      <c r="Y35" s="1"/>
      <c r="Z35" s="1"/>
      <c r="AA35"/>
      <c r="AB35"/>
      <c r="AC35"/>
      <c r="AD35" s="1"/>
      <c r="AE35" s="1"/>
      <c r="AF35" s="82"/>
      <c r="AG35" s="82"/>
      <c r="AH35" s="82"/>
      <c r="AI35" s="82"/>
      <c r="AJ35" s="93" t="s">
        <v>524</v>
      </c>
      <c r="AK35" s="85">
        <v>6</v>
      </c>
      <c r="AL35" s="85">
        <v>13</v>
      </c>
      <c r="AM35" s="85">
        <v>152</v>
      </c>
      <c r="AN35" s="85">
        <v>153</v>
      </c>
      <c r="AO35" s="85">
        <v>154</v>
      </c>
      <c r="AP35" s="85">
        <v>155</v>
      </c>
      <c r="AQ35" s="85">
        <v>156</v>
      </c>
      <c r="AR35" s="85">
        <v>157</v>
      </c>
      <c r="AS35" s="85">
        <v>158</v>
      </c>
      <c r="AT35" s="85">
        <v>159</v>
      </c>
      <c r="AU35" s="85">
        <v>160</v>
      </c>
      <c r="AV35" s="85">
        <v>121</v>
      </c>
      <c r="AW35" s="85">
        <v>122</v>
      </c>
      <c r="AX35" s="85">
        <v>127</v>
      </c>
      <c r="AY35" s="85">
        <v>129</v>
      </c>
      <c r="AZ35" s="85">
        <v>133</v>
      </c>
      <c r="BA35" s="85">
        <v>137</v>
      </c>
      <c r="BB35" s="85">
        <v>145</v>
      </c>
      <c r="BC35" s="93" t="str">
        <f t="shared" si="0"/>
        <v>LEHY-L-S</v>
      </c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27"/>
      <c r="BU35" s="27"/>
      <c r="BV35" s="27"/>
      <c r="BW35" s="27"/>
      <c r="BX35" s="27"/>
      <c r="BY35" s="27"/>
    </row>
    <row r="36" spans="1:88" s="17" customFormat="1" ht="28.5" customHeight="1" thickBot="1">
      <c r="A36" s="173"/>
      <c r="B36" s="160">
        <v>6</v>
      </c>
      <c r="C36" s="160"/>
      <c r="D36" s="160"/>
      <c r="E36" s="160"/>
      <c r="F36" s="160"/>
      <c r="G36" s="160"/>
      <c r="H36" s="161"/>
      <c r="I36" s="102"/>
      <c r="J36" s="103"/>
      <c r="K36" s="30"/>
      <c r="L36" s="43"/>
      <c r="M36" s="85" t="s">
        <v>458</v>
      </c>
      <c r="N36" s="72">
        <f>INDEX($AZ$3:$AZ$40,MATCH(E5,$AJ$3:$AJ$40,0))</f>
        <v>133</v>
      </c>
      <c r="O36" s="72">
        <f t="shared" si="3"/>
        <v>7</v>
      </c>
      <c r="P36" s="2">
        <f t="shared" si="4"/>
        <v>4</v>
      </c>
      <c r="Q36" s="80" t="s">
        <v>252</v>
      </c>
      <c r="R36" s="80" t="s">
        <v>439</v>
      </c>
      <c r="S36" s="80" t="s">
        <v>440</v>
      </c>
      <c r="T36" s="80" t="s">
        <v>441</v>
      </c>
      <c r="U36" s="80" t="s">
        <v>442</v>
      </c>
      <c r="V36" s="80" t="s">
        <v>17</v>
      </c>
      <c r="W36" s="80"/>
      <c r="X36" s="10" t="s">
        <v>531</v>
      </c>
      <c r="Y36" s="1"/>
      <c r="Z36" s="1"/>
      <c r="AA36"/>
      <c r="AB36"/>
      <c r="AC36"/>
      <c r="AD36" s="1"/>
      <c r="AE36" s="1"/>
      <c r="AF36" s="82"/>
      <c r="AG36" s="82"/>
      <c r="AH36" s="82"/>
      <c r="AI36" s="86"/>
      <c r="AJ36" s="93" t="s">
        <v>556</v>
      </c>
      <c r="AK36" s="85">
        <v>1</v>
      </c>
      <c r="AL36" s="85">
        <v>11</v>
      </c>
      <c r="AM36" s="85">
        <v>36</v>
      </c>
      <c r="AN36" s="85">
        <v>37</v>
      </c>
      <c r="AO36" s="85">
        <v>38</v>
      </c>
      <c r="AP36" s="85">
        <v>39</v>
      </c>
      <c r="AQ36" s="85">
        <v>40</v>
      </c>
      <c r="AR36" s="85">
        <v>41</v>
      </c>
      <c r="AS36" s="85">
        <v>42</v>
      </c>
      <c r="AT36" s="85">
        <v>43</v>
      </c>
      <c r="AU36" s="85">
        <v>44</v>
      </c>
      <c r="AV36" s="85">
        <v>121</v>
      </c>
      <c r="AW36" s="85">
        <v>122</v>
      </c>
      <c r="AX36" s="85">
        <v>127</v>
      </c>
      <c r="AY36" s="85">
        <v>129</v>
      </c>
      <c r="AZ36" s="85">
        <v>133</v>
      </c>
      <c r="BA36" s="85">
        <v>137</v>
      </c>
      <c r="BB36" s="85">
        <v>144</v>
      </c>
      <c r="BC36" s="93" t="str">
        <f t="shared" si="0"/>
        <v>LEHY-L-Pro</v>
      </c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8" s="17" customFormat="1" ht="18" customHeight="1">
      <c r="A37" s="32"/>
      <c r="B37" s="33"/>
      <c r="C37" s="34"/>
      <c r="D37" s="34"/>
      <c r="E37" s="34"/>
      <c r="G37" s="105" t="s">
        <v>566</v>
      </c>
      <c r="I37" s="106">
        <v>255521</v>
      </c>
      <c r="J37" s="103"/>
      <c r="K37" s="23"/>
      <c r="L37" s="44"/>
      <c r="M37" s="85" t="s">
        <v>124</v>
      </c>
      <c r="N37" s="72">
        <f>INDEX($BA$3:$BA$40,MATCH(E5,$AJ$3:$AJ$40,0))</f>
        <v>137</v>
      </c>
      <c r="O37" s="72">
        <f t="shared" si="3"/>
        <v>7</v>
      </c>
      <c r="P37" s="2"/>
      <c r="Q37" s="40"/>
      <c r="R37" s="1"/>
      <c r="S37" s="1"/>
      <c r="T37" s="1"/>
      <c r="U37" s="1"/>
      <c r="V37" s="1"/>
      <c r="W37" s="1"/>
      <c r="X37" s="1"/>
      <c r="Y37" s="1"/>
      <c r="Z37" s="1"/>
      <c r="AA37"/>
      <c r="AB37"/>
      <c r="AC37"/>
      <c r="AD37" s="1"/>
      <c r="AE37" s="1"/>
      <c r="AF37" s="82"/>
      <c r="AG37" s="82"/>
      <c r="AH37" s="82"/>
      <c r="AI37" s="86"/>
      <c r="AJ37" s="93" t="s">
        <v>537</v>
      </c>
      <c r="AK37" s="85">
        <v>7</v>
      </c>
      <c r="AL37" s="85">
        <v>13</v>
      </c>
      <c r="AM37" s="85">
        <v>86</v>
      </c>
      <c r="AN37" s="85">
        <v>87</v>
      </c>
      <c r="AO37" s="85">
        <v>88</v>
      </c>
      <c r="AP37" s="85">
        <v>89</v>
      </c>
      <c r="AQ37" s="85">
        <v>90</v>
      </c>
      <c r="AR37" s="85">
        <v>91</v>
      </c>
      <c r="AS37" s="85">
        <v>92</v>
      </c>
      <c r="AT37" s="85">
        <v>93</v>
      </c>
      <c r="AU37" s="85">
        <v>94</v>
      </c>
      <c r="AV37" s="85">
        <v>125</v>
      </c>
      <c r="AW37" s="85">
        <v>126</v>
      </c>
      <c r="AX37" s="85">
        <v>128</v>
      </c>
      <c r="AY37" s="85">
        <v>131</v>
      </c>
      <c r="AZ37" s="85">
        <v>134</v>
      </c>
      <c r="BA37" s="85">
        <v>140</v>
      </c>
      <c r="BB37" s="85">
        <v>148</v>
      </c>
      <c r="BC37" s="93" t="str">
        <f t="shared" si="0"/>
        <v>LEHY-L-G forklift</v>
      </c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8" s="17" customFormat="1" ht="18" customHeight="1">
      <c r="A38" s="35"/>
      <c r="B38" s="36"/>
      <c r="I38" s="102"/>
      <c r="J38" s="103"/>
      <c r="K38" s="30"/>
      <c r="L38" s="44"/>
      <c r="M38" s="85" t="s">
        <v>125</v>
      </c>
      <c r="N38" s="72">
        <f>INDEX($BB$3:$BB$40,MATCH(E5,$AJ$3:$AJ$40,0))</f>
        <v>144</v>
      </c>
      <c r="O38" s="72">
        <f t="shared" si="3"/>
        <v>7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2"/>
      <c r="AG38" s="82"/>
      <c r="AH38" s="82"/>
      <c r="AI38" s="86"/>
      <c r="AJ38" s="93" t="s">
        <v>542</v>
      </c>
      <c r="AK38" s="85">
        <v>3</v>
      </c>
      <c r="AL38" s="85">
        <v>11</v>
      </c>
      <c r="AM38" s="85">
        <v>46</v>
      </c>
      <c r="AN38" s="85">
        <v>47</v>
      </c>
      <c r="AO38" s="85">
        <v>48</v>
      </c>
      <c r="AP38" s="85">
        <v>49</v>
      </c>
      <c r="AQ38" s="85">
        <v>50</v>
      </c>
      <c r="AR38" s="85">
        <v>51</v>
      </c>
      <c r="AS38" s="85">
        <v>52</v>
      </c>
      <c r="AT38" s="85">
        <v>53</v>
      </c>
      <c r="AU38" s="85">
        <v>54</v>
      </c>
      <c r="AV38" s="85">
        <v>123</v>
      </c>
      <c r="AW38" s="85">
        <v>124</v>
      </c>
      <c r="AX38" s="85">
        <v>127</v>
      </c>
      <c r="AY38" s="85">
        <v>130</v>
      </c>
      <c r="AZ38" s="85">
        <v>133</v>
      </c>
      <c r="BA38" s="85">
        <v>137</v>
      </c>
      <c r="BB38" s="85">
        <v>144</v>
      </c>
      <c r="BC38" s="93" t="str">
        <f t="shared" si="0"/>
        <v>LEHY-L-S(F)</v>
      </c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8" s="17" customFormat="1" ht="18" customHeight="1">
      <c r="A39" s="35"/>
      <c r="B39" s="18"/>
      <c r="I39" s="102"/>
      <c r="J39" s="103"/>
      <c r="K39" s="30"/>
      <c r="L39" s="44"/>
      <c r="M39" s="1"/>
      <c r="N39" s="2"/>
      <c r="O39" s="2"/>
      <c r="P39" s="2"/>
      <c r="Q39" s="1"/>
      <c r="R39" s="88" t="s">
        <v>446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82"/>
      <c r="AG39" s="82"/>
      <c r="AH39" s="82"/>
      <c r="AI39" s="86"/>
      <c r="AJ39" s="93" t="s">
        <v>557</v>
      </c>
      <c r="AK39" s="85">
        <v>3</v>
      </c>
      <c r="AL39" s="85">
        <v>11</v>
      </c>
      <c r="AM39" s="85">
        <v>46</v>
      </c>
      <c r="AN39" s="85">
        <v>47</v>
      </c>
      <c r="AO39" s="85">
        <v>48</v>
      </c>
      <c r="AP39" s="85">
        <v>49</v>
      </c>
      <c r="AQ39" s="85">
        <v>50</v>
      </c>
      <c r="AR39" s="85">
        <v>51</v>
      </c>
      <c r="AS39" s="85">
        <v>52</v>
      </c>
      <c r="AT39" s="85">
        <v>53</v>
      </c>
      <c r="AU39" s="85">
        <v>54</v>
      </c>
      <c r="AV39" s="85">
        <v>123</v>
      </c>
      <c r="AW39" s="85">
        <v>124</v>
      </c>
      <c r="AX39" s="85">
        <v>127</v>
      </c>
      <c r="AY39" s="85">
        <v>130</v>
      </c>
      <c r="AZ39" s="85">
        <v>133</v>
      </c>
      <c r="BA39" s="85">
        <v>137</v>
      </c>
      <c r="BB39" s="85">
        <v>144</v>
      </c>
      <c r="BC39" s="93" t="str">
        <f t="shared" si="0"/>
        <v>LEHY-L-Pro(F)</v>
      </c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8" s="17" customFormat="1">
      <c r="A40" s="35"/>
      <c r="B40" s="18"/>
      <c r="I40" s="99"/>
      <c r="J40" s="99"/>
      <c r="K40" s="30"/>
      <c r="L40" s="44"/>
      <c r="M40" s="1"/>
      <c r="N40" s="2"/>
      <c r="O40" s="2"/>
      <c r="P40" s="2"/>
      <c r="Q40" s="13" t="s">
        <v>85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"/>
      <c r="AE40" s="1"/>
      <c r="AF40" s="82"/>
      <c r="AG40" s="82"/>
      <c r="AH40" s="82"/>
      <c r="AI40" s="86"/>
      <c r="AJ40" s="97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97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8" s="17" customFormat="1" ht="18" customHeight="1">
      <c r="A41" s="35"/>
      <c r="B41" s="18"/>
      <c r="I41" s="100"/>
      <c r="J41" s="100"/>
      <c r="K41" s="37"/>
      <c r="L41" s="44"/>
      <c r="M41" s="1"/>
      <c r="N41" s="2"/>
      <c r="O41" s="2"/>
      <c r="P41" s="2">
        <f>MATCH("\\",R41:AE41,0)-1</f>
        <v>5</v>
      </c>
      <c r="Q41" s="12" t="s">
        <v>9</v>
      </c>
      <c r="R41" s="14" t="s">
        <v>95</v>
      </c>
      <c r="S41" s="14" t="s">
        <v>91</v>
      </c>
      <c r="T41" s="14" t="s">
        <v>92</v>
      </c>
      <c r="U41" s="14" t="s">
        <v>93</v>
      </c>
      <c r="V41" s="14" t="s">
        <v>94</v>
      </c>
      <c r="W41" s="1" t="s">
        <v>17</v>
      </c>
      <c r="Y41" s="14"/>
      <c r="Z41" s="14"/>
      <c r="AA41" s="14"/>
      <c r="AB41" s="14"/>
      <c r="AC41" s="14"/>
      <c r="AD41" s="1"/>
      <c r="AE41" s="1"/>
      <c r="AF41" s="82"/>
      <c r="AG41" s="82"/>
      <c r="AH41" s="82" t="s">
        <v>417</v>
      </c>
      <c r="AI41" s="86" t="s">
        <v>416</v>
      </c>
      <c r="AJ41" s="82"/>
      <c r="AK41" s="91" t="s">
        <v>447</v>
      </c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8" s="17" customFormat="1" ht="18" customHeight="1">
      <c r="A42" s="35"/>
      <c r="B42" s="18"/>
      <c r="I42" s="99"/>
      <c r="J42" s="99"/>
      <c r="K42" s="30"/>
      <c r="L42" s="44"/>
      <c r="M42" s="1"/>
      <c r="N42" s="2"/>
      <c r="O42" s="2"/>
      <c r="P42" s="2">
        <f>MATCH("\\",R42:AE42,0)-1</f>
        <v>10</v>
      </c>
      <c r="Q42" s="12" t="s">
        <v>10</v>
      </c>
      <c r="R42" s="14" t="s">
        <v>11</v>
      </c>
      <c r="S42" s="39" t="s">
        <v>99</v>
      </c>
      <c r="T42" s="14" t="s">
        <v>12</v>
      </c>
      <c r="U42" s="14" t="s">
        <v>13</v>
      </c>
      <c r="V42" s="14" t="s">
        <v>14</v>
      </c>
      <c r="W42" s="14" t="s">
        <v>15</v>
      </c>
      <c r="X42" s="14" t="s">
        <v>141</v>
      </c>
      <c r="Y42" s="14" t="s">
        <v>157</v>
      </c>
      <c r="Z42" s="14" t="s">
        <v>467</v>
      </c>
      <c r="AA42" s="14" t="s">
        <v>468</v>
      </c>
      <c r="AB42" s="1" t="s">
        <v>17</v>
      </c>
      <c r="AC42" s="14"/>
      <c r="AD42" s="1"/>
      <c r="AE42" s="1"/>
      <c r="AF42" s="2">
        <f>MATCH("\\",AK42:BN42,0)-1</f>
        <v>2</v>
      </c>
      <c r="AG42" s="82">
        <v>1</v>
      </c>
      <c r="AH42" s="82" t="s">
        <v>341</v>
      </c>
      <c r="AI42" s="86" t="s">
        <v>347</v>
      </c>
      <c r="AJ42" s="82"/>
      <c r="AK42" s="82" t="s">
        <v>545</v>
      </c>
      <c r="AL42" s="82" t="s">
        <v>343</v>
      </c>
      <c r="AM42" s="82" t="s">
        <v>17</v>
      </c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8" s="17" customFormat="1" ht="18" customHeight="1">
      <c r="A43" s="35"/>
      <c r="B43" s="18"/>
      <c r="I43" s="99"/>
      <c r="J43" s="99"/>
      <c r="K43" s="30"/>
      <c r="L43" s="44"/>
      <c r="M43" s="1"/>
      <c r="N43" s="2"/>
      <c r="O43" s="2"/>
      <c r="P43" s="15"/>
      <c r="Q43" s="1"/>
      <c r="R43" s="1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"/>
      <c r="AD43" s="1"/>
      <c r="AE43" s="1"/>
      <c r="AF43" s="2">
        <f t="shared" ref="AF43:AF106" si="5">MATCH("\\",AK43:BN43,0)-1</f>
        <v>2</v>
      </c>
      <c r="AG43" s="82">
        <v>2</v>
      </c>
      <c r="AH43" s="82"/>
      <c r="AI43" s="86" t="s">
        <v>348</v>
      </c>
      <c r="AJ43" s="82"/>
      <c r="AK43" s="82" t="s">
        <v>545</v>
      </c>
      <c r="AL43" s="82" t="s">
        <v>343</v>
      </c>
      <c r="AM43" s="82" t="s">
        <v>17</v>
      </c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8" ht="16" customHeight="1">
      <c r="A44" s="24"/>
      <c r="B44" s="38"/>
      <c r="C44" s="24"/>
      <c r="D44" s="24"/>
      <c r="E44" s="24"/>
      <c r="L44" s="44"/>
      <c r="M44" s="1"/>
      <c r="N44" s="2"/>
      <c r="O44" s="2"/>
      <c r="P44" s="2"/>
      <c r="Q44" s="13" t="s">
        <v>478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"/>
      <c r="AE44" s="1"/>
      <c r="AF44" s="2">
        <f t="shared" si="5"/>
        <v>1</v>
      </c>
      <c r="AG44" s="82">
        <v>3</v>
      </c>
      <c r="AH44" s="82"/>
      <c r="AI44" s="86" t="s">
        <v>282</v>
      </c>
      <c r="AJ44" s="82"/>
      <c r="AK44" s="82" t="s">
        <v>546</v>
      </c>
      <c r="AL44" s="82" t="s">
        <v>17</v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CE44" s="17"/>
      <c r="CF44" s="17"/>
      <c r="CG44" s="17"/>
      <c r="CH44" s="17"/>
      <c r="CI44" s="17"/>
      <c r="CJ44" s="17"/>
    </row>
    <row r="45" spans="1:88" ht="16" customHeight="1">
      <c r="A45" s="24"/>
      <c r="B45" s="38"/>
      <c r="C45" s="24"/>
      <c r="D45" s="24"/>
      <c r="E45" s="24"/>
      <c r="L45" s="44"/>
      <c r="M45" s="1"/>
      <c r="N45" s="2"/>
      <c r="O45" s="2"/>
      <c r="P45" s="2">
        <f t="shared" ref="P45:P46" si="6">MATCH("\\",R45:AE45,0)-1</f>
        <v>5</v>
      </c>
      <c r="Q45" s="12" t="s">
        <v>9</v>
      </c>
      <c r="R45" s="14" t="s">
        <v>95</v>
      </c>
      <c r="S45" s="14" t="s">
        <v>91</v>
      </c>
      <c r="T45" s="14" t="s">
        <v>92</v>
      </c>
      <c r="U45" s="14" t="s">
        <v>93</v>
      </c>
      <c r="V45" s="14" t="s">
        <v>94</v>
      </c>
      <c r="W45" s="1" t="s">
        <v>17</v>
      </c>
      <c r="X45" s="17"/>
      <c r="Y45" s="14"/>
      <c r="Z45" s="14"/>
      <c r="AA45" s="14"/>
      <c r="AB45" s="14"/>
      <c r="AC45" s="14"/>
      <c r="AD45" s="1"/>
      <c r="AE45" s="1"/>
      <c r="AF45" s="2">
        <f t="shared" si="5"/>
        <v>1</v>
      </c>
      <c r="AG45" s="82">
        <v>4</v>
      </c>
      <c r="AH45" s="82"/>
      <c r="AI45" s="86" t="s">
        <v>349</v>
      </c>
      <c r="AJ45" s="82"/>
      <c r="AK45" s="82" t="s">
        <v>414</v>
      </c>
      <c r="AL45" s="82" t="s">
        <v>17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CJ45" s="17"/>
    </row>
    <row r="46" spans="1:88">
      <c r="A46" s="24"/>
      <c r="B46" s="38"/>
      <c r="C46" s="24"/>
      <c r="D46" s="24"/>
      <c r="E46" s="24"/>
      <c r="L46" s="44"/>
      <c r="M46" s="1"/>
      <c r="N46" s="2"/>
      <c r="O46" s="2"/>
      <c r="P46" s="2">
        <f t="shared" si="6"/>
        <v>10</v>
      </c>
      <c r="Q46" s="12" t="s">
        <v>10</v>
      </c>
      <c r="R46" s="14" t="s">
        <v>11</v>
      </c>
      <c r="S46" s="39" t="s">
        <v>99</v>
      </c>
      <c r="T46" s="14" t="s">
        <v>12</v>
      </c>
      <c r="U46" s="14" t="s">
        <v>13</v>
      </c>
      <c r="V46" s="14" t="s">
        <v>14</v>
      </c>
      <c r="W46" s="14" t="s">
        <v>15</v>
      </c>
      <c r="X46" s="14" t="s">
        <v>141</v>
      </c>
      <c r="Y46" s="14" t="s">
        <v>157</v>
      </c>
      <c r="Z46" s="14" t="s">
        <v>467</v>
      </c>
      <c r="AA46" s="14" t="s">
        <v>468</v>
      </c>
      <c r="AB46" s="1" t="s">
        <v>17</v>
      </c>
      <c r="AC46" s="14"/>
      <c r="AD46" s="1"/>
      <c r="AE46" s="1"/>
      <c r="AF46" s="2">
        <f t="shared" si="5"/>
        <v>1</v>
      </c>
      <c r="AG46" s="82">
        <v>5</v>
      </c>
      <c r="AH46" s="82"/>
      <c r="AI46" s="86" t="s">
        <v>344</v>
      </c>
      <c r="AJ46" s="82"/>
      <c r="AK46" s="82" t="s">
        <v>545</v>
      </c>
      <c r="AL46" s="82" t="s">
        <v>17</v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</row>
    <row r="47" spans="1:88">
      <c r="A47" s="24"/>
      <c r="B47" s="38"/>
      <c r="C47" s="24"/>
      <c r="D47" s="24"/>
      <c r="E47" s="24"/>
      <c r="L47" s="44"/>
      <c r="M47" s="1"/>
      <c r="N47" s="2"/>
      <c r="O47" s="2"/>
      <c r="P47" s="2"/>
      <c r="Q47" s="1"/>
      <c r="R47" s="1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"/>
      <c r="AD47" s="1"/>
      <c r="AE47" s="1"/>
      <c r="AF47" s="2">
        <f t="shared" si="5"/>
        <v>2</v>
      </c>
      <c r="AG47" s="82">
        <v>6</v>
      </c>
      <c r="AH47" s="82"/>
      <c r="AI47" s="86" t="s">
        <v>176</v>
      </c>
      <c r="AJ47" s="82"/>
      <c r="AK47" s="82" t="s">
        <v>545</v>
      </c>
      <c r="AL47" s="82" t="s">
        <v>343</v>
      </c>
      <c r="AM47" s="82" t="s">
        <v>17</v>
      </c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</row>
    <row r="48" spans="1:88">
      <c r="A48" s="24"/>
      <c r="B48" s="38"/>
      <c r="C48" s="24"/>
      <c r="D48" s="24"/>
      <c r="E48" s="24"/>
      <c r="N48" s="12"/>
      <c r="O48" s="12"/>
      <c r="P48" s="2"/>
      <c r="Q48" s="13" t="s">
        <v>126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"/>
      <c r="AE48" s="1"/>
      <c r="AF48" s="2">
        <f t="shared" si="5"/>
        <v>2</v>
      </c>
      <c r="AG48" s="82">
        <v>7</v>
      </c>
      <c r="AH48" s="82"/>
      <c r="AI48" s="86" t="s">
        <v>351</v>
      </c>
      <c r="AJ48" s="82"/>
      <c r="AK48" s="82" t="s">
        <v>545</v>
      </c>
      <c r="AL48" s="82" t="s">
        <v>343</v>
      </c>
      <c r="AM48" s="82" t="s">
        <v>17</v>
      </c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</row>
    <row r="49" spans="1:71">
      <c r="A49" s="24"/>
      <c r="B49" s="38"/>
      <c r="C49" s="24"/>
      <c r="D49" s="24"/>
      <c r="E49" s="24"/>
      <c r="N49" s="12"/>
      <c r="O49" s="12"/>
      <c r="P49" s="2">
        <f t="shared" ref="P49:P50" si="7">MATCH("\\",R49:AE49,0)-1</f>
        <v>4</v>
      </c>
      <c r="Q49" s="12" t="s">
        <v>9</v>
      </c>
      <c r="R49" s="1" t="s">
        <v>93</v>
      </c>
      <c r="S49" s="1" t="s">
        <v>94</v>
      </c>
      <c r="T49" s="1" t="s">
        <v>133</v>
      </c>
      <c r="U49" s="39" t="s">
        <v>134</v>
      </c>
      <c r="V49" s="1" t="s">
        <v>17</v>
      </c>
      <c r="W49" s="14"/>
      <c r="X49" s="14"/>
      <c r="Y49" s="14"/>
      <c r="Z49" s="14"/>
      <c r="AA49" s="14"/>
      <c r="AB49" s="14"/>
      <c r="AC49" s="14"/>
      <c r="AD49" s="1"/>
      <c r="AE49" s="1"/>
      <c r="AF49" s="2">
        <f t="shared" si="5"/>
        <v>1</v>
      </c>
      <c r="AG49" s="82">
        <v>8</v>
      </c>
      <c r="AH49" s="82"/>
      <c r="AI49" s="86" t="s">
        <v>352</v>
      </c>
      <c r="AJ49" s="82"/>
      <c r="AK49" s="82" t="s">
        <v>545</v>
      </c>
      <c r="AL49" s="82" t="s">
        <v>17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</row>
    <row r="50" spans="1:71">
      <c r="A50" s="24"/>
      <c r="B50" s="38"/>
      <c r="C50" s="24"/>
      <c r="D50" s="24"/>
      <c r="E50" s="24"/>
      <c r="N50" s="12"/>
      <c r="O50" s="12"/>
      <c r="P50" s="2">
        <f t="shared" si="7"/>
        <v>8</v>
      </c>
      <c r="Q50" s="12" t="s">
        <v>10</v>
      </c>
      <c r="R50" s="1" t="s">
        <v>135</v>
      </c>
      <c r="S50" s="1" t="s">
        <v>136</v>
      </c>
      <c r="T50" s="39" t="s">
        <v>14</v>
      </c>
      <c r="U50" s="1" t="s">
        <v>137</v>
      </c>
      <c r="V50" s="1" t="s">
        <v>141</v>
      </c>
      <c r="W50" s="39" t="s">
        <v>157</v>
      </c>
      <c r="X50" s="1" t="s">
        <v>166</v>
      </c>
      <c r="Y50" s="39" t="s">
        <v>544</v>
      </c>
      <c r="Z50" s="1" t="s">
        <v>17</v>
      </c>
      <c r="AA50" s="14"/>
      <c r="AB50" s="14"/>
      <c r="AC50" s="14"/>
      <c r="AD50" s="1"/>
      <c r="AE50" s="1"/>
      <c r="AF50" s="2">
        <f t="shared" si="5"/>
        <v>1</v>
      </c>
      <c r="AG50" s="82">
        <v>9</v>
      </c>
      <c r="AH50" s="82"/>
      <c r="AI50" s="86" t="s">
        <v>345</v>
      </c>
      <c r="AJ50" s="82"/>
      <c r="AK50" s="82" t="s">
        <v>319</v>
      </c>
      <c r="AL50" s="82" t="s">
        <v>17</v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</row>
    <row r="51" spans="1:71">
      <c r="A51" s="24"/>
      <c r="B51" s="38"/>
      <c r="C51" s="24"/>
      <c r="D51" s="24"/>
      <c r="E51" s="24"/>
      <c r="N51" s="12"/>
      <c r="O51" s="12"/>
      <c r="P51" s="2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"/>
      <c r="AE51" s="1"/>
      <c r="AF51" s="2" t="e">
        <f t="shared" si="5"/>
        <v>#N/A</v>
      </c>
      <c r="AG51" s="82">
        <v>10</v>
      </c>
      <c r="AH51" s="82"/>
      <c r="AI51" s="86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</row>
    <row r="52" spans="1:71">
      <c r="A52" s="24"/>
      <c r="B52" s="38"/>
      <c r="C52" s="24"/>
      <c r="D52" s="24"/>
      <c r="E52" s="24"/>
      <c r="N52" s="12"/>
      <c r="O52" s="12"/>
      <c r="P52" s="2"/>
      <c r="Q52" s="13" t="s">
        <v>159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"/>
      <c r="AE52" s="1"/>
      <c r="AF52" s="2">
        <f t="shared" si="5"/>
        <v>11</v>
      </c>
      <c r="AG52" s="82">
        <v>11</v>
      </c>
      <c r="AH52" s="82" t="s">
        <v>18</v>
      </c>
      <c r="AI52" s="86" t="s">
        <v>354</v>
      </c>
      <c r="AJ52" s="82"/>
      <c r="AK52" s="82" t="s">
        <v>257</v>
      </c>
      <c r="AL52" s="82" t="s">
        <v>258</v>
      </c>
      <c r="AM52" s="82" t="s">
        <v>259</v>
      </c>
      <c r="AN52" s="82" t="s">
        <v>260</v>
      </c>
      <c r="AO52" s="82" t="s">
        <v>261</v>
      </c>
      <c r="AP52" s="82" t="s">
        <v>262</v>
      </c>
      <c r="AQ52" s="82" t="s">
        <v>263</v>
      </c>
      <c r="AR52" s="82" t="s">
        <v>264</v>
      </c>
      <c r="AS52" s="82" t="s">
        <v>265</v>
      </c>
      <c r="AT52" s="82" t="s">
        <v>266</v>
      </c>
      <c r="AU52" s="82" t="s">
        <v>267</v>
      </c>
      <c r="AV52" s="82" t="s">
        <v>17</v>
      </c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</row>
    <row r="53" spans="1:71">
      <c r="A53" s="24"/>
      <c r="B53" s="38"/>
      <c r="C53" s="24"/>
      <c r="D53" s="24"/>
      <c r="E53" s="24"/>
      <c r="N53" s="12"/>
      <c r="O53" s="12"/>
      <c r="P53" s="2">
        <f t="shared" ref="P53:P54" si="8">MATCH("\\",R53:AE53,0)-1</f>
        <v>4</v>
      </c>
      <c r="Q53" s="12" t="s">
        <v>9</v>
      </c>
      <c r="R53" s="1" t="s">
        <v>160</v>
      </c>
      <c r="S53" s="39" t="s">
        <v>161</v>
      </c>
      <c r="T53" s="39" t="s">
        <v>469</v>
      </c>
      <c r="U53" s="39" t="s">
        <v>470</v>
      </c>
      <c r="V53" s="1" t="s">
        <v>17</v>
      </c>
      <c r="W53" s="14"/>
      <c r="X53" s="14"/>
      <c r="Y53" s="14"/>
      <c r="Z53" s="14"/>
      <c r="AA53" s="14"/>
      <c r="AB53" s="14"/>
      <c r="AC53" s="14"/>
      <c r="AD53" s="1"/>
      <c r="AE53" s="1"/>
      <c r="AF53" s="2">
        <f t="shared" si="5"/>
        <v>11</v>
      </c>
      <c r="AG53" s="82">
        <v>12</v>
      </c>
      <c r="AH53" s="82"/>
      <c r="AI53" s="86" t="s">
        <v>269</v>
      </c>
      <c r="AJ53" s="82"/>
      <c r="AK53" s="82" t="s">
        <v>257</v>
      </c>
      <c r="AL53" s="82" t="s">
        <v>270</v>
      </c>
      <c r="AM53" s="82" t="s">
        <v>271</v>
      </c>
      <c r="AN53" s="82" t="s">
        <v>272</v>
      </c>
      <c r="AO53" s="82" t="s">
        <v>273</v>
      </c>
      <c r="AP53" s="82" t="s">
        <v>274</v>
      </c>
      <c r="AQ53" s="82" t="s">
        <v>275</v>
      </c>
      <c r="AR53" s="82" t="s">
        <v>276</v>
      </c>
      <c r="AS53" s="82" t="s">
        <v>277</v>
      </c>
      <c r="AT53" s="82" t="s">
        <v>278</v>
      </c>
      <c r="AU53" s="82" t="s">
        <v>279</v>
      </c>
      <c r="AV53" s="82" t="s">
        <v>17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</row>
    <row r="54" spans="1:71">
      <c r="A54" s="24"/>
      <c r="B54" s="38"/>
      <c r="C54" s="24"/>
      <c r="D54" s="24"/>
      <c r="E54" s="24"/>
      <c r="N54" s="12"/>
      <c r="O54" s="12"/>
      <c r="P54" s="2">
        <f t="shared" si="8"/>
        <v>8</v>
      </c>
      <c r="Q54" s="12" t="s">
        <v>10</v>
      </c>
      <c r="R54" s="1" t="s">
        <v>136</v>
      </c>
      <c r="S54" s="39" t="s">
        <v>14</v>
      </c>
      <c r="T54" s="1" t="s">
        <v>137</v>
      </c>
      <c r="U54" s="1" t="s">
        <v>141</v>
      </c>
      <c r="V54" s="1" t="s">
        <v>141</v>
      </c>
      <c r="W54" s="39" t="s">
        <v>157</v>
      </c>
      <c r="X54" s="1" t="s">
        <v>166</v>
      </c>
      <c r="Y54" s="39" t="s">
        <v>544</v>
      </c>
      <c r="Z54" s="1" t="s">
        <v>17</v>
      </c>
      <c r="AA54" s="14"/>
      <c r="AB54" s="14"/>
      <c r="AC54" s="14"/>
      <c r="AD54" s="1"/>
      <c r="AE54" s="1"/>
      <c r="AF54" s="2">
        <f t="shared" si="5"/>
        <v>5</v>
      </c>
      <c r="AG54" s="82">
        <v>13</v>
      </c>
      <c r="AH54" s="82"/>
      <c r="AI54" s="86" t="s">
        <v>288</v>
      </c>
      <c r="AJ54" s="82"/>
      <c r="AK54" s="82" t="s">
        <v>257</v>
      </c>
      <c r="AL54" s="82" t="s">
        <v>258</v>
      </c>
      <c r="AM54" s="82" t="s">
        <v>259</v>
      </c>
      <c r="AN54" s="82" t="s">
        <v>260</v>
      </c>
      <c r="AO54" s="82" t="s">
        <v>261</v>
      </c>
      <c r="AP54" s="82" t="s">
        <v>17</v>
      </c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</row>
    <row r="55" spans="1:71">
      <c r="A55" s="24"/>
      <c r="B55" s="38"/>
      <c r="C55" s="24"/>
      <c r="D55" s="24"/>
      <c r="E55" s="24"/>
      <c r="N55" s="12"/>
      <c r="O55" s="12"/>
      <c r="P55" s="2"/>
      <c r="Q55"/>
      <c r="R55" s="1"/>
      <c r="S55" s="1"/>
      <c r="T55" s="1"/>
      <c r="U55" s="1"/>
      <c r="V55" s="1"/>
      <c r="W55" s="1"/>
      <c r="X55" s="1"/>
      <c r="Y55" s="1"/>
      <c r="Z55" s="14"/>
      <c r="AA55" s="14"/>
      <c r="AB55" s="14"/>
      <c r="AC55" s="1"/>
      <c r="AD55" s="1"/>
      <c r="AE55" s="1"/>
      <c r="AF55" s="2">
        <f t="shared" si="5"/>
        <v>1</v>
      </c>
      <c r="AG55" s="82">
        <v>14</v>
      </c>
      <c r="AH55" s="82"/>
      <c r="AI55" s="86" t="s">
        <v>268</v>
      </c>
      <c r="AJ55" s="82"/>
      <c r="AK55" s="82" t="s">
        <v>257</v>
      </c>
      <c r="AL55" s="82" t="s">
        <v>17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</row>
    <row r="56" spans="1:71">
      <c r="A56" s="24"/>
      <c r="B56" s="38"/>
      <c r="C56" s="24"/>
      <c r="D56" s="24"/>
      <c r="E56" s="24"/>
      <c r="P56" s="2"/>
      <c r="Q56" s="13" t="s">
        <v>177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"/>
      <c r="AE56" s="1"/>
      <c r="AF56" s="2" t="e">
        <f t="shared" si="5"/>
        <v>#N/A</v>
      </c>
      <c r="AG56" s="82">
        <v>15</v>
      </c>
      <c r="AH56" s="82"/>
      <c r="AI56" s="86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</row>
    <row r="57" spans="1:71">
      <c r="A57" s="24"/>
      <c r="B57" s="38"/>
      <c r="C57" s="24"/>
      <c r="D57" s="24"/>
      <c r="E57" s="24"/>
      <c r="P57" s="2">
        <f t="shared" ref="P57:P58" si="9">MATCH("\\",R57:AE57,0)-1</f>
        <v>5</v>
      </c>
      <c r="Q57" s="12" t="s">
        <v>9</v>
      </c>
      <c r="R57" s="39" t="s">
        <v>95</v>
      </c>
      <c r="S57" s="39" t="s">
        <v>91</v>
      </c>
      <c r="T57" s="14" t="s">
        <v>92</v>
      </c>
      <c r="U57" s="14" t="s">
        <v>93</v>
      </c>
      <c r="V57" s="14" t="s">
        <v>471</v>
      </c>
      <c r="W57" s="1" t="s">
        <v>17</v>
      </c>
      <c r="Y57" s="39"/>
      <c r="Z57" s="39"/>
      <c r="AA57" s="39"/>
      <c r="AB57" s="39"/>
      <c r="AC57" s="39"/>
      <c r="AD57" s="1"/>
      <c r="AE57" s="1"/>
      <c r="AF57" s="2">
        <f t="shared" si="5"/>
        <v>13</v>
      </c>
      <c r="AG57" s="82">
        <v>16</v>
      </c>
      <c r="AH57" s="82" t="s">
        <v>19</v>
      </c>
      <c r="AI57" s="86" t="s">
        <v>500</v>
      </c>
      <c r="AJ57" s="82" t="s">
        <v>19</v>
      </c>
      <c r="AK57" s="82" t="s">
        <v>375</v>
      </c>
      <c r="AL57" s="82" t="s">
        <v>376</v>
      </c>
      <c r="AM57" s="82" t="s">
        <v>377</v>
      </c>
      <c r="AN57" s="82" t="s">
        <v>378</v>
      </c>
      <c r="AO57" s="82" t="s">
        <v>379</v>
      </c>
      <c r="AP57" s="82" t="s">
        <v>380</v>
      </c>
      <c r="AQ57" s="82" t="s">
        <v>381</v>
      </c>
      <c r="AR57" s="82" t="s">
        <v>382</v>
      </c>
      <c r="AS57" s="82" t="s">
        <v>355</v>
      </c>
      <c r="AT57" s="82" t="s">
        <v>356</v>
      </c>
      <c r="AU57" s="82" t="s">
        <v>517</v>
      </c>
      <c r="AV57" s="82" t="s">
        <v>519</v>
      </c>
      <c r="AW57" s="96" t="s">
        <v>564</v>
      </c>
      <c r="AX57" s="82" t="s">
        <v>149</v>
      </c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</row>
    <row r="58" spans="1:71">
      <c r="A58" s="24"/>
      <c r="B58" s="38"/>
      <c r="C58" s="24"/>
      <c r="D58" s="24"/>
      <c r="E58" s="24"/>
      <c r="P58" s="2">
        <f t="shared" si="9"/>
        <v>13</v>
      </c>
      <c r="Q58" s="12" t="s">
        <v>10</v>
      </c>
      <c r="R58" s="1" t="s">
        <v>138</v>
      </c>
      <c r="S58" s="1" t="s">
        <v>139</v>
      </c>
      <c r="T58" s="1" t="s">
        <v>140</v>
      </c>
      <c r="U58" s="1" t="s">
        <v>11</v>
      </c>
      <c r="V58" s="1" t="s">
        <v>178</v>
      </c>
      <c r="W58" s="1" t="s">
        <v>12</v>
      </c>
      <c r="X58" s="1" t="s">
        <v>13</v>
      </c>
      <c r="Y58" s="1" t="s">
        <v>14</v>
      </c>
      <c r="Z58" s="1" t="s">
        <v>15</v>
      </c>
      <c r="AA58" s="1" t="s">
        <v>141</v>
      </c>
      <c r="AB58" s="1" t="s">
        <v>142</v>
      </c>
      <c r="AC58" s="1" t="s">
        <v>143</v>
      </c>
      <c r="AD58" s="1" t="s">
        <v>144</v>
      </c>
      <c r="AE58" s="1" t="s">
        <v>17</v>
      </c>
      <c r="AF58" s="2">
        <f t="shared" si="5"/>
        <v>13</v>
      </c>
      <c r="AG58" s="82">
        <v>17</v>
      </c>
      <c r="AH58" s="82"/>
      <c r="AI58" s="86"/>
      <c r="AJ58" s="82" t="s">
        <v>86</v>
      </c>
      <c r="AK58" s="82" t="s">
        <v>384</v>
      </c>
      <c r="AL58" s="82" t="s">
        <v>385</v>
      </c>
      <c r="AM58" s="82" t="s">
        <v>386</v>
      </c>
      <c r="AN58" s="82" t="s">
        <v>387</v>
      </c>
      <c r="AO58" s="82" t="s">
        <v>388</v>
      </c>
      <c r="AP58" s="82" t="s">
        <v>389</v>
      </c>
      <c r="AQ58" s="82" t="s">
        <v>390</v>
      </c>
      <c r="AR58" s="82" t="s">
        <v>391</v>
      </c>
      <c r="AS58" s="82" t="s">
        <v>357</v>
      </c>
      <c r="AT58" s="82" t="s">
        <v>358</v>
      </c>
      <c r="AU58" s="82" t="s">
        <v>518</v>
      </c>
      <c r="AV58" s="82" t="s">
        <v>520</v>
      </c>
      <c r="AW58" s="96" t="s">
        <v>565</v>
      </c>
      <c r="AX58" s="82" t="s">
        <v>149</v>
      </c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</row>
    <row r="59" spans="1:71">
      <c r="A59" s="24"/>
      <c r="B59" s="38"/>
      <c r="C59" s="24"/>
      <c r="D59" s="24"/>
      <c r="E59" s="24"/>
      <c r="P59" s="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"/>
      <c r="AE59" s="1"/>
      <c r="AF59" s="2">
        <f t="shared" si="5"/>
        <v>18</v>
      </c>
      <c r="AG59" s="82">
        <v>18</v>
      </c>
      <c r="AH59" s="82"/>
      <c r="AI59" s="86"/>
      <c r="AJ59" s="82" t="s">
        <v>448</v>
      </c>
      <c r="AK59" s="82" t="s">
        <v>359</v>
      </c>
      <c r="AL59" s="82" t="s">
        <v>360</v>
      </c>
      <c r="AM59" s="82" t="s">
        <v>361</v>
      </c>
      <c r="AN59" s="82" t="s">
        <v>362</v>
      </c>
      <c r="AO59" s="82" t="s">
        <v>393</v>
      </c>
      <c r="AP59" s="82" t="s">
        <v>394</v>
      </c>
      <c r="AQ59" s="82" t="s">
        <v>395</v>
      </c>
      <c r="AR59" s="82" t="s">
        <v>396</v>
      </c>
      <c r="AS59" s="82" t="s">
        <v>363</v>
      </c>
      <c r="AT59" s="82" t="s">
        <v>364</v>
      </c>
      <c r="AU59" s="82" t="s">
        <v>365</v>
      </c>
      <c r="AV59" s="82" t="s">
        <v>366</v>
      </c>
      <c r="AW59" s="82" t="s">
        <v>397</v>
      </c>
      <c r="AX59" s="82" t="s">
        <v>398</v>
      </c>
      <c r="AY59" s="82" t="s">
        <v>367</v>
      </c>
      <c r="AZ59" s="82" t="s">
        <v>368</v>
      </c>
      <c r="BA59" s="82" t="s">
        <v>399</v>
      </c>
      <c r="BB59" s="82" t="s">
        <v>400</v>
      </c>
      <c r="BC59" s="82" t="s">
        <v>149</v>
      </c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</row>
    <row r="60" spans="1:71">
      <c r="P60" s="2"/>
      <c r="Q60" s="13" t="s">
        <v>145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"/>
      <c r="AE60" s="1"/>
      <c r="AF60" s="2">
        <f t="shared" si="5"/>
        <v>8</v>
      </c>
      <c r="AG60" s="82">
        <v>19</v>
      </c>
      <c r="AH60" s="82"/>
      <c r="AI60" s="86"/>
      <c r="AJ60" s="82" t="s">
        <v>120</v>
      </c>
      <c r="AK60" s="82" t="s">
        <v>24</v>
      </c>
      <c r="AL60" s="82" t="s">
        <v>121</v>
      </c>
      <c r="AM60" s="82" t="s">
        <v>123</v>
      </c>
      <c r="AN60" s="82" t="s">
        <v>122</v>
      </c>
      <c r="AO60" s="82" t="s">
        <v>300</v>
      </c>
      <c r="AP60" s="82" t="s">
        <v>301</v>
      </c>
      <c r="AQ60" s="82" t="s">
        <v>298</v>
      </c>
      <c r="AR60" s="82" t="s">
        <v>299</v>
      </c>
      <c r="AS60" s="82" t="s">
        <v>149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</row>
    <row r="61" spans="1:71">
      <c r="P61" s="2">
        <f t="shared" ref="P61:P62" si="10">MATCH("\\",R61:AE61,0)-1</f>
        <v>4</v>
      </c>
      <c r="Q61" s="12" t="s">
        <v>9</v>
      </c>
      <c r="R61" s="14" t="s">
        <v>95</v>
      </c>
      <c r="S61" s="14" t="s">
        <v>91</v>
      </c>
      <c r="T61" s="14" t="s">
        <v>92</v>
      </c>
      <c r="U61" s="14" t="s">
        <v>93</v>
      </c>
      <c r="V61" s="1" t="s">
        <v>17</v>
      </c>
      <c r="W61" s="14"/>
      <c r="X61" s="1"/>
      <c r="Y61" s="14"/>
      <c r="Z61" s="14"/>
      <c r="AA61" s="14"/>
      <c r="AB61" s="14"/>
      <c r="AC61" s="14"/>
      <c r="AD61" s="1"/>
      <c r="AE61" s="1"/>
      <c r="AF61" s="2">
        <f t="shared" si="5"/>
        <v>6</v>
      </c>
      <c r="AG61" s="82">
        <v>20</v>
      </c>
      <c r="AH61" s="82"/>
      <c r="AI61" s="86"/>
      <c r="AJ61" s="82" t="s">
        <v>451</v>
      </c>
      <c r="AK61" s="82" t="s">
        <v>117</v>
      </c>
      <c r="AL61" s="82" t="s">
        <v>307</v>
      </c>
      <c r="AM61" s="82" t="s">
        <v>308</v>
      </c>
      <c r="AN61" s="82" t="s">
        <v>118</v>
      </c>
      <c r="AO61" s="82" t="s">
        <v>119</v>
      </c>
      <c r="AP61" s="82" t="s">
        <v>309</v>
      </c>
      <c r="AQ61" s="82" t="s">
        <v>17</v>
      </c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</row>
    <row r="62" spans="1:71">
      <c r="P62" s="2">
        <f t="shared" si="10"/>
        <v>7</v>
      </c>
      <c r="Q62" s="12" t="s">
        <v>10</v>
      </c>
      <c r="R62" s="39" t="s">
        <v>172</v>
      </c>
      <c r="S62" s="39" t="s">
        <v>173</v>
      </c>
      <c r="T62" s="14" t="s">
        <v>15</v>
      </c>
      <c r="U62" s="39" t="s">
        <v>146</v>
      </c>
      <c r="V62" s="14" t="s">
        <v>157</v>
      </c>
      <c r="W62" s="14" t="s">
        <v>467</v>
      </c>
      <c r="X62" s="14" t="s">
        <v>468</v>
      </c>
      <c r="Y62" s="1" t="s">
        <v>17</v>
      </c>
      <c r="Z62" s="14"/>
      <c r="AA62" s="14"/>
      <c r="AB62" s="14"/>
      <c r="AC62" s="14"/>
      <c r="AD62" s="1"/>
      <c r="AE62" s="1"/>
      <c r="AF62" s="2">
        <f t="shared" si="5"/>
        <v>16</v>
      </c>
      <c r="AG62" s="82">
        <v>21</v>
      </c>
      <c r="AH62" s="82"/>
      <c r="AI62" s="86"/>
      <c r="AJ62" s="82" t="s">
        <v>290</v>
      </c>
      <c r="AK62" s="82" t="s">
        <v>113</v>
      </c>
      <c r="AL62" s="82" t="s">
        <v>114</v>
      </c>
      <c r="AM62" s="82" t="s">
        <v>147</v>
      </c>
      <c r="AN62" s="82" t="s">
        <v>148</v>
      </c>
      <c r="AO62" s="82" t="s">
        <v>292</v>
      </c>
      <c r="AP62" s="82" t="s">
        <v>293</v>
      </c>
      <c r="AQ62" s="82" t="s">
        <v>294</v>
      </c>
      <c r="AR62" s="82" t="s">
        <v>295</v>
      </c>
      <c r="AS62" s="82" t="s">
        <v>296</v>
      </c>
      <c r="AT62" s="82" t="s">
        <v>535</v>
      </c>
      <c r="AU62" s="82" t="s">
        <v>112</v>
      </c>
      <c r="AV62" s="82" t="s">
        <v>196</v>
      </c>
      <c r="AW62" s="82" t="s">
        <v>197</v>
      </c>
      <c r="AX62" s="82" t="s">
        <v>297</v>
      </c>
      <c r="AY62" s="82" t="s">
        <v>109</v>
      </c>
      <c r="AZ62" s="82" t="s">
        <v>110</v>
      </c>
      <c r="BA62" s="82" t="s">
        <v>149</v>
      </c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</row>
    <row r="63" spans="1:71">
      <c r="P63" s="2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"/>
      <c r="AE63" s="1"/>
      <c r="AF63" s="2">
        <f t="shared" si="5"/>
        <v>14</v>
      </c>
      <c r="AG63" s="82">
        <v>22</v>
      </c>
      <c r="AH63" s="82"/>
      <c r="AI63" s="86"/>
      <c r="AJ63" s="82" t="s">
        <v>291</v>
      </c>
      <c r="AK63" s="82" t="s">
        <v>113</v>
      </c>
      <c r="AL63" s="82" t="s">
        <v>114</v>
      </c>
      <c r="AM63" s="82" t="s">
        <v>147</v>
      </c>
      <c r="AN63" s="82" t="s">
        <v>148</v>
      </c>
      <c r="AO63" s="82" t="s">
        <v>292</v>
      </c>
      <c r="AP63" s="82" t="s">
        <v>293</v>
      </c>
      <c r="AQ63" s="82" t="s">
        <v>294</v>
      </c>
      <c r="AR63" s="82" t="s">
        <v>295</v>
      </c>
      <c r="AS63" s="82" t="s">
        <v>296</v>
      </c>
      <c r="AT63" s="82" t="s">
        <v>535</v>
      </c>
      <c r="AU63" s="82" t="s">
        <v>112</v>
      </c>
      <c r="AV63" s="82" t="s">
        <v>196</v>
      </c>
      <c r="AW63" s="82" t="s">
        <v>197</v>
      </c>
      <c r="AX63" s="82" t="s">
        <v>297</v>
      </c>
      <c r="AY63" s="82" t="s">
        <v>149</v>
      </c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</row>
    <row r="64" spans="1:71">
      <c r="P64" s="2"/>
      <c r="Q64" s="13" t="s">
        <v>472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"/>
      <c r="AE64" s="1"/>
      <c r="AF64" s="2">
        <f t="shared" si="5"/>
        <v>15</v>
      </c>
      <c r="AG64" s="82">
        <v>23</v>
      </c>
      <c r="AH64" s="82"/>
      <c r="AI64" s="86"/>
      <c r="AJ64" s="82" t="s">
        <v>102</v>
      </c>
      <c r="AK64" s="82" t="s">
        <v>130</v>
      </c>
      <c r="AL64" s="82" t="s">
        <v>104</v>
      </c>
      <c r="AM64" s="82" t="s">
        <v>242</v>
      </c>
      <c r="AN64" s="82" t="s">
        <v>243</v>
      </c>
      <c r="AO64" s="82" t="s">
        <v>244</v>
      </c>
      <c r="AP64" s="82" t="s">
        <v>103</v>
      </c>
      <c r="AQ64" s="82" t="s">
        <v>245</v>
      </c>
      <c r="AR64" s="82" t="s">
        <v>246</v>
      </c>
      <c r="AS64" s="82" t="s">
        <v>247</v>
      </c>
      <c r="AT64" s="82" t="s">
        <v>248</v>
      </c>
      <c r="AU64" s="82" t="s">
        <v>249</v>
      </c>
      <c r="AV64" s="82" t="s">
        <v>506</v>
      </c>
      <c r="AW64" s="82" t="s">
        <v>507</v>
      </c>
      <c r="AX64" s="82" t="s">
        <v>508</v>
      </c>
      <c r="AY64" s="82" t="s">
        <v>509</v>
      </c>
      <c r="AZ64" s="83" t="s">
        <v>17</v>
      </c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</row>
    <row r="65" spans="16:71">
      <c r="P65" s="2">
        <f t="shared" ref="P65:P66" si="11">MATCH("\\",R65:AE65,0)-1</f>
        <v>5</v>
      </c>
      <c r="Q65" s="12" t="s">
        <v>9</v>
      </c>
      <c r="R65" s="14" t="s">
        <v>95</v>
      </c>
      <c r="S65" s="14" t="s">
        <v>90</v>
      </c>
      <c r="T65" s="14" t="s">
        <v>91</v>
      </c>
      <c r="U65" s="14" t="s">
        <v>92</v>
      </c>
      <c r="V65" s="14" t="s">
        <v>93</v>
      </c>
      <c r="W65" s="1" t="s">
        <v>17</v>
      </c>
      <c r="X65" s="1"/>
      <c r="Y65" s="14"/>
      <c r="Z65" s="14"/>
      <c r="AA65" s="14"/>
      <c r="AB65" s="14"/>
      <c r="AC65" s="14"/>
      <c r="AD65" s="1"/>
      <c r="AE65" s="1"/>
      <c r="AF65" s="2">
        <f t="shared" si="5"/>
        <v>14</v>
      </c>
      <c r="AG65" s="82">
        <v>24</v>
      </c>
      <c r="AH65" s="82"/>
      <c r="AI65" s="86"/>
      <c r="AJ65" s="82" t="s">
        <v>20</v>
      </c>
      <c r="AK65" s="82" t="s">
        <v>238</v>
      </c>
      <c r="AL65" s="82" t="s">
        <v>241</v>
      </c>
      <c r="AM65" s="82" t="s">
        <v>88</v>
      </c>
      <c r="AN65" s="82" t="s">
        <v>87</v>
      </c>
      <c r="AO65" s="82" t="s">
        <v>223</v>
      </c>
      <c r="AP65" s="82" t="s">
        <v>222</v>
      </c>
      <c r="AQ65" s="82" t="s">
        <v>237</v>
      </c>
      <c r="AR65" s="82" t="s">
        <v>236</v>
      </c>
      <c r="AS65" s="82" t="s">
        <v>107</v>
      </c>
      <c r="AT65" s="82" t="s">
        <v>239</v>
      </c>
      <c r="AU65" s="82" t="s">
        <v>108</v>
      </c>
      <c r="AV65" s="82" t="s">
        <v>240</v>
      </c>
      <c r="AW65" s="82" t="s">
        <v>89</v>
      </c>
      <c r="AX65" s="82" t="s">
        <v>25</v>
      </c>
      <c r="AY65" s="83" t="s">
        <v>17</v>
      </c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</row>
    <row r="66" spans="16:71">
      <c r="P66" s="2">
        <f t="shared" si="11"/>
        <v>4</v>
      </c>
      <c r="Q66" s="12" t="s">
        <v>10</v>
      </c>
      <c r="R66" s="39" t="s">
        <v>178</v>
      </c>
      <c r="S66" s="39" t="s">
        <v>12</v>
      </c>
      <c r="T66" s="39" t="s">
        <v>473</v>
      </c>
      <c r="U66" s="14" t="s">
        <v>14</v>
      </c>
      <c r="V66" s="1" t="s">
        <v>17</v>
      </c>
      <c r="W66" s="1"/>
      <c r="X66" s="1"/>
      <c r="Y66" s="14"/>
      <c r="Z66" s="14"/>
      <c r="AA66" s="14"/>
      <c r="AB66" s="14"/>
      <c r="AC66" s="14"/>
      <c r="AD66" s="1"/>
      <c r="AE66" s="1"/>
      <c r="AF66" s="2" t="e">
        <f t="shared" si="5"/>
        <v>#N/A</v>
      </c>
      <c r="AG66" s="82">
        <v>25</v>
      </c>
      <c r="AH66" s="82"/>
      <c r="AI66" s="86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3"/>
      <c r="BL66" s="82"/>
      <c r="BM66" s="82"/>
      <c r="BN66" s="82"/>
      <c r="BO66" s="82"/>
      <c r="BP66" s="82"/>
      <c r="BQ66" s="82"/>
      <c r="BR66" s="82"/>
      <c r="BS66" s="82"/>
    </row>
    <row r="67" spans="16:71">
      <c r="P67" s="2"/>
      <c r="R67" s="14"/>
      <c r="S67" s="14"/>
      <c r="T67" s="14"/>
      <c r="U67" s="1"/>
      <c r="V67" s="1"/>
      <c r="W67" s="1"/>
      <c r="X67" s="14"/>
      <c r="Y67" s="14"/>
      <c r="Z67" s="14"/>
      <c r="AA67" s="14"/>
      <c r="AB67" s="14"/>
      <c r="AC67" s="14"/>
      <c r="AD67" s="1"/>
      <c r="AE67" s="1"/>
      <c r="AF67" s="2">
        <f t="shared" si="5"/>
        <v>3</v>
      </c>
      <c r="AG67" s="82">
        <v>26</v>
      </c>
      <c r="AH67" s="82"/>
      <c r="AI67" s="86" t="s">
        <v>499</v>
      </c>
      <c r="AJ67" s="82" t="s">
        <v>19</v>
      </c>
      <c r="AK67" s="82" t="s">
        <v>484</v>
      </c>
      <c r="AL67" s="82" t="s">
        <v>485</v>
      </c>
      <c r="AM67" s="82" t="s">
        <v>486</v>
      </c>
      <c r="AN67" s="82" t="s">
        <v>149</v>
      </c>
      <c r="AO67" s="82"/>
      <c r="AP67" s="82"/>
      <c r="AQ67" s="82"/>
      <c r="AR67" s="82"/>
      <c r="AS67" s="82"/>
      <c r="AT67" s="82"/>
      <c r="AU67" s="82"/>
      <c r="AV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</row>
    <row r="68" spans="16:71">
      <c r="P68" s="2"/>
      <c r="Q68" s="13" t="s">
        <v>474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"/>
      <c r="AE68" s="1"/>
      <c r="AF68" s="2">
        <f t="shared" si="5"/>
        <v>3</v>
      </c>
      <c r="AG68" s="82">
        <v>27</v>
      </c>
      <c r="AH68" s="82"/>
      <c r="AI68" s="86"/>
      <c r="AJ68" s="82" t="s">
        <v>86</v>
      </c>
      <c r="AK68" s="82" t="s">
        <v>489</v>
      </c>
      <c r="AL68" s="82" t="s">
        <v>490</v>
      </c>
      <c r="AM68" s="82" t="s">
        <v>491</v>
      </c>
      <c r="AN68" s="82" t="s">
        <v>149</v>
      </c>
      <c r="AO68" s="82"/>
      <c r="AP68" s="82"/>
      <c r="AQ68" s="82"/>
      <c r="AR68" s="82"/>
      <c r="AS68" s="82"/>
      <c r="AT68" s="82"/>
      <c r="AU68" s="82"/>
      <c r="AV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</row>
    <row r="69" spans="16:71">
      <c r="P69" s="2">
        <f t="shared" ref="P69:P70" si="12">MATCH("\\",R69:AE69,0)-1</f>
        <v>5</v>
      </c>
      <c r="Q69" s="12" t="s">
        <v>9</v>
      </c>
      <c r="R69" s="14" t="s">
        <v>95</v>
      </c>
      <c r="S69" s="14" t="s">
        <v>90</v>
      </c>
      <c r="T69" s="14" t="s">
        <v>91</v>
      </c>
      <c r="U69" s="14" t="s">
        <v>92</v>
      </c>
      <c r="V69" s="14" t="s">
        <v>93</v>
      </c>
      <c r="W69" s="1" t="s">
        <v>17</v>
      </c>
      <c r="X69" s="1"/>
      <c r="Y69" s="14"/>
      <c r="Z69" s="14"/>
      <c r="AA69" s="14"/>
      <c r="AB69" s="14"/>
      <c r="AC69" s="14"/>
      <c r="AD69" s="1"/>
      <c r="AE69" s="1"/>
      <c r="AF69" s="2">
        <f t="shared" si="5"/>
        <v>7</v>
      </c>
      <c r="AG69" s="82">
        <v>28</v>
      </c>
      <c r="AH69" s="82"/>
      <c r="AI69" s="86"/>
      <c r="AJ69" s="82" t="s">
        <v>448</v>
      </c>
      <c r="AK69" s="82" t="s">
        <v>369</v>
      </c>
      <c r="AL69" s="82" t="s">
        <v>370</v>
      </c>
      <c r="AM69" s="82" t="s">
        <v>495</v>
      </c>
      <c r="AN69" s="82" t="s">
        <v>496</v>
      </c>
      <c r="AO69" s="82" t="s">
        <v>497</v>
      </c>
      <c r="AP69" s="82" t="s">
        <v>498</v>
      </c>
      <c r="AQ69" s="82" t="s">
        <v>373</v>
      </c>
      <c r="AR69" s="82" t="s">
        <v>149</v>
      </c>
      <c r="AS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</row>
    <row r="70" spans="16:71">
      <c r="P70" s="2">
        <f t="shared" si="12"/>
        <v>4</v>
      </c>
      <c r="Q70" s="12" t="s">
        <v>10</v>
      </c>
      <c r="R70" s="39" t="s">
        <v>178</v>
      </c>
      <c r="S70" s="39" t="s">
        <v>12</v>
      </c>
      <c r="T70" s="39" t="s">
        <v>473</v>
      </c>
      <c r="U70" s="14" t="s">
        <v>14</v>
      </c>
      <c r="V70" s="1" t="s">
        <v>17</v>
      </c>
      <c r="W70" s="1"/>
      <c r="X70" s="1"/>
      <c r="Y70" s="14"/>
      <c r="Z70" s="14"/>
      <c r="AA70" s="14"/>
      <c r="AB70" s="14"/>
      <c r="AC70" s="14"/>
      <c r="AD70" s="1"/>
      <c r="AE70" s="1"/>
      <c r="AF70" s="2">
        <f t="shared" si="5"/>
        <v>1</v>
      </c>
      <c r="AG70" s="82">
        <v>29</v>
      </c>
      <c r="AH70" s="82"/>
      <c r="AI70" s="86"/>
      <c r="AJ70" s="82" t="s">
        <v>120</v>
      </c>
      <c r="AL70" s="82" t="s">
        <v>149</v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</row>
    <row r="71" spans="16:71">
      <c r="P71" s="2"/>
      <c r="AF71" s="2">
        <f t="shared" si="5"/>
        <v>1</v>
      </c>
      <c r="AG71" s="82">
        <v>30</v>
      </c>
      <c r="AH71" s="82"/>
      <c r="AI71" s="86"/>
      <c r="AJ71" s="82" t="s">
        <v>451</v>
      </c>
      <c r="AL71" s="82" t="s">
        <v>17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</row>
    <row r="72" spans="16:71">
      <c r="P72" s="2"/>
      <c r="Q72" s="13" t="s">
        <v>100</v>
      </c>
      <c r="AF72" s="2">
        <f t="shared" si="5"/>
        <v>6</v>
      </c>
      <c r="AG72" s="82">
        <v>31</v>
      </c>
      <c r="AH72" s="82"/>
      <c r="AI72" s="86"/>
      <c r="AJ72" s="82" t="s">
        <v>290</v>
      </c>
      <c r="AK72" s="82" t="s">
        <v>113</v>
      </c>
      <c r="AL72" s="82" t="s">
        <v>114</v>
      </c>
      <c r="AM72" s="82" t="s">
        <v>147</v>
      </c>
      <c r="AN72" s="82" t="s">
        <v>148</v>
      </c>
      <c r="AO72" s="82" t="s">
        <v>196</v>
      </c>
      <c r="AP72" s="82" t="s">
        <v>197</v>
      </c>
      <c r="AQ72" s="82" t="s">
        <v>17</v>
      </c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</row>
    <row r="73" spans="16:71">
      <c r="P73" s="2">
        <f t="shared" ref="P73:P74" si="13">MATCH("\\",R73:AE73,0)-1</f>
        <v>4</v>
      </c>
      <c r="Q73" s="12" t="s">
        <v>9</v>
      </c>
      <c r="R73" s="14" t="s">
        <v>95</v>
      </c>
      <c r="S73" s="14" t="s">
        <v>90</v>
      </c>
      <c r="T73" s="14" t="s">
        <v>91</v>
      </c>
      <c r="U73" s="14" t="s">
        <v>92</v>
      </c>
      <c r="V73" s="14" t="s">
        <v>149</v>
      </c>
      <c r="W73" s="14"/>
      <c r="X73" s="1"/>
      <c r="Y73" s="14"/>
      <c r="Z73" s="14"/>
      <c r="AA73" s="14"/>
      <c r="AB73" s="14"/>
      <c r="AC73" s="14"/>
      <c r="AD73" s="1"/>
      <c r="AE73" s="1"/>
      <c r="AF73" s="2">
        <f t="shared" si="5"/>
        <v>6</v>
      </c>
      <c r="AG73" s="82">
        <v>32</v>
      </c>
      <c r="AH73" s="82"/>
      <c r="AI73" s="86"/>
      <c r="AJ73" s="82" t="s">
        <v>291</v>
      </c>
      <c r="AK73" s="82" t="s">
        <v>113</v>
      </c>
      <c r="AL73" s="82" t="s">
        <v>114</v>
      </c>
      <c r="AM73" s="82" t="s">
        <v>147</v>
      </c>
      <c r="AN73" s="82" t="s">
        <v>148</v>
      </c>
      <c r="AO73" s="82" t="s">
        <v>196</v>
      </c>
      <c r="AP73" s="82" t="s">
        <v>197</v>
      </c>
      <c r="AQ73" s="82" t="s">
        <v>17</v>
      </c>
      <c r="AR73" s="82"/>
      <c r="AS73" s="82"/>
      <c r="AT73" s="82"/>
      <c r="AU73" s="83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</row>
    <row r="74" spans="16:71">
      <c r="P74" s="2">
        <f t="shared" si="13"/>
        <v>1</v>
      </c>
      <c r="Q74" s="12" t="s">
        <v>10</v>
      </c>
      <c r="R74" s="14" t="s">
        <v>151</v>
      </c>
      <c r="S74" s="39" t="s">
        <v>149</v>
      </c>
      <c r="T74" s="14"/>
      <c r="U74" s="14"/>
      <c r="V74" s="14"/>
      <c r="W74" s="14"/>
      <c r="X74" s="1"/>
      <c r="Y74" s="14"/>
      <c r="Z74" s="14"/>
      <c r="AA74" s="14"/>
      <c r="AB74" s="14"/>
      <c r="AC74" s="14"/>
      <c r="AD74" s="1"/>
      <c r="AE74" s="1"/>
      <c r="AF74" s="2">
        <f t="shared" si="5"/>
        <v>1</v>
      </c>
      <c r="AG74" s="82">
        <v>33</v>
      </c>
      <c r="AH74" s="82"/>
      <c r="AI74" s="86"/>
      <c r="AJ74" s="82" t="s">
        <v>102</v>
      </c>
      <c r="AK74" s="82" t="s">
        <v>130</v>
      </c>
      <c r="AL74" s="82" t="s">
        <v>17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</row>
    <row r="75" spans="16:71">
      <c r="Q75" s="1"/>
      <c r="R75" s="1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"/>
      <c r="AD75" s="1"/>
      <c r="AE75" s="1"/>
      <c r="AF75" s="2">
        <f t="shared" si="5"/>
        <v>1</v>
      </c>
      <c r="AG75" s="82">
        <v>34</v>
      </c>
      <c r="AH75" s="82"/>
      <c r="AI75" s="86"/>
      <c r="AJ75" s="82" t="s">
        <v>20</v>
      </c>
      <c r="AK75" s="82" t="s">
        <v>194</v>
      </c>
      <c r="AL75" s="82" t="s">
        <v>17</v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</row>
    <row r="76" spans="16:71">
      <c r="P76" s="2"/>
      <c r="Q76" s="13" t="s">
        <v>101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"/>
      <c r="AE76" s="1"/>
      <c r="AF76" s="2" t="e">
        <f t="shared" si="5"/>
        <v>#N/A</v>
      </c>
      <c r="AG76" s="82">
        <v>35</v>
      </c>
      <c r="AH76" s="82"/>
      <c r="AI76" s="86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</row>
    <row r="77" spans="16:71">
      <c r="P77" s="2">
        <f t="shared" ref="P77:P78" si="14">MATCH("\\",R77:AE77,0)-1</f>
        <v>3</v>
      </c>
      <c r="Q77" s="12" t="s">
        <v>9</v>
      </c>
      <c r="R77" s="14" t="s">
        <v>95</v>
      </c>
      <c r="S77" s="14" t="s">
        <v>90</v>
      </c>
      <c r="T77" s="14" t="s">
        <v>91</v>
      </c>
      <c r="U77" s="14" t="s">
        <v>149</v>
      </c>
      <c r="V77" s="14"/>
      <c r="W77" s="14"/>
      <c r="X77" s="1"/>
      <c r="Y77" s="14"/>
      <c r="Z77" s="14"/>
      <c r="AA77" s="14"/>
      <c r="AB77" s="14"/>
      <c r="AC77" s="14"/>
      <c r="AD77" s="1"/>
      <c r="AE77" s="1"/>
      <c r="AF77" s="2">
        <f t="shared" si="5"/>
        <v>13</v>
      </c>
      <c r="AG77" s="82">
        <v>36</v>
      </c>
      <c r="AH77" s="82"/>
      <c r="AI77" s="86" t="s">
        <v>287</v>
      </c>
      <c r="AJ77" s="82" t="s">
        <v>19</v>
      </c>
      <c r="AK77" s="82" t="s">
        <v>375</v>
      </c>
      <c r="AL77" s="82" t="s">
        <v>376</v>
      </c>
      <c r="AM77" s="82" t="s">
        <v>377</v>
      </c>
      <c r="AN77" s="82" t="s">
        <v>378</v>
      </c>
      <c r="AO77" s="82" t="s">
        <v>379</v>
      </c>
      <c r="AP77" s="82" t="s">
        <v>380</v>
      </c>
      <c r="AQ77" s="82" t="s">
        <v>381</v>
      </c>
      <c r="AR77" s="82" t="s">
        <v>382</v>
      </c>
      <c r="AS77" s="82" t="s">
        <v>355</v>
      </c>
      <c r="AT77" s="82" t="s">
        <v>356</v>
      </c>
      <c r="AU77" s="82" t="s">
        <v>517</v>
      </c>
      <c r="AV77" s="82" t="s">
        <v>519</v>
      </c>
      <c r="AW77" s="96" t="s">
        <v>564</v>
      </c>
      <c r="AX77" s="82" t="s">
        <v>149</v>
      </c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</row>
    <row r="78" spans="16:71">
      <c r="P78" s="2">
        <f t="shared" si="14"/>
        <v>4</v>
      </c>
      <c r="Q78" s="12" t="s">
        <v>10</v>
      </c>
      <c r="R78" s="14" t="s">
        <v>151</v>
      </c>
      <c r="S78" s="39" t="s">
        <v>168</v>
      </c>
      <c r="T78" s="14" t="s">
        <v>169</v>
      </c>
      <c r="U78" s="14" t="s">
        <v>152</v>
      </c>
      <c r="V78" s="14" t="s">
        <v>149</v>
      </c>
      <c r="W78" s="14"/>
      <c r="X78" s="1"/>
      <c r="Y78" s="14"/>
      <c r="Z78" s="14"/>
      <c r="AA78" s="14"/>
      <c r="AB78" s="14"/>
      <c r="AC78" s="14"/>
      <c r="AD78" s="1"/>
      <c r="AE78" s="1"/>
      <c r="AF78" s="2">
        <f t="shared" si="5"/>
        <v>13</v>
      </c>
      <c r="AG78" s="82">
        <v>37</v>
      </c>
      <c r="AH78" s="82"/>
      <c r="AI78" s="86"/>
      <c r="AJ78" s="82" t="s">
        <v>86</v>
      </c>
      <c r="AK78" s="82" t="s">
        <v>384</v>
      </c>
      <c r="AL78" s="82" t="s">
        <v>385</v>
      </c>
      <c r="AM78" s="82" t="s">
        <v>386</v>
      </c>
      <c r="AN78" s="82" t="s">
        <v>387</v>
      </c>
      <c r="AO78" s="82" t="s">
        <v>388</v>
      </c>
      <c r="AP78" s="82" t="s">
        <v>389</v>
      </c>
      <c r="AQ78" s="82" t="s">
        <v>390</v>
      </c>
      <c r="AR78" s="82" t="s">
        <v>391</v>
      </c>
      <c r="AS78" s="82" t="s">
        <v>357</v>
      </c>
      <c r="AT78" s="82" t="s">
        <v>358</v>
      </c>
      <c r="AU78" s="82" t="s">
        <v>518</v>
      </c>
      <c r="AV78" s="82" t="s">
        <v>520</v>
      </c>
      <c r="AW78" s="96" t="s">
        <v>565</v>
      </c>
      <c r="AX78" s="82" t="s">
        <v>149</v>
      </c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</row>
    <row r="79" spans="16:71">
      <c r="P79" s="2"/>
      <c r="R79" s="14"/>
      <c r="S79" s="14"/>
      <c r="T79" s="14"/>
      <c r="U79" s="1"/>
      <c r="V79" s="1"/>
      <c r="W79" s="1"/>
      <c r="X79" s="14"/>
      <c r="Y79" s="14"/>
      <c r="Z79" s="14"/>
      <c r="AA79" s="14"/>
      <c r="AB79" s="14"/>
      <c r="AC79" s="14"/>
      <c r="AD79" s="1"/>
      <c r="AE79" s="1"/>
      <c r="AF79" s="2">
        <f t="shared" si="5"/>
        <v>20</v>
      </c>
      <c r="AG79" s="82">
        <v>38</v>
      </c>
      <c r="AH79" s="82"/>
      <c r="AI79" s="86"/>
      <c r="AJ79" s="82" t="s">
        <v>448</v>
      </c>
      <c r="AK79" s="82" t="s">
        <v>359</v>
      </c>
      <c r="AL79" s="82" t="s">
        <v>360</v>
      </c>
      <c r="AM79" s="82" t="s">
        <v>361</v>
      </c>
      <c r="AN79" s="82" t="s">
        <v>362</v>
      </c>
      <c r="AO79" s="82" t="s">
        <v>393</v>
      </c>
      <c r="AP79" s="82" t="s">
        <v>394</v>
      </c>
      <c r="AQ79" s="82" t="s">
        <v>395</v>
      </c>
      <c r="AR79" s="82" t="s">
        <v>396</v>
      </c>
      <c r="AS79" s="82" t="s">
        <v>363</v>
      </c>
      <c r="AT79" s="82" t="s">
        <v>364</v>
      </c>
      <c r="AU79" s="82" t="s">
        <v>365</v>
      </c>
      <c r="AV79" s="82" t="s">
        <v>366</v>
      </c>
      <c r="AW79" s="82" t="s">
        <v>397</v>
      </c>
      <c r="AX79" s="82" t="s">
        <v>398</v>
      </c>
      <c r="AY79" s="82" t="s">
        <v>526</v>
      </c>
      <c r="AZ79" s="82" t="s">
        <v>527</v>
      </c>
      <c r="BA79" s="82" t="s">
        <v>367</v>
      </c>
      <c r="BB79" s="82" t="s">
        <v>368</v>
      </c>
      <c r="BC79" s="82" t="s">
        <v>399</v>
      </c>
      <c r="BD79" s="82" t="s">
        <v>400</v>
      </c>
      <c r="BE79" s="82" t="s">
        <v>149</v>
      </c>
      <c r="BF79" s="82"/>
      <c r="BG79" s="82"/>
      <c r="BH79" s="82"/>
      <c r="BI79" s="82"/>
      <c r="BJ79" s="82"/>
      <c r="BK79" s="83"/>
      <c r="BL79" s="82"/>
      <c r="BM79" s="82"/>
      <c r="BN79" s="82"/>
      <c r="BO79" s="82"/>
      <c r="BP79" s="82"/>
      <c r="BQ79" s="82"/>
      <c r="BR79" s="82"/>
      <c r="BS79" s="82"/>
    </row>
    <row r="80" spans="16:71">
      <c r="P80" s="2"/>
      <c r="Q80" s="13" t="s">
        <v>176</v>
      </c>
      <c r="AF80" s="2">
        <f t="shared" si="5"/>
        <v>8</v>
      </c>
      <c r="AG80" s="82">
        <v>39</v>
      </c>
      <c r="AH80" s="82"/>
      <c r="AI80" s="86"/>
      <c r="AJ80" s="82" t="s">
        <v>120</v>
      </c>
      <c r="AK80" s="82" t="s">
        <v>24</v>
      </c>
      <c r="AL80" s="82" t="s">
        <v>121</v>
      </c>
      <c r="AM80" s="82" t="s">
        <v>123</v>
      </c>
      <c r="AN80" s="82" t="s">
        <v>122</v>
      </c>
      <c r="AO80" s="82" t="s">
        <v>300</v>
      </c>
      <c r="AP80" s="82" t="s">
        <v>301</v>
      </c>
      <c r="AQ80" s="82" t="s">
        <v>298</v>
      </c>
      <c r="AR80" s="82" t="s">
        <v>299</v>
      </c>
      <c r="AS80" s="82" t="s">
        <v>149</v>
      </c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</row>
    <row r="81" spans="14:71">
      <c r="P81" s="2">
        <f t="shared" ref="P81:P82" si="15">MATCH("\\",R81:AE81,0)-1</f>
        <v>4</v>
      </c>
      <c r="Q81" s="12" t="s">
        <v>9</v>
      </c>
      <c r="R81" s="39" t="s">
        <v>95</v>
      </c>
      <c r="S81" s="39" t="s">
        <v>91</v>
      </c>
      <c r="T81" s="1" t="s">
        <v>92</v>
      </c>
      <c r="U81" s="1" t="s">
        <v>93</v>
      </c>
      <c r="V81" s="1" t="s">
        <v>17</v>
      </c>
      <c r="AF81" s="2">
        <f t="shared" si="5"/>
        <v>6</v>
      </c>
      <c r="AG81" s="82">
        <v>40</v>
      </c>
      <c r="AH81" s="82"/>
      <c r="AI81" s="86"/>
      <c r="AJ81" s="82" t="s">
        <v>451</v>
      </c>
      <c r="AK81" s="82" t="s">
        <v>117</v>
      </c>
      <c r="AL81" s="82" t="s">
        <v>307</v>
      </c>
      <c r="AM81" s="82" t="s">
        <v>308</v>
      </c>
      <c r="AN81" s="82" t="s">
        <v>118</v>
      </c>
      <c r="AO81" s="82" t="s">
        <v>119</v>
      </c>
      <c r="AP81" s="82" t="s">
        <v>309</v>
      </c>
      <c r="AQ81" s="82" t="s">
        <v>17</v>
      </c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</row>
    <row r="82" spans="14:71">
      <c r="P82" s="2">
        <f t="shared" si="15"/>
        <v>8</v>
      </c>
      <c r="Q82" s="12" t="s">
        <v>10</v>
      </c>
      <c r="R82" s="39" t="s">
        <v>11</v>
      </c>
      <c r="S82" s="39" t="s">
        <v>178</v>
      </c>
      <c r="T82" s="39" t="s">
        <v>158</v>
      </c>
      <c r="U82" s="39" t="s">
        <v>12</v>
      </c>
      <c r="V82" s="39" t="s">
        <v>538</v>
      </c>
      <c r="W82" s="39" t="s">
        <v>13</v>
      </c>
      <c r="X82" s="39" t="s">
        <v>14</v>
      </c>
      <c r="Y82" s="39" t="s">
        <v>15</v>
      </c>
      <c r="Z82" s="1" t="s">
        <v>17</v>
      </c>
      <c r="AF82" s="2">
        <f t="shared" si="5"/>
        <v>16</v>
      </c>
      <c r="AG82" s="82">
        <v>41</v>
      </c>
      <c r="AH82" s="82"/>
      <c r="AI82" s="86"/>
      <c r="AJ82" s="82" t="s">
        <v>290</v>
      </c>
      <c r="AK82" s="82" t="s">
        <v>113</v>
      </c>
      <c r="AL82" s="82" t="s">
        <v>114</v>
      </c>
      <c r="AM82" s="82" t="s">
        <v>147</v>
      </c>
      <c r="AN82" s="82" t="s">
        <v>148</v>
      </c>
      <c r="AO82" s="82" t="s">
        <v>292</v>
      </c>
      <c r="AP82" s="82" t="s">
        <v>293</v>
      </c>
      <c r="AQ82" s="82" t="s">
        <v>294</v>
      </c>
      <c r="AR82" s="82" t="s">
        <v>295</v>
      </c>
      <c r="AS82" s="96" t="s">
        <v>296</v>
      </c>
      <c r="AT82" s="96" t="s">
        <v>535</v>
      </c>
      <c r="AU82" s="82" t="s">
        <v>112</v>
      </c>
      <c r="AV82" s="82" t="s">
        <v>196</v>
      </c>
      <c r="AW82" s="82" t="s">
        <v>197</v>
      </c>
      <c r="AX82" s="82" t="s">
        <v>297</v>
      </c>
      <c r="AY82" s="82" t="s">
        <v>109</v>
      </c>
      <c r="AZ82" s="82" t="s">
        <v>110</v>
      </c>
      <c r="BA82" s="82" t="s">
        <v>149</v>
      </c>
      <c r="BB82" s="82"/>
      <c r="BC82" s="82"/>
      <c r="BD82" s="82"/>
      <c r="BE82" s="82"/>
      <c r="BF82" s="82"/>
      <c r="BG82" s="82"/>
      <c r="BH82" s="82"/>
      <c r="BI82" s="82"/>
      <c r="BJ82" s="82"/>
      <c r="BK82" s="83"/>
      <c r="BL82" s="82"/>
      <c r="BM82" s="82"/>
      <c r="BN82" s="82"/>
      <c r="BO82" s="82"/>
      <c r="BP82" s="82"/>
      <c r="BQ82" s="82"/>
      <c r="BR82" s="82"/>
      <c r="BS82" s="82"/>
    </row>
    <row r="83" spans="14:71">
      <c r="P83" s="2"/>
      <c r="AF83" s="2">
        <f t="shared" si="5"/>
        <v>14</v>
      </c>
      <c r="AG83" s="82">
        <v>42</v>
      </c>
      <c r="AH83" s="82"/>
      <c r="AI83" s="86"/>
      <c r="AJ83" s="82" t="s">
        <v>291</v>
      </c>
      <c r="AK83" s="82" t="s">
        <v>113</v>
      </c>
      <c r="AL83" s="82" t="s">
        <v>114</v>
      </c>
      <c r="AM83" s="82" t="s">
        <v>147</v>
      </c>
      <c r="AN83" s="82" t="s">
        <v>148</v>
      </c>
      <c r="AO83" s="82" t="s">
        <v>292</v>
      </c>
      <c r="AP83" s="82" t="s">
        <v>293</v>
      </c>
      <c r="AQ83" s="82" t="s">
        <v>294</v>
      </c>
      <c r="AR83" s="82" t="s">
        <v>295</v>
      </c>
      <c r="AS83" s="96" t="s">
        <v>296</v>
      </c>
      <c r="AT83" s="96" t="s">
        <v>535</v>
      </c>
      <c r="AU83" s="82" t="s">
        <v>112</v>
      </c>
      <c r="AV83" s="82" t="s">
        <v>196</v>
      </c>
      <c r="AW83" s="82" t="s">
        <v>197</v>
      </c>
      <c r="AX83" s="82" t="s">
        <v>297</v>
      </c>
      <c r="AY83" s="82" t="s">
        <v>149</v>
      </c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</row>
    <row r="84" spans="14:71">
      <c r="P84" s="2"/>
      <c r="Q84" s="13" t="s">
        <v>521</v>
      </c>
      <c r="AF84" s="2">
        <f t="shared" si="5"/>
        <v>15</v>
      </c>
      <c r="AG84" s="82">
        <v>43</v>
      </c>
      <c r="AH84" s="82"/>
      <c r="AI84" s="86"/>
      <c r="AJ84" s="82" t="s">
        <v>102</v>
      </c>
      <c r="AK84" s="82" t="s">
        <v>130</v>
      </c>
      <c r="AL84" s="82" t="s">
        <v>104</v>
      </c>
      <c r="AM84" s="82" t="s">
        <v>242</v>
      </c>
      <c r="AN84" s="82" t="s">
        <v>243</v>
      </c>
      <c r="AO84" s="82" t="s">
        <v>244</v>
      </c>
      <c r="AP84" s="82" t="s">
        <v>103</v>
      </c>
      <c r="AQ84" s="82" t="s">
        <v>245</v>
      </c>
      <c r="AR84" s="82" t="s">
        <v>246</v>
      </c>
      <c r="AS84" s="82" t="s">
        <v>247</v>
      </c>
      <c r="AT84" s="82" t="s">
        <v>248</v>
      </c>
      <c r="AU84" s="82" t="s">
        <v>249</v>
      </c>
      <c r="AV84" s="82" t="s">
        <v>506</v>
      </c>
      <c r="AW84" s="82" t="s">
        <v>507</v>
      </c>
      <c r="AX84" s="82" t="s">
        <v>508</v>
      </c>
      <c r="AY84" s="82" t="s">
        <v>509</v>
      </c>
      <c r="AZ84" s="83" t="s">
        <v>17</v>
      </c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</row>
    <row r="85" spans="14:71">
      <c r="P85" s="2">
        <f t="shared" ref="P85:P86" si="16">MATCH("\\",R85:AE85,0)-1</f>
        <v>2</v>
      </c>
      <c r="Q85" s="12" t="s">
        <v>9</v>
      </c>
      <c r="R85" s="39" t="s">
        <v>504</v>
      </c>
      <c r="S85" s="1" t="s">
        <v>505</v>
      </c>
      <c r="T85" s="1" t="s">
        <v>17</v>
      </c>
      <c r="U85" s="39"/>
      <c r="W85" s="39"/>
      <c r="X85" s="39"/>
      <c r="AF85" s="2">
        <f t="shared" si="5"/>
        <v>16</v>
      </c>
      <c r="AG85" s="82">
        <v>44</v>
      </c>
      <c r="AH85" s="82"/>
      <c r="AI85" s="86"/>
      <c r="AJ85" s="82" t="s">
        <v>20</v>
      </c>
      <c r="AK85" s="82" t="s">
        <v>238</v>
      </c>
      <c r="AL85" s="82" t="s">
        <v>241</v>
      </c>
      <c r="AM85" s="82" t="s">
        <v>88</v>
      </c>
      <c r="AN85" s="82" t="s">
        <v>87</v>
      </c>
      <c r="AO85" s="82" t="s">
        <v>223</v>
      </c>
      <c r="AP85" s="82" t="s">
        <v>222</v>
      </c>
      <c r="AQ85" s="82" t="s">
        <v>237</v>
      </c>
      <c r="AR85" s="82" t="s">
        <v>236</v>
      </c>
      <c r="AS85" s="82" t="s">
        <v>107</v>
      </c>
      <c r="AT85" s="82" t="s">
        <v>239</v>
      </c>
      <c r="AU85" s="82" t="s">
        <v>108</v>
      </c>
      <c r="AV85" s="82" t="s">
        <v>240</v>
      </c>
      <c r="AW85" s="82" t="s">
        <v>89</v>
      </c>
      <c r="AX85" s="82" t="s">
        <v>25</v>
      </c>
      <c r="AY85" s="82" t="s">
        <v>528</v>
      </c>
      <c r="AZ85" s="82" t="s">
        <v>547</v>
      </c>
      <c r="BA85" s="82" t="s">
        <v>17</v>
      </c>
      <c r="BN85" s="82"/>
      <c r="BO85" s="82"/>
      <c r="BP85" s="82"/>
      <c r="BQ85" s="82"/>
      <c r="BR85" s="82"/>
      <c r="BS85" s="82"/>
    </row>
    <row r="86" spans="14:71">
      <c r="P86" s="2">
        <f t="shared" si="16"/>
        <v>2</v>
      </c>
      <c r="Q86" s="12" t="s">
        <v>10</v>
      </c>
      <c r="R86" s="39" t="s">
        <v>142</v>
      </c>
      <c r="S86" s="39" t="s">
        <v>166</v>
      </c>
      <c r="T86" s="1" t="s">
        <v>17</v>
      </c>
      <c r="V86" s="39"/>
      <c r="W86" s="1"/>
      <c r="AF86" s="2" t="e">
        <f t="shared" si="5"/>
        <v>#N/A</v>
      </c>
      <c r="AG86" s="82">
        <v>45</v>
      </c>
      <c r="AH86" s="82"/>
      <c r="AI86" s="86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3"/>
      <c r="BL86" s="82"/>
      <c r="BM86" s="82"/>
      <c r="BN86" s="82"/>
      <c r="BO86" s="82"/>
      <c r="BP86" s="82"/>
      <c r="BQ86" s="82"/>
      <c r="BR86" s="82"/>
      <c r="BS86" s="82"/>
    </row>
    <row r="87" spans="14:71">
      <c r="P87" s="2"/>
      <c r="AF87" s="2">
        <f t="shared" si="5"/>
        <v>5</v>
      </c>
      <c r="AG87" s="82">
        <v>46</v>
      </c>
      <c r="AH87" s="82"/>
      <c r="AI87" s="86" t="s">
        <v>282</v>
      </c>
      <c r="AJ87" s="82" t="s">
        <v>19</v>
      </c>
      <c r="AK87" s="82" t="s">
        <v>484</v>
      </c>
      <c r="AL87" s="82" t="s">
        <v>485</v>
      </c>
      <c r="AM87" s="82" t="s">
        <v>486</v>
      </c>
      <c r="AN87" s="82" t="s">
        <v>487</v>
      </c>
      <c r="AO87" s="82" t="s">
        <v>488</v>
      </c>
      <c r="AP87" s="82" t="s">
        <v>149</v>
      </c>
      <c r="AQ87" s="82"/>
      <c r="AR87" s="82"/>
      <c r="AS87" s="82"/>
      <c r="AT87" s="82"/>
      <c r="AU87" s="82"/>
      <c r="AV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</row>
    <row r="88" spans="14:71">
      <c r="P88" s="2"/>
      <c r="Q88" s="13" t="s">
        <v>536</v>
      </c>
      <c r="AF88" s="2">
        <f t="shared" si="5"/>
        <v>5</v>
      </c>
      <c r="AG88" s="82">
        <v>47</v>
      </c>
      <c r="AH88" s="82"/>
      <c r="AI88" s="86"/>
      <c r="AJ88" s="82" t="s">
        <v>86</v>
      </c>
      <c r="AK88" s="82" t="s">
        <v>489</v>
      </c>
      <c r="AL88" s="82" t="s">
        <v>490</v>
      </c>
      <c r="AM88" s="82" t="s">
        <v>491</v>
      </c>
      <c r="AN88" s="82" t="s">
        <v>492</v>
      </c>
      <c r="AO88" s="82" t="s">
        <v>493</v>
      </c>
      <c r="AP88" s="82" t="s">
        <v>149</v>
      </c>
      <c r="AQ88" s="82"/>
      <c r="AR88" s="82"/>
      <c r="AS88" s="82"/>
      <c r="AT88" s="82"/>
      <c r="AU88" s="82"/>
      <c r="AV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</row>
    <row r="89" spans="14:71">
      <c r="P89" s="2">
        <f t="shared" ref="P89:P90" si="17">MATCH("\\",R89:AE89,0)-1</f>
        <v>2</v>
      </c>
      <c r="Q89" s="12" t="s">
        <v>9</v>
      </c>
      <c r="R89" s="39" t="s">
        <v>504</v>
      </c>
      <c r="S89" s="1" t="s">
        <v>505</v>
      </c>
      <c r="T89" s="1" t="s">
        <v>17</v>
      </c>
      <c r="U89" s="39"/>
      <c r="W89" s="39"/>
      <c r="X89" s="39"/>
      <c r="AF89" s="2">
        <f t="shared" si="5"/>
        <v>10</v>
      </c>
      <c r="AG89" s="82">
        <v>48</v>
      </c>
      <c r="AH89" s="82"/>
      <c r="AI89" s="86"/>
      <c r="AJ89" s="82" t="s">
        <v>448</v>
      </c>
      <c r="AK89" s="82" t="s">
        <v>369</v>
      </c>
      <c r="AL89" s="82" t="s">
        <v>370</v>
      </c>
      <c r="AM89" s="82" t="s">
        <v>495</v>
      </c>
      <c r="AN89" s="82" t="s">
        <v>496</v>
      </c>
      <c r="AO89" s="82" t="s">
        <v>371</v>
      </c>
      <c r="AP89" s="82" t="s">
        <v>372</v>
      </c>
      <c r="AQ89" s="82" t="s">
        <v>497</v>
      </c>
      <c r="AR89" s="82" t="s">
        <v>498</v>
      </c>
      <c r="AS89" s="82" t="s">
        <v>373</v>
      </c>
      <c r="AT89" s="82" t="s">
        <v>374</v>
      </c>
      <c r="AU89" s="82" t="s">
        <v>149</v>
      </c>
      <c r="AY89" s="82"/>
      <c r="AZ89" s="82"/>
      <c r="BC89" s="82"/>
      <c r="BE89" s="82"/>
      <c r="BF89" s="82"/>
      <c r="BG89" s="82"/>
      <c r="BH89" s="82"/>
      <c r="BI89" s="82"/>
      <c r="BJ89" s="82"/>
      <c r="BK89" s="83"/>
      <c r="BL89" s="82"/>
      <c r="BM89" s="82"/>
      <c r="BN89" s="82"/>
      <c r="BO89" s="82"/>
      <c r="BP89" s="82"/>
      <c r="BQ89" s="82"/>
      <c r="BR89" s="82"/>
      <c r="BS89" s="82"/>
    </row>
    <row r="90" spans="14:71">
      <c r="P90" s="2">
        <f t="shared" si="17"/>
        <v>2</v>
      </c>
      <c r="Q90" s="12" t="s">
        <v>10</v>
      </c>
      <c r="R90" s="39" t="s">
        <v>142</v>
      </c>
      <c r="S90" s="39" t="s">
        <v>166</v>
      </c>
      <c r="T90" s="1" t="s">
        <v>17</v>
      </c>
      <c r="U90" s="1"/>
      <c r="V90" s="39"/>
      <c r="W90" s="1"/>
      <c r="AC90" s="12"/>
      <c r="AF90" s="2">
        <f t="shared" si="5"/>
        <v>1</v>
      </c>
      <c r="AG90" s="82">
        <v>49</v>
      </c>
      <c r="AH90" s="82"/>
      <c r="AI90" s="86"/>
      <c r="AJ90" s="82" t="s">
        <v>120</v>
      </c>
      <c r="AL90" s="82" t="s">
        <v>149</v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</row>
    <row r="91" spans="14:71">
      <c r="P91" s="2"/>
      <c r="AF91" s="2">
        <f t="shared" si="5"/>
        <v>1</v>
      </c>
      <c r="AG91" s="82">
        <v>50</v>
      </c>
      <c r="AH91" s="82"/>
      <c r="AI91" s="86"/>
      <c r="AJ91" s="82" t="s">
        <v>451</v>
      </c>
      <c r="AL91" s="82" t="s">
        <v>17</v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</row>
    <row r="92" spans="14:71">
      <c r="N92" s="12"/>
      <c r="O92" s="12"/>
      <c r="P92" s="2"/>
      <c r="Q92" s="13" t="s">
        <v>179</v>
      </c>
      <c r="AF92" s="2">
        <f t="shared" si="5"/>
        <v>16</v>
      </c>
      <c r="AG92" s="82">
        <v>51</v>
      </c>
      <c r="AH92" s="82"/>
      <c r="AI92" s="86"/>
      <c r="AJ92" s="82" t="s">
        <v>290</v>
      </c>
      <c r="AK92" s="82" t="s">
        <v>113</v>
      </c>
      <c r="AL92" s="82" t="s">
        <v>114</v>
      </c>
      <c r="AM92" s="82" t="s">
        <v>147</v>
      </c>
      <c r="AN92" s="82" t="s">
        <v>148</v>
      </c>
      <c r="AO92" s="82" t="s">
        <v>292</v>
      </c>
      <c r="AP92" s="82" t="s">
        <v>293</v>
      </c>
      <c r="AQ92" s="82" t="s">
        <v>294</v>
      </c>
      <c r="AR92" s="82" t="s">
        <v>295</v>
      </c>
      <c r="AS92" s="82" t="s">
        <v>296</v>
      </c>
      <c r="AT92" s="82" t="s">
        <v>535</v>
      </c>
      <c r="AU92" s="82" t="s">
        <v>112</v>
      </c>
      <c r="AV92" s="82" t="s">
        <v>196</v>
      </c>
      <c r="AW92" s="82" t="s">
        <v>197</v>
      </c>
      <c r="AX92" s="82" t="s">
        <v>297</v>
      </c>
      <c r="AY92" s="82" t="s">
        <v>109</v>
      </c>
      <c r="AZ92" s="82" t="s">
        <v>110</v>
      </c>
      <c r="BA92" s="82" t="s">
        <v>149</v>
      </c>
      <c r="BB92" s="82"/>
      <c r="BC92" s="82"/>
      <c r="BD92" s="82"/>
      <c r="BE92" s="82"/>
      <c r="BF92" s="82"/>
      <c r="BG92" s="82"/>
      <c r="BH92" s="82"/>
      <c r="BI92" s="82"/>
      <c r="BJ92" s="82"/>
      <c r="BK92" s="83"/>
      <c r="BL92" s="82"/>
      <c r="BM92" s="82"/>
      <c r="BN92" s="82"/>
      <c r="BO92" s="82"/>
      <c r="BP92" s="82"/>
      <c r="BQ92" s="82"/>
      <c r="BR92" s="82"/>
      <c r="BS92" s="82"/>
    </row>
    <row r="93" spans="14:71">
      <c r="N93" s="12"/>
      <c r="O93" s="12"/>
      <c r="P93" s="2">
        <f t="shared" ref="P93:P94" si="18">MATCH("\\",R93:AE93,0)-1</f>
        <v>2</v>
      </c>
      <c r="Q93" s="12" t="s">
        <v>9</v>
      </c>
      <c r="R93" s="39" t="s">
        <v>188</v>
      </c>
      <c r="S93" s="1" t="s">
        <v>189</v>
      </c>
      <c r="T93" s="1" t="s">
        <v>17</v>
      </c>
      <c r="U93" s="39"/>
      <c r="V93" s="1"/>
      <c r="W93" s="39"/>
      <c r="X93" s="39"/>
      <c r="AF93" s="2">
        <f t="shared" si="5"/>
        <v>14</v>
      </c>
      <c r="AG93" s="82">
        <v>52</v>
      </c>
      <c r="AH93" s="82"/>
      <c r="AI93" s="86"/>
      <c r="AJ93" s="82" t="s">
        <v>291</v>
      </c>
      <c r="AK93" s="82" t="s">
        <v>113</v>
      </c>
      <c r="AL93" s="82" t="s">
        <v>114</v>
      </c>
      <c r="AM93" s="82" t="s">
        <v>147</v>
      </c>
      <c r="AN93" s="82" t="s">
        <v>148</v>
      </c>
      <c r="AO93" s="82" t="s">
        <v>292</v>
      </c>
      <c r="AP93" s="82" t="s">
        <v>293</v>
      </c>
      <c r="AQ93" s="82" t="s">
        <v>294</v>
      </c>
      <c r="AR93" s="82" t="s">
        <v>295</v>
      </c>
      <c r="AS93" s="82" t="s">
        <v>296</v>
      </c>
      <c r="AT93" s="82" t="s">
        <v>535</v>
      </c>
      <c r="AU93" s="82" t="s">
        <v>112</v>
      </c>
      <c r="AV93" s="82" t="s">
        <v>196</v>
      </c>
      <c r="AW93" s="82" t="s">
        <v>197</v>
      </c>
      <c r="AX93" s="82" t="s">
        <v>297</v>
      </c>
      <c r="AY93" s="82" t="s">
        <v>149</v>
      </c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3"/>
      <c r="BL93" s="82"/>
      <c r="BM93" s="82"/>
      <c r="BN93" s="82"/>
      <c r="BO93" s="82"/>
      <c r="BP93" s="82"/>
      <c r="BQ93" s="82"/>
      <c r="BR93" s="82"/>
      <c r="BS93" s="82"/>
    </row>
    <row r="94" spans="14:71">
      <c r="N94" s="12"/>
      <c r="O94" s="12"/>
      <c r="P94" s="2">
        <f t="shared" si="18"/>
        <v>3</v>
      </c>
      <c r="Q94" s="12" t="s">
        <v>10</v>
      </c>
      <c r="R94" s="39" t="s">
        <v>190</v>
      </c>
      <c r="S94" s="39" t="s">
        <v>191</v>
      </c>
      <c r="T94" s="39" t="s">
        <v>192</v>
      </c>
      <c r="U94" s="1" t="s">
        <v>17</v>
      </c>
      <c r="V94" s="39"/>
      <c r="W94" s="39"/>
      <c r="X94" s="1"/>
      <c r="AF94" s="2">
        <f t="shared" si="5"/>
        <v>1</v>
      </c>
      <c r="AG94" s="82">
        <v>53</v>
      </c>
      <c r="AH94" s="82"/>
      <c r="AI94" s="86"/>
      <c r="AJ94" s="82" t="s">
        <v>102</v>
      </c>
      <c r="AK94" s="82" t="s">
        <v>130</v>
      </c>
      <c r="AL94" s="83" t="s">
        <v>17</v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</row>
    <row r="95" spans="14:71">
      <c r="P95" s="2"/>
      <c r="R95" s="1"/>
      <c r="S95" s="1"/>
      <c r="T95" s="1"/>
      <c r="U95" s="1"/>
      <c r="V95" s="1"/>
      <c r="W95" s="14"/>
      <c r="X95" s="14"/>
      <c r="Y95" s="14"/>
      <c r="Z95" s="14"/>
      <c r="AA95" s="14"/>
      <c r="AB95" s="14"/>
      <c r="AC95" s="14"/>
      <c r="AD95" s="1"/>
      <c r="AE95" s="1"/>
      <c r="AF95" s="2">
        <f t="shared" si="5"/>
        <v>1</v>
      </c>
      <c r="AG95" s="82">
        <v>54</v>
      </c>
      <c r="AH95" s="82"/>
      <c r="AI95" s="86"/>
      <c r="AJ95" s="82" t="s">
        <v>20</v>
      </c>
      <c r="AK95" s="82" t="s">
        <v>194</v>
      </c>
      <c r="AL95" s="82" t="s">
        <v>17</v>
      </c>
      <c r="AM95" s="82" t="s">
        <v>107</v>
      </c>
      <c r="AN95" s="82" t="s">
        <v>239</v>
      </c>
      <c r="AO95" s="82" t="s">
        <v>237</v>
      </c>
      <c r="AP95" s="82" t="s">
        <v>89</v>
      </c>
      <c r="AQ95" s="82" t="s">
        <v>25</v>
      </c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</row>
    <row r="96" spans="14:71">
      <c r="P96" s="2"/>
      <c r="Q96" s="13" t="s">
        <v>226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"/>
      <c r="AE96" s="1"/>
      <c r="AF96" s="2" t="e">
        <f t="shared" si="5"/>
        <v>#N/A</v>
      </c>
      <c r="AG96" s="82">
        <v>55</v>
      </c>
      <c r="AH96" s="82"/>
      <c r="AI96" s="86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</row>
    <row r="97" spans="14:71">
      <c r="P97" s="2">
        <f t="shared" ref="P97:P98" si="19">MATCH("\\",R97:AE97,0)-1</f>
        <v>3</v>
      </c>
      <c r="Q97" s="12" t="s">
        <v>9</v>
      </c>
      <c r="R97" s="14" t="s">
        <v>95</v>
      </c>
      <c r="S97" s="14" t="s">
        <v>90</v>
      </c>
      <c r="T97" s="14" t="s">
        <v>91</v>
      </c>
      <c r="U97" s="1" t="s">
        <v>17</v>
      </c>
      <c r="V97" s="14"/>
      <c r="W97" s="1"/>
      <c r="Y97" s="14"/>
      <c r="Z97" s="14"/>
      <c r="AA97" s="14"/>
      <c r="AB97" s="14"/>
      <c r="AC97" s="14"/>
      <c r="AD97" s="1"/>
      <c r="AE97" s="1"/>
      <c r="AF97" s="2">
        <f t="shared" si="5"/>
        <v>4</v>
      </c>
      <c r="AG97" s="82">
        <v>56</v>
      </c>
      <c r="AH97" s="82"/>
      <c r="AI97" s="86" t="s">
        <v>176</v>
      </c>
      <c r="AJ97" s="82" t="s">
        <v>19</v>
      </c>
      <c r="AK97" s="82" t="s">
        <v>375</v>
      </c>
      <c r="AL97" s="82" t="s">
        <v>376</v>
      </c>
      <c r="AM97" s="82" t="s">
        <v>377</v>
      </c>
      <c r="AN97" s="82" t="s">
        <v>380</v>
      </c>
      <c r="AO97" s="82" t="s">
        <v>149</v>
      </c>
      <c r="AP97" s="82"/>
      <c r="AQ97" s="82"/>
      <c r="AR97" s="82"/>
      <c r="AS97" s="82"/>
      <c r="AT97" s="82"/>
      <c r="AU97" s="82"/>
      <c r="AV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</row>
    <row r="98" spans="14:71">
      <c r="P98" s="2">
        <f t="shared" si="19"/>
        <v>9</v>
      </c>
      <c r="Q98" s="12" t="s">
        <v>10</v>
      </c>
      <c r="R98" s="14" t="s">
        <v>128</v>
      </c>
      <c r="S98" s="39" t="s">
        <v>150</v>
      </c>
      <c r="T98" s="14" t="s">
        <v>151</v>
      </c>
      <c r="U98" s="39" t="s">
        <v>233</v>
      </c>
      <c r="V98" s="39" t="s">
        <v>156</v>
      </c>
      <c r="W98" s="14" t="s">
        <v>152</v>
      </c>
      <c r="X98" s="14" t="s">
        <v>153</v>
      </c>
      <c r="Y98" s="1" t="s">
        <v>154</v>
      </c>
      <c r="Z98" s="14" t="s">
        <v>155</v>
      </c>
      <c r="AA98" s="14" t="s">
        <v>149</v>
      </c>
      <c r="AB98" s="14"/>
      <c r="AC98" s="14"/>
      <c r="AD98" s="1"/>
      <c r="AE98" s="1"/>
      <c r="AF98" s="2">
        <f t="shared" si="5"/>
        <v>4</v>
      </c>
      <c r="AG98" s="82">
        <v>57</v>
      </c>
      <c r="AH98" s="82"/>
      <c r="AI98" s="86"/>
      <c r="AJ98" s="82" t="s">
        <v>86</v>
      </c>
      <c r="AK98" s="82" t="s">
        <v>384</v>
      </c>
      <c r="AL98" s="82" t="s">
        <v>385</v>
      </c>
      <c r="AM98" s="82" t="s">
        <v>386</v>
      </c>
      <c r="AN98" s="82" t="s">
        <v>389</v>
      </c>
      <c r="AO98" s="82" t="s">
        <v>149</v>
      </c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</row>
    <row r="99" spans="14:71">
      <c r="P99" s="2"/>
      <c r="Q99" s="1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"/>
      <c r="AC99" s="1"/>
      <c r="AD99" s="1"/>
      <c r="AE99" s="1"/>
      <c r="AF99" s="2">
        <f t="shared" si="5"/>
        <v>11</v>
      </c>
      <c r="AG99" s="82">
        <v>58</v>
      </c>
      <c r="AH99" s="82"/>
      <c r="AI99" s="86"/>
      <c r="AJ99" s="82" t="s">
        <v>448</v>
      </c>
      <c r="AK99" s="82" t="s">
        <v>359</v>
      </c>
      <c r="AL99" s="82" t="s">
        <v>360</v>
      </c>
      <c r="AM99" s="82" t="s">
        <v>361</v>
      </c>
      <c r="AN99" s="82" t="s">
        <v>362</v>
      </c>
      <c r="AO99" s="82" t="s">
        <v>393</v>
      </c>
      <c r="AP99" s="82" t="s">
        <v>394</v>
      </c>
      <c r="AQ99" s="82" t="s">
        <v>395</v>
      </c>
      <c r="AR99" s="82" t="s">
        <v>396</v>
      </c>
      <c r="AS99" s="82" t="s">
        <v>397</v>
      </c>
      <c r="AT99" s="82" t="s">
        <v>398</v>
      </c>
      <c r="AU99" s="82" t="s">
        <v>401</v>
      </c>
      <c r="AV99" s="82" t="s">
        <v>149</v>
      </c>
      <c r="AW99" s="82"/>
      <c r="AX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</row>
    <row r="100" spans="14:71">
      <c r="N100" s="12"/>
      <c r="O100" s="12"/>
      <c r="P100" s="2"/>
      <c r="Q100" s="13" t="s">
        <v>227</v>
      </c>
      <c r="R100" s="14"/>
      <c r="S100" s="1"/>
      <c r="T100" s="1"/>
      <c r="U100" s="1"/>
      <c r="V100" s="1"/>
      <c r="W100" s="14"/>
      <c r="X100" s="14"/>
      <c r="Y100" s="14"/>
      <c r="Z100" s="14"/>
      <c r="AA100" s="14"/>
      <c r="AB100" s="14"/>
      <c r="AC100" s="14"/>
      <c r="AD100" s="1"/>
      <c r="AE100" s="1"/>
      <c r="AF100" s="2">
        <f t="shared" si="5"/>
        <v>1</v>
      </c>
      <c r="AG100" s="82">
        <v>59</v>
      </c>
      <c r="AH100" s="82"/>
      <c r="AI100" s="86"/>
      <c r="AJ100" s="82" t="s">
        <v>120</v>
      </c>
      <c r="AL100" s="82" t="s">
        <v>149</v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</row>
    <row r="101" spans="14:71">
      <c r="N101" s="12"/>
      <c r="O101" s="12"/>
      <c r="P101" s="2">
        <f t="shared" ref="P101:P102" si="20">MATCH("\\",R101:AE101,0)-1</f>
        <v>2</v>
      </c>
      <c r="Q101" s="12" t="s">
        <v>9</v>
      </c>
      <c r="R101" s="39" t="s">
        <v>234</v>
      </c>
      <c r="S101" s="39" t="s">
        <v>235</v>
      </c>
      <c r="T101" s="1" t="s">
        <v>17</v>
      </c>
      <c r="U101" s="1"/>
      <c r="V101" s="14"/>
      <c r="W101" s="14"/>
      <c r="Y101" s="14"/>
      <c r="Z101" s="14"/>
      <c r="AA101" s="14"/>
      <c r="AB101" s="14"/>
      <c r="AC101" s="14"/>
      <c r="AD101" s="1"/>
      <c r="AE101" s="1"/>
      <c r="AF101" s="2">
        <f t="shared" si="5"/>
        <v>1</v>
      </c>
      <c r="AG101" s="82">
        <v>60</v>
      </c>
      <c r="AH101" s="82"/>
      <c r="AI101" s="86"/>
      <c r="AJ101" s="82" t="s">
        <v>451</v>
      </c>
      <c r="AL101" s="82" t="s">
        <v>17</v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</row>
    <row r="102" spans="14:71">
      <c r="N102" s="12"/>
      <c r="O102" s="12"/>
      <c r="P102" s="2">
        <f t="shared" si="20"/>
        <v>5</v>
      </c>
      <c r="Q102" s="12" t="s">
        <v>10</v>
      </c>
      <c r="R102" s="39" t="s">
        <v>150</v>
      </c>
      <c r="S102" s="14" t="s">
        <v>151</v>
      </c>
      <c r="T102" s="39" t="s">
        <v>233</v>
      </c>
      <c r="U102" s="39" t="s">
        <v>156</v>
      </c>
      <c r="V102" s="14" t="s">
        <v>152</v>
      </c>
      <c r="W102" s="1" t="s">
        <v>17</v>
      </c>
      <c r="X102" s="14"/>
      <c r="Y102" s="1"/>
      <c r="Z102" s="14"/>
      <c r="AA102" s="14"/>
      <c r="AB102" s="14"/>
      <c r="AC102" s="14"/>
      <c r="AD102" s="1"/>
      <c r="AE102" s="1"/>
      <c r="AF102" s="2">
        <f t="shared" si="5"/>
        <v>5</v>
      </c>
      <c r="AG102" s="82">
        <v>61</v>
      </c>
      <c r="AH102" s="82"/>
      <c r="AI102" s="86"/>
      <c r="AJ102" s="82" t="s">
        <v>290</v>
      </c>
      <c r="AK102" s="82" t="s">
        <v>113</v>
      </c>
      <c r="AL102" s="82" t="s">
        <v>114</v>
      </c>
      <c r="AM102" s="82" t="s">
        <v>147</v>
      </c>
      <c r="AN102" s="82" t="s">
        <v>148</v>
      </c>
      <c r="AO102" s="82" t="s">
        <v>196</v>
      </c>
      <c r="AP102" s="82" t="s">
        <v>17</v>
      </c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</row>
    <row r="103" spans="14:71">
      <c r="N103" s="12"/>
      <c r="O103" s="12"/>
      <c r="P103" s="2"/>
      <c r="Q103" s="1"/>
      <c r="R103" s="39"/>
      <c r="S103" s="39"/>
      <c r="T103" s="1"/>
      <c r="AF103" s="2">
        <f t="shared" si="5"/>
        <v>5</v>
      </c>
      <c r="AG103" s="82">
        <v>62</v>
      </c>
      <c r="AH103" s="82"/>
      <c r="AI103" s="86"/>
      <c r="AJ103" s="82" t="s">
        <v>291</v>
      </c>
      <c r="AK103" s="82" t="s">
        <v>113</v>
      </c>
      <c r="AL103" s="82" t="s">
        <v>114</v>
      </c>
      <c r="AM103" s="82" t="s">
        <v>147</v>
      </c>
      <c r="AN103" s="82" t="s">
        <v>148</v>
      </c>
      <c r="AO103" s="82" t="s">
        <v>196</v>
      </c>
      <c r="AP103" s="82" t="s">
        <v>17</v>
      </c>
      <c r="AQ103" s="82"/>
      <c r="AR103" s="82"/>
      <c r="AS103" s="82"/>
      <c r="AT103" s="82"/>
      <c r="AU103" s="83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</row>
    <row r="104" spans="14:71">
      <c r="P104" s="2"/>
      <c r="Q104" s="13" t="s">
        <v>228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"/>
      <c r="AE104" s="1"/>
      <c r="AF104" s="2">
        <f t="shared" si="5"/>
        <v>1</v>
      </c>
      <c r="AG104" s="82">
        <v>63</v>
      </c>
      <c r="AH104" s="82"/>
      <c r="AI104" s="86"/>
      <c r="AJ104" s="82" t="s">
        <v>102</v>
      </c>
      <c r="AK104" s="82" t="s">
        <v>130</v>
      </c>
      <c r="AL104" s="82" t="s">
        <v>17</v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</row>
    <row r="105" spans="14:71">
      <c r="P105" s="2">
        <f t="shared" ref="P105:P106" si="21">MATCH("\\",R105:AE105,0)-1</f>
        <v>5</v>
      </c>
      <c r="Q105" s="12" t="s">
        <v>9</v>
      </c>
      <c r="R105" s="14" t="s">
        <v>95</v>
      </c>
      <c r="S105" s="14" t="s">
        <v>90</v>
      </c>
      <c r="T105" s="14" t="s">
        <v>91</v>
      </c>
      <c r="U105" s="14" t="s">
        <v>92</v>
      </c>
      <c r="V105" s="14" t="s">
        <v>93</v>
      </c>
      <c r="W105" s="1" t="s">
        <v>17</v>
      </c>
      <c r="Y105" s="14"/>
      <c r="Z105" s="14"/>
      <c r="AA105" s="14"/>
      <c r="AB105" s="14"/>
      <c r="AC105" s="14"/>
      <c r="AD105" s="1"/>
      <c r="AE105" s="1"/>
      <c r="AF105" s="2">
        <f t="shared" si="5"/>
        <v>9</v>
      </c>
      <c r="AG105" s="82">
        <v>64</v>
      </c>
      <c r="AH105" s="82"/>
      <c r="AI105" s="86"/>
      <c r="AJ105" s="82" t="s">
        <v>20</v>
      </c>
      <c r="AK105" s="82" t="s">
        <v>88</v>
      </c>
      <c r="AL105" s="82" t="s">
        <v>222</v>
      </c>
      <c r="AM105" s="82" t="s">
        <v>236</v>
      </c>
      <c r="AN105" s="82" t="s">
        <v>107</v>
      </c>
      <c r="AO105" s="82" t="s">
        <v>239</v>
      </c>
      <c r="AP105" s="82" t="s">
        <v>108</v>
      </c>
      <c r="AQ105" s="82" t="s">
        <v>240</v>
      </c>
      <c r="AR105" s="82" t="s">
        <v>89</v>
      </c>
      <c r="AS105" s="82" t="s">
        <v>25</v>
      </c>
      <c r="AT105" s="83" t="s">
        <v>17</v>
      </c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</row>
    <row r="106" spans="14:71">
      <c r="P106" s="2">
        <f t="shared" si="21"/>
        <v>6</v>
      </c>
      <c r="Q106" s="12" t="s">
        <v>10</v>
      </c>
      <c r="R106" s="14" t="s">
        <v>128</v>
      </c>
      <c r="S106" s="39" t="s">
        <v>150</v>
      </c>
      <c r="T106" s="14" t="s">
        <v>151</v>
      </c>
      <c r="U106" s="39" t="s">
        <v>13</v>
      </c>
      <c r="V106" s="39" t="s">
        <v>156</v>
      </c>
      <c r="W106" s="14" t="s">
        <v>152</v>
      </c>
      <c r="X106" s="1" t="s">
        <v>17</v>
      </c>
      <c r="Y106" s="1"/>
      <c r="Z106" s="14"/>
      <c r="AA106" s="14"/>
      <c r="AB106" s="14"/>
      <c r="AC106" s="14"/>
      <c r="AD106" s="1"/>
      <c r="AE106" s="1"/>
      <c r="AF106" s="2" t="e">
        <f t="shared" si="5"/>
        <v>#N/A</v>
      </c>
      <c r="AG106" s="82">
        <v>65</v>
      </c>
      <c r="AH106" s="82"/>
      <c r="AI106" s="86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</row>
    <row r="107" spans="14:71">
      <c r="P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">
        <f t="shared" ref="AF107:AF170" si="22">MATCH("\\",AK107:BN107,0)-1</f>
        <v>11</v>
      </c>
      <c r="AG107" s="82">
        <v>66</v>
      </c>
      <c r="AH107" s="82"/>
      <c r="AI107" s="86" t="s">
        <v>280</v>
      </c>
      <c r="AJ107" s="82" t="s">
        <v>19</v>
      </c>
      <c r="AK107" s="82" t="s">
        <v>375</v>
      </c>
      <c r="AL107" s="82" t="s">
        <v>376</v>
      </c>
      <c r="AM107" s="82" t="s">
        <v>377</v>
      </c>
      <c r="AN107" s="82" t="s">
        <v>378</v>
      </c>
      <c r="AO107" s="82" t="s">
        <v>379</v>
      </c>
      <c r="AP107" s="82" t="s">
        <v>380</v>
      </c>
      <c r="AQ107" s="82" t="s">
        <v>381</v>
      </c>
      <c r="AR107" s="82" t="s">
        <v>382</v>
      </c>
      <c r="AS107" s="82" t="s">
        <v>355</v>
      </c>
      <c r="AT107" s="82" t="s">
        <v>356</v>
      </c>
      <c r="AU107" s="82" t="s">
        <v>383</v>
      </c>
      <c r="AV107" s="82" t="s">
        <v>149</v>
      </c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</row>
    <row r="108" spans="14:71">
      <c r="P108" s="2"/>
      <c r="Q108" s="13" t="s">
        <v>229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">
        <f t="shared" si="22"/>
        <v>11</v>
      </c>
      <c r="AG108" s="82">
        <v>67</v>
      </c>
      <c r="AH108" s="82"/>
      <c r="AI108" s="86"/>
      <c r="AJ108" s="82" t="s">
        <v>86</v>
      </c>
      <c r="AK108" s="82" t="s">
        <v>384</v>
      </c>
      <c r="AL108" s="82" t="s">
        <v>385</v>
      </c>
      <c r="AM108" s="82" t="s">
        <v>386</v>
      </c>
      <c r="AN108" s="82" t="s">
        <v>387</v>
      </c>
      <c r="AO108" s="82" t="s">
        <v>388</v>
      </c>
      <c r="AP108" s="82" t="s">
        <v>389</v>
      </c>
      <c r="AQ108" s="82" t="s">
        <v>390</v>
      </c>
      <c r="AR108" s="82" t="s">
        <v>391</v>
      </c>
      <c r="AS108" s="82" t="s">
        <v>357</v>
      </c>
      <c r="AT108" s="82" t="s">
        <v>358</v>
      </c>
      <c r="AU108" s="82" t="s">
        <v>392</v>
      </c>
      <c r="AV108" s="82" t="s">
        <v>149</v>
      </c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</row>
    <row r="109" spans="14:71">
      <c r="P109" s="2">
        <f t="shared" ref="P109:P110" si="23">MATCH("\\",R109:AE109,0)-1</f>
        <v>5</v>
      </c>
      <c r="Q109" s="12" t="s">
        <v>9</v>
      </c>
      <c r="R109" s="14" t="s">
        <v>95</v>
      </c>
      <c r="S109" s="14" t="s">
        <v>90</v>
      </c>
      <c r="T109" s="14" t="s">
        <v>91</v>
      </c>
      <c r="U109" s="14" t="s">
        <v>92</v>
      </c>
      <c r="V109" s="14" t="s">
        <v>93</v>
      </c>
      <c r="W109" s="1" t="s">
        <v>17</v>
      </c>
      <c r="Y109" s="1"/>
      <c r="Z109" s="1"/>
      <c r="AA109" s="1"/>
      <c r="AB109" s="1"/>
      <c r="AC109" s="1"/>
      <c r="AD109" s="1"/>
      <c r="AE109" s="1"/>
      <c r="AF109" s="2">
        <f t="shared" si="22"/>
        <v>18</v>
      </c>
      <c r="AG109" s="82">
        <v>68</v>
      </c>
      <c r="AH109" s="82"/>
      <c r="AI109" s="86"/>
      <c r="AJ109" s="82" t="s">
        <v>448</v>
      </c>
      <c r="AK109" s="82" t="s">
        <v>359</v>
      </c>
      <c r="AL109" s="82" t="s">
        <v>360</v>
      </c>
      <c r="AM109" s="82" t="s">
        <v>361</v>
      </c>
      <c r="AN109" s="82" t="s">
        <v>362</v>
      </c>
      <c r="AO109" s="82" t="s">
        <v>393</v>
      </c>
      <c r="AP109" s="82" t="s">
        <v>394</v>
      </c>
      <c r="AQ109" s="82" t="s">
        <v>395</v>
      </c>
      <c r="AR109" s="82" t="s">
        <v>396</v>
      </c>
      <c r="AS109" s="82" t="s">
        <v>363</v>
      </c>
      <c r="AT109" s="82" t="s">
        <v>364</v>
      </c>
      <c r="AU109" s="82" t="s">
        <v>365</v>
      </c>
      <c r="AV109" s="82" t="s">
        <v>366</v>
      </c>
      <c r="AW109" s="82" t="s">
        <v>397</v>
      </c>
      <c r="AX109" s="82" t="s">
        <v>398</v>
      </c>
      <c r="AY109" s="82" t="s">
        <v>367</v>
      </c>
      <c r="AZ109" s="82" t="s">
        <v>368</v>
      </c>
      <c r="BA109" s="82" t="s">
        <v>399</v>
      </c>
      <c r="BB109" s="82" t="s">
        <v>400</v>
      </c>
      <c r="BC109" s="82" t="s">
        <v>149</v>
      </c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</row>
    <row r="110" spans="14:71">
      <c r="P110" s="2">
        <f t="shared" si="23"/>
        <v>6</v>
      </c>
      <c r="Q110" s="12" t="s">
        <v>10</v>
      </c>
      <c r="R110" s="14" t="s">
        <v>128</v>
      </c>
      <c r="S110" s="39" t="s">
        <v>150</v>
      </c>
      <c r="T110" s="14" t="s">
        <v>151</v>
      </c>
      <c r="U110" s="39" t="s">
        <v>13</v>
      </c>
      <c r="V110" s="39" t="s">
        <v>156</v>
      </c>
      <c r="W110" s="14" t="s">
        <v>152</v>
      </c>
      <c r="X110" s="1" t="s">
        <v>17</v>
      </c>
      <c r="Y110" s="1"/>
      <c r="Z110" s="1"/>
      <c r="AA110" s="1"/>
      <c r="AB110" s="1"/>
      <c r="AC110" s="1"/>
      <c r="AD110" s="1"/>
      <c r="AE110" s="1"/>
      <c r="AF110" s="2">
        <f t="shared" si="22"/>
        <v>8</v>
      </c>
      <c r="AG110" s="82">
        <v>69</v>
      </c>
      <c r="AH110" s="82"/>
      <c r="AI110" s="86"/>
      <c r="AJ110" s="82" t="s">
        <v>120</v>
      </c>
      <c r="AK110" s="82" t="s">
        <v>24</v>
      </c>
      <c r="AL110" s="82" t="s">
        <v>121</v>
      </c>
      <c r="AM110" s="82" t="s">
        <v>123</v>
      </c>
      <c r="AN110" s="82" t="s">
        <v>122</v>
      </c>
      <c r="AO110" s="82" t="s">
        <v>300</v>
      </c>
      <c r="AP110" s="82" t="s">
        <v>301</v>
      </c>
      <c r="AQ110" s="82" t="s">
        <v>298</v>
      </c>
      <c r="AR110" s="82" t="s">
        <v>299</v>
      </c>
      <c r="AS110" s="82" t="s">
        <v>149</v>
      </c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</row>
    <row r="111" spans="14:71">
      <c r="P111" s="2"/>
      <c r="Q111" s="1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">
        <f t="shared" si="22"/>
        <v>6</v>
      </c>
      <c r="AG111" s="82">
        <v>70</v>
      </c>
      <c r="AH111" s="82"/>
      <c r="AI111" s="86"/>
      <c r="AJ111" s="82" t="s">
        <v>451</v>
      </c>
      <c r="AK111" s="82" t="s">
        <v>117</v>
      </c>
      <c r="AL111" s="82" t="s">
        <v>307</v>
      </c>
      <c r="AM111" s="82" t="s">
        <v>308</v>
      </c>
      <c r="AN111" s="82" t="s">
        <v>118</v>
      </c>
      <c r="AO111" s="82" t="s">
        <v>119</v>
      </c>
      <c r="AP111" s="82" t="s">
        <v>309</v>
      </c>
      <c r="AQ111" s="82" t="s">
        <v>17</v>
      </c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</row>
    <row r="112" spans="14:71">
      <c r="P112" s="2"/>
      <c r="Q112" s="13" t="s">
        <v>230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">
        <f t="shared" si="22"/>
        <v>16</v>
      </c>
      <c r="AG112" s="82">
        <v>71</v>
      </c>
      <c r="AH112" s="82"/>
      <c r="AI112" s="86"/>
      <c r="AJ112" s="82" t="s">
        <v>290</v>
      </c>
      <c r="AK112" s="82" t="s">
        <v>113</v>
      </c>
      <c r="AL112" s="82" t="s">
        <v>114</v>
      </c>
      <c r="AM112" s="82" t="s">
        <v>147</v>
      </c>
      <c r="AN112" s="82" t="s">
        <v>148</v>
      </c>
      <c r="AO112" s="82" t="s">
        <v>292</v>
      </c>
      <c r="AP112" s="82" t="s">
        <v>293</v>
      </c>
      <c r="AQ112" s="82" t="s">
        <v>294</v>
      </c>
      <c r="AR112" s="82" t="s">
        <v>295</v>
      </c>
      <c r="AS112" s="96" t="s">
        <v>296</v>
      </c>
      <c r="AT112" s="96" t="s">
        <v>535</v>
      </c>
      <c r="AU112" s="82" t="s">
        <v>112</v>
      </c>
      <c r="AV112" s="82" t="s">
        <v>196</v>
      </c>
      <c r="AW112" s="82" t="s">
        <v>197</v>
      </c>
      <c r="AX112" s="82" t="s">
        <v>297</v>
      </c>
      <c r="AY112" s="82" t="s">
        <v>109</v>
      </c>
      <c r="AZ112" s="82" t="s">
        <v>110</v>
      </c>
      <c r="BA112" s="82" t="s">
        <v>149</v>
      </c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</row>
    <row r="113" spans="16:71">
      <c r="P113" s="2">
        <f t="shared" ref="P113" si="24">MATCH("\\",R113:AE113,0)-1</f>
        <v>5</v>
      </c>
      <c r="Q113" s="12" t="s">
        <v>9</v>
      </c>
      <c r="R113" s="14" t="s">
        <v>95</v>
      </c>
      <c r="S113" s="14" t="s">
        <v>90</v>
      </c>
      <c r="T113" s="14" t="s">
        <v>91</v>
      </c>
      <c r="U113" s="14" t="s">
        <v>92</v>
      </c>
      <c r="V113" s="14" t="s">
        <v>93</v>
      </c>
      <c r="W113" s="1" t="s">
        <v>17</v>
      </c>
      <c r="Y113" s="1"/>
      <c r="Z113" s="1"/>
      <c r="AA113" s="1"/>
      <c r="AB113" s="1"/>
      <c r="AC113" s="1"/>
      <c r="AD113" s="1"/>
      <c r="AE113" s="1"/>
      <c r="AF113" s="2">
        <f t="shared" si="22"/>
        <v>14</v>
      </c>
      <c r="AG113" s="82">
        <v>72</v>
      </c>
      <c r="AH113" s="82"/>
      <c r="AI113" s="86"/>
      <c r="AJ113" s="82" t="s">
        <v>291</v>
      </c>
      <c r="AK113" s="82" t="s">
        <v>113</v>
      </c>
      <c r="AL113" s="82" t="s">
        <v>114</v>
      </c>
      <c r="AM113" s="82" t="s">
        <v>147</v>
      </c>
      <c r="AN113" s="82" t="s">
        <v>148</v>
      </c>
      <c r="AO113" s="82" t="s">
        <v>292</v>
      </c>
      <c r="AP113" s="82" t="s">
        <v>293</v>
      </c>
      <c r="AQ113" s="82" t="s">
        <v>294</v>
      </c>
      <c r="AR113" s="82" t="s">
        <v>295</v>
      </c>
      <c r="AS113" s="96" t="s">
        <v>296</v>
      </c>
      <c r="AT113" s="96" t="s">
        <v>535</v>
      </c>
      <c r="AU113" s="82" t="s">
        <v>112</v>
      </c>
      <c r="AV113" s="82" t="s">
        <v>196</v>
      </c>
      <c r="AW113" s="82" t="s">
        <v>197</v>
      </c>
      <c r="AX113" s="82" t="s">
        <v>297</v>
      </c>
      <c r="AY113" s="82" t="s">
        <v>149</v>
      </c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</row>
    <row r="114" spans="16:71">
      <c r="P114" s="2">
        <f>MATCH("\\",R114:AE114,0)-1</f>
        <v>5</v>
      </c>
      <c r="Q114" s="12" t="s">
        <v>10</v>
      </c>
      <c r="R114" s="39" t="s">
        <v>150</v>
      </c>
      <c r="S114" s="14" t="s">
        <v>151</v>
      </c>
      <c r="T114" s="39" t="s">
        <v>13</v>
      </c>
      <c r="U114" s="39" t="s">
        <v>156</v>
      </c>
      <c r="V114" s="14" t="s">
        <v>152</v>
      </c>
      <c r="W114" s="1" t="s">
        <v>17</v>
      </c>
      <c r="Y114" s="1"/>
      <c r="Z114" s="1"/>
      <c r="AA114" s="1"/>
      <c r="AB114" s="1"/>
      <c r="AC114" s="1"/>
      <c r="AD114" s="1"/>
      <c r="AE114" s="1"/>
      <c r="AF114" s="2">
        <f t="shared" si="22"/>
        <v>15</v>
      </c>
      <c r="AG114" s="82">
        <v>73</v>
      </c>
      <c r="AH114" s="82"/>
      <c r="AI114" s="86"/>
      <c r="AJ114" s="82" t="s">
        <v>102</v>
      </c>
      <c r="AK114" s="82" t="s">
        <v>130</v>
      </c>
      <c r="AL114" s="82" t="s">
        <v>104</v>
      </c>
      <c r="AM114" s="82" t="s">
        <v>242</v>
      </c>
      <c r="AN114" s="82" t="s">
        <v>243</v>
      </c>
      <c r="AO114" s="82" t="s">
        <v>244</v>
      </c>
      <c r="AP114" s="82" t="s">
        <v>103</v>
      </c>
      <c r="AQ114" s="82" t="s">
        <v>245</v>
      </c>
      <c r="AR114" s="82" t="s">
        <v>246</v>
      </c>
      <c r="AS114" s="82" t="s">
        <v>247</v>
      </c>
      <c r="AT114" s="82" t="s">
        <v>248</v>
      </c>
      <c r="AU114" s="82" t="s">
        <v>249</v>
      </c>
      <c r="AV114" s="82" t="s">
        <v>506</v>
      </c>
      <c r="AW114" s="82" t="s">
        <v>507</v>
      </c>
      <c r="AX114" s="82" t="s">
        <v>508</v>
      </c>
      <c r="AY114" s="82" t="s">
        <v>509</v>
      </c>
      <c r="AZ114" s="83" t="s">
        <v>17</v>
      </c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</row>
    <row r="115" spans="16:71">
      <c r="P115" s="2"/>
      <c r="Q115" s="1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">
        <f t="shared" si="22"/>
        <v>14</v>
      </c>
      <c r="AG115" s="82">
        <v>74</v>
      </c>
      <c r="AH115" s="82"/>
      <c r="AI115" s="86"/>
      <c r="AJ115" s="82" t="s">
        <v>20</v>
      </c>
      <c r="AK115" s="82" t="s">
        <v>238</v>
      </c>
      <c r="AL115" s="82" t="s">
        <v>241</v>
      </c>
      <c r="AM115" s="82" t="s">
        <v>88</v>
      </c>
      <c r="AN115" s="82" t="s">
        <v>87</v>
      </c>
      <c r="AO115" s="82" t="s">
        <v>223</v>
      </c>
      <c r="AP115" s="82" t="s">
        <v>222</v>
      </c>
      <c r="AQ115" s="82" t="s">
        <v>237</v>
      </c>
      <c r="AR115" s="82" t="s">
        <v>236</v>
      </c>
      <c r="AS115" s="82" t="s">
        <v>107</v>
      </c>
      <c r="AT115" s="82" t="s">
        <v>239</v>
      </c>
      <c r="AU115" s="82" t="s">
        <v>108</v>
      </c>
      <c r="AV115" s="82" t="s">
        <v>240</v>
      </c>
      <c r="AW115" s="82" t="s">
        <v>89</v>
      </c>
      <c r="AX115" s="82" t="s">
        <v>25</v>
      </c>
      <c r="AY115" s="83" t="s">
        <v>17</v>
      </c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</row>
    <row r="116" spans="16:71">
      <c r="P116" s="2"/>
      <c r="Q116" s="13" t="s">
        <v>231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4"/>
      <c r="AC116" s="14"/>
      <c r="AD116" s="1"/>
      <c r="AE116" s="1"/>
      <c r="AF116" s="2" t="e">
        <f t="shared" si="22"/>
        <v>#N/A</v>
      </c>
      <c r="AG116" s="82">
        <v>75</v>
      </c>
      <c r="AH116" s="82"/>
      <c r="AI116" s="86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</row>
    <row r="117" spans="16:71">
      <c r="P117" s="2">
        <f t="shared" ref="P117:P118" si="25">MATCH("\\",R117:AE117,0)-1</f>
        <v>5</v>
      </c>
      <c r="Q117" s="12" t="s">
        <v>9</v>
      </c>
      <c r="R117" s="14" t="s">
        <v>95</v>
      </c>
      <c r="S117" s="14" t="s">
        <v>90</v>
      </c>
      <c r="T117" s="14" t="s">
        <v>91</v>
      </c>
      <c r="U117" s="14" t="s">
        <v>92</v>
      </c>
      <c r="V117" s="14" t="s">
        <v>93</v>
      </c>
      <c r="W117" s="1" t="s">
        <v>17</v>
      </c>
      <c r="X117" s="1"/>
      <c r="Y117" s="14"/>
      <c r="Z117" s="14"/>
      <c r="AA117" s="14"/>
      <c r="AB117" s="14"/>
      <c r="AC117" s="1"/>
      <c r="AD117" s="1"/>
      <c r="AE117" s="1"/>
      <c r="AF117" s="2">
        <f t="shared" si="22"/>
        <v>1</v>
      </c>
      <c r="AG117" s="82">
        <v>76</v>
      </c>
      <c r="AH117" s="82"/>
      <c r="AI117" s="86" t="s">
        <v>204</v>
      </c>
      <c r="AJ117" s="82" t="s">
        <v>19</v>
      </c>
      <c r="AK117" s="82" t="s">
        <v>402</v>
      </c>
      <c r="AL117" s="82" t="s">
        <v>17</v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</row>
    <row r="118" spans="16:71">
      <c r="P118" s="2">
        <f t="shared" si="25"/>
        <v>5</v>
      </c>
      <c r="Q118" s="12" t="s">
        <v>10</v>
      </c>
      <c r="R118" s="39" t="s">
        <v>150</v>
      </c>
      <c r="S118" s="14" t="s">
        <v>151</v>
      </c>
      <c r="T118" s="39" t="s">
        <v>13</v>
      </c>
      <c r="U118" s="39" t="s">
        <v>156</v>
      </c>
      <c r="V118" s="14" t="s">
        <v>152</v>
      </c>
      <c r="W118" s="1" t="s">
        <v>17</v>
      </c>
      <c r="X118" s="1"/>
      <c r="Y118" s="1"/>
      <c r="Z118" s="14"/>
      <c r="AA118" s="14"/>
      <c r="AB118" s="14"/>
      <c r="AC118" s="1"/>
      <c r="AD118" s="1"/>
      <c r="AE118" s="1"/>
      <c r="AF118" s="2">
        <f t="shared" si="22"/>
        <v>1</v>
      </c>
      <c r="AG118" s="82">
        <v>77</v>
      </c>
      <c r="AH118" s="82"/>
      <c r="AI118" s="86"/>
      <c r="AJ118" s="82" t="s">
        <v>86</v>
      </c>
      <c r="AK118" s="82" t="s">
        <v>402</v>
      </c>
      <c r="AL118" s="82" t="s">
        <v>17</v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</row>
    <row r="119" spans="16:71">
      <c r="P119" s="2"/>
      <c r="Q119" s="13"/>
      <c r="R119" s="1"/>
      <c r="S119" s="1"/>
      <c r="T119" s="39"/>
      <c r="U119" s="1"/>
      <c r="V119" s="1"/>
      <c r="W119" s="1"/>
      <c r="X119" s="1"/>
      <c r="Y119" s="1"/>
      <c r="Z119" s="14"/>
      <c r="AA119" s="14"/>
      <c r="AB119" s="14"/>
      <c r="AC119" s="1"/>
      <c r="AD119" s="1"/>
      <c r="AE119" s="1"/>
      <c r="AF119" s="2">
        <f t="shared" si="22"/>
        <v>3</v>
      </c>
      <c r="AG119" s="82">
        <v>78</v>
      </c>
      <c r="AH119" s="82"/>
      <c r="AI119" s="86"/>
      <c r="AJ119" s="82" t="s">
        <v>448</v>
      </c>
      <c r="AK119" s="82" t="s">
        <v>318</v>
      </c>
      <c r="AL119" s="82" t="s">
        <v>359</v>
      </c>
      <c r="AM119" s="82" t="s">
        <v>403</v>
      </c>
      <c r="AN119" s="82" t="s">
        <v>17</v>
      </c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</row>
    <row r="120" spans="16:71">
      <c r="P120" s="2"/>
      <c r="Q120" s="13" t="s">
        <v>232</v>
      </c>
      <c r="R120" s="39"/>
      <c r="S120" s="39"/>
      <c r="T120" s="1"/>
      <c r="AF120" s="2">
        <f t="shared" si="22"/>
        <v>1</v>
      </c>
      <c r="AG120" s="82">
        <v>79</v>
      </c>
      <c r="AH120" s="82"/>
      <c r="AI120" s="86"/>
      <c r="AJ120" s="82" t="s">
        <v>120</v>
      </c>
      <c r="AL120" s="82" t="s">
        <v>17</v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</row>
    <row r="121" spans="16:71">
      <c r="P121" s="2">
        <f t="shared" ref="P121:P122" si="26">MATCH("\\",R121:AE121,0)-1</f>
        <v>3</v>
      </c>
      <c r="Q121" s="12" t="s">
        <v>9</v>
      </c>
      <c r="R121" s="14" t="s">
        <v>95</v>
      </c>
      <c r="S121" s="14" t="s">
        <v>90</v>
      </c>
      <c r="T121" s="14" t="s">
        <v>91</v>
      </c>
      <c r="U121" s="1" t="s">
        <v>17</v>
      </c>
      <c r="AF121" s="2">
        <f t="shared" si="22"/>
        <v>1</v>
      </c>
      <c r="AG121" s="82">
        <v>80</v>
      </c>
      <c r="AH121" s="82"/>
      <c r="AI121" s="86"/>
      <c r="AJ121" s="82" t="s">
        <v>451</v>
      </c>
      <c r="AL121" s="82" t="s">
        <v>17</v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</row>
    <row r="122" spans="16:71">
      <c r="P122" s="2">
        <f t="shared" si="26"/>
        <v>3</v>
      </c>
      <c r="Q122" s="12" t="s">
        <v>10</v>
      </c>
      <c r="R122" s="39" t="s">
        <v>150</v>
      </c>
      <c r="S122" s="14" t="s">
        <v>151</v>
      </c>
      <c r="T122" s="39" t="s">
        <v>156</v>
      </c>
      <c r="U122" s="1" t="s">
        <v>17</v>
      </c>
      <c r="V122" s="14"/>
      <c r="W122" s="14"/>
      <c r="X122" s="14"/>
      <c r="Y122" s="14"/>
      <c r="Z122" s="14"/>
      <c r="AA122" s="14"/>
      <c r="AB122" s="14"/>
      <c r="AC122" s="14"/>
      <c r="AD122" s="1"/>
      <c r="AE122" s="1"/>
      <c r="AF122" s="2">
        <f t="shared" si="22"/>
        <v>5</v>
      </c>
      <c r="AG122" s="82">
        <v>81</v>
      </c>
      <c r="AH122" s="82"/>
      <c r="AI122" s="86"/>
      <c r="AJ122" s="82" t="s">
        <v>290</v>
      </c>
      <c r="AK122" s="82" t="s">
        <v>113</v>
      </c>
      <c r="AL122" s="82" t="s">
        <v>114</v>
      </c>
      <c r="AM122" s="82" t="s">
        <v>115</v>
      </c>
      <c r="AN122" s="82" t="s">
        <v>116</v>
      </c>
      <c r="AO122" s="82" t="s">
        <v>111</v>
      </c>
      <c r="AP122" s="82" t="s">
        <v>17</v>
      </c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</row>
    <row r="123" spans="16:71">
      <c r="P123" s="2"/>
      <c r="R123" s="39"/>
      <c r="S123" s="39"/>
      <c r="T123" s="39"/>
      <c r="U123" s="1"/>
      <c r="V123" s="14"/>
      <c r="W123" s="14"/>
      <c r="Y123" s="14"/>
      <c r="Z123" s="14"/>
      <c r="AA123" s="14"/>
      <c r="AB123" s="14"/>
      <c r="AC123" s="14"/>
      <c r="AD123" s="1"/>
      <c r="AE123" s="1"/>
      <c r="AF123" s="2">
        <f t="shared" si="22"/>
        <v>6</v>
      </c>
      <c r="AG123" s="82">
        <v>82</v>
      </c>
      <c r="AH123" s="82"/>
      <c r="AI123" s="86"/>
      <c r="AJ123" s="82" t="s">
        <v>291</v>
      </c>
      <c r="AK123" s="82" t="s">
        <v>113</v>
      </c>
      <c r="AL123" s="82" t="s">
        <v>114</v>
      </c>
      <c r="AM123" s="82" t="s">
        <v>115</v>
      </c>
      <c r="AN123" s="82" t="s">
        <v>116</v>
      </c>
      <c r="AO123" s="82" t="s">
        <v>111</v>
      </c>
      <c r="AP123" s="82" t="s">
        <v>310</v>
      </c>
      <c r="AQ123" s="82" t="s">
        <v>17</v>
      </c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</row>
    <row r="124" spans="16:71">
      <c r="P124" s="2"/>
      <c r="Q124" s="13" t="s">
        <v>481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"/>
      <c r="AE124" s="1"/>
      <c r="AF124" s="2">
        <f t="shared" si="22"/>
        <v>13</v>
      </c>
      <c r="AG124" s="82">
        <v>83</v>
      </c>
      <c r="AH124" s="82"/>
      <c r="AI124" s="86"/>
      <c r="AJ124" s="82" t="s">
        <v>102</v>
      </c>
      <c r="AK124" s="82" t="s">
        <v>130</v>
      </c>
      <c r="AL124" s="82" t="s">
        <v>210</v>
      </c>
      <c r="AM124" s="82" t="s">
        <v>209</v>
      </c>
      <c r="AN124" s="82" t="s">
        <v>211</v>
      </c>
      <c r="AO124" s="82" t="s">
        <v>212</v>
      </c>
      <c r="AP124" s="82" t="s">
        <v>213</v>
      </c>
      <c r="AQ124" s="82" t="s">
        <v>214</v>
      </c>
      <c r="AR124" s="82" t="s">
        <v>215</v>
      </c>
      <c r="AS124" s="82" t="s">
        <v>216</v>
      </c>
      <c r="AT124" s="82" t="s">
        <v>217</v>
      </c>
      <c r="AU124" s="82" t="s">
        <v>218</v>
      </c>
      <c r="AV124" s="82" t="s">
        <v>219</v>
      </c>
      <c r="AW124" s="82" t="s">
        <v>220</v>
      </c>
      <c r="AX124" s="82" t="s">
        <v>17</v>
      </c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</row>
    <row r="125" spans="16:71">
      <c r="P125" s="2">
        <f t="shared" ref="P125:P126" si="27">MATCH("\\",R125:AE125,0)-1</f>
        <v>5</v>
      </c>
      <c r="Q125" s="12" t="s">
        <v>9</v>
      </c>
      <c r="R125" s="14" t="s">
        <v>95</v>
      </c>
      <c r="S125" s="14" t="s">
        <v>91</v>
      </c>
      <c r="T125" s="14" t="s">
        <v>92</v>
      </c>
      <c r="U125" s="14" t="s">
        <v>93</v>
      </c>
      <c r="V125" s="14" t="s">
        <v>94</v>
      </c>
      <c r="W125" s="1" t="s">
        <v>17</v>
      </c>
      <c r="X125" s="17"/>
      <c r="Y125" s="14"/>
      <c r="Z125" s="14"/>
      <c r="AA125" s="14"/>
      <c r="AB125" s="14"/>
      <c r="AC125" s="14"/>
      <c r="AD125" s="1"/>
      <c r="AE125" s="1"/>
      <c r="AF125" s="2">
        <f t="shared" si="22"/>
        <v>7</v>
      </c>
      <c r="AG125" s="82">
        <v>84</v>
      </c>
      <c r="AH125" s="82"/>
      <c r="AI125" s="86"/>
      <c r="AJ125" s="82" t="s">
        <v>20</v>
      </c>
      <c r="AK125" s="82" t="s">
        <v>221</v>
      </c>
      <c r="AL125" s="82" t="s">
        <v>222</v>
      </c>
      <c r="AM125" s="82" t="s">
        <v>223</v>
      </c>
      <c r="AN125" s="82" t="s">
        <v>224</v>
      </c>
      <c r="AO125" s="82" t="s">
        <v>25</v>
      </c>
      <c r="AP125" s="82" t="s">
        <v>89</v>
      </c>
      <c r="AQ125" s="82" t="s">
        <v>532</v>
      </c>
      <c r="AR125" s="82" t="s">
        <v>17</v>
      </c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</row>
    <row r="126" spans="16:71">
      <c r="P126" s="2">
        <f t="shared" si="27"/>
        <v>9</v>
      </c>
      <c r="Q126" s="12" t="s">
        <v>10</v>
      </c>
      <c r="R126" s="39" t="s">
        <v>99</v>
      </c>
      <c r="S126" s="14" t="s">
        <v>12</v>
      </c>
      <c r="T126" s="14" t="s">
        <v>13</v>
      </c>
      <c r="U126" s="14" t="s">
        <v>14</v>
      </c>
      <c r="V126" s="14" t="s">
        <v>15</v>
      </c>
      <c r="W126" s="14" t="s">
        <v>141</v>
      </c>
      <c r="X126" s="14" t="s">
        <v>157</v>
      </c>
      <c r="Y126" s="14" t="s">
        <v>467</v>
      </c>
      <c r="Z126" s="14" t="s">
        <v>468</v>
      </c>
      <c r="AA126" s="1" t="s">
        <v>17</v>
      </c>
      <c r="AB126" s="14"/>
      <c r="AC126" s="14"/>
      <c r="AD126" s="1"/>
      <c r="AE126" s="1"/>
      <c r="AF126" s="2" t="e">
        <f t="shared" si="22"/>
        <v>#N/A</v>
      </c>
      <c r="AG126" s="82">
        <v>85</v>
      </c>
      <c r="AH126" s="82"/>
      <c r="AI126" s="86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</row>
    <row r="127" spans="16:71">
      <c r="P127" s="2"/>
      <c r="Q127" s="1"/>
      <c r="R127" s="39"/>
      <c r="S127" s="39"/>
      <c r="T127" s="1"/>
      <c r="AF127" s="2">
        <f t="shared" si="22"/>
        <v>1</v>
      </c>
      <c r="AG127" s="82">
        <v>86</v>
      </c>
      <c r="AH127" s="82"/>
      <c r="AI127" s="86" t="s">
        <v>513</v>
      </c>
      <c r="AJ127" s="82" t="s">
        <v>19</v>
      </c>
      <c r="AK127" s="82" t="s">
        <v>311</v>
      </c>
      <c r="AL127" s="82" t="s">
        <v>17</v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</row>
    <row r="128" spans="16:71">
      <c r="P128" s="2"/>
      <c r="Q128" s="13" t="s">
        <v>476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"/>
      <c r="AE128" s="1"/>
      <c r="AF128" s="2">
        <f t="shared" si="22"/>
        <v>1</v>
      </c>
      <c r="AG128" s="82">
        <v>87</v>
      </c>
      <c r="AH128" s="82"/>
      <c r="AI128" s="86"/>
      <c r="AJ128" s="82" t="s">
        <v>86</v>
      </c>
      <c r="AK128" s="82" t="s">
        <v>494</v>
      </c>
      <c r="AL128" s="82" t="s">
        <v>17</v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</row>
    <row r="129" spans="1:88">
      <c r="P129" s="2">
        <f t="shared" ref="P129:P130" si="28">MATCH("\\",R129:AE129,0)-1</f>
        <v>5</v>
      </c>
      <c r="Q129" s="12" t="s">
        <v>9</v>
      </c>
      <c r="R129" s="39" t="s">
        <v>95</v>
      </c>
      <c r="S129" s="39" t="s">
        <v>90</v>
      </c>
      <c r="T129" s="39" t="s">
        <v>91</v>
      </c>
      <c r="U129" s="1" t="s">
        <v>92</v>
      </c>
      <c r="V129" s="1" t="s">
        <v>93</v>
      </c>
      <c r="W129" s="1" t="s">
        <v>17</v>
      </c>
      <c r="Y129" s="14"/>
      <c r="Z129" s="14"/>
      <c r="AA129" s="14"/>
      <c r="AB129" s="14"/>
      <c r="AC129" s="14"/>
      <c r="AD129" s="1"/>
      <c r="AE129" s="1"/>
      <c r="AF129" s="2">
        <f t="shared" si="22"/>
        <v>1</v>
      </c>
      <c r="AG129" s="82">
        <v>88</v>
      </c>
      <c r="AH129" s="82"/>
      <c r="AI129" s="86"/>
      <c r="AJ129" s="82" t="s">
        <v>448</v>
      </c>
      <c r="AK129" s="82" t="s">
        <v>516</v>
      </c>
      <c r="AL129" s="82" t="s">
        <v>17</v>
      </c>
      <c r="AM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</row>
    <row r="130" spans="1:88">
      <c r="P130" s="2">
        <f t="shared" si="28"/>
        <v>7</v>
      </c>
      <c r="Q130" s="12" t="s">
        <v>10</v>
      </c>
      <c r="R130" s="39" t="s">
        <v>178</v>
      </c>
      <c r="S130" s="39" t="s">
        <v>158</v>
      </c>
      <c r="T130" s="39" t="s">
        <v>12</v>
      </c>
      <c r="U130" s="39" t="s">
        <v>538</v>
      </c>
      <c r="V130" s="39" t="s">
        <v>13</v>
      </c>
      <c r="W130" s="39" t="s">
        <v>14</v>
      </c>
      <c r="X130" s="39" t="s">
        <v>15</v>
      </c>
      <c r="Y130" s="1" t="s">
        <v>17</v>
      </c>
      <c r="Z130" s="14"/>
      <c r="AA130" s="14"/>
      <c r="AB130" s="14"/>
      <c r="AC130" s="14"/>
      <c r="AD130" s="1"/>
      <c r="AE130" s="1"/>
      <c r="AF130" s="2">
        <f t="shared" si="22"/>
        <v>1</v>
      </c>
      <c r="AG130" s="82">
        <v>89</v>
      </c>
      <c r="AH130" s="82"/>
      <c r="AI130" s="86"/>
      <c r="AJ130" s="82" t="s">
        <v>120</v>
      </c>
      <c r="AL130" s="82" t="s">
        <v>17</v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</row>
    <row r="131" spans="1:88">
      <c r="P131" s="2"/>
      <c r="Q131" s="1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"/>
      <c r="AC131" s="1"/>
      <c r="AD131" s="1"/>
      <c r="AE131" s="1"/>
      <c r="AF131" s="2">
        <f t="shared" si="22"/>
        <v>1</v>
      </c>
      <c r="AG131" s="82">
        <v>90</v>
      </c>
      <c r="AH131" s="82"/>
      <c r="AI131" s="86"/>
      <c r="AJ131" s="82" t="s">
        <v>451</v>
      </c>
      <c r="AL131" s="82" t="s">
        <v>17</v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</row>
    <row r="132" spans="1:88">
      <c r="P132" s="2"/>
      <c r="Q132" s="13" t="s">
        <v>477</v>
      </c>
      <c r="R132" s="14"/>
      <c r="S132" s="1"/>
      <c r="T132" s="1"/>
      <c r="U132" s="1"/>
      <c r="V132" s="1"/>
      <c r="W132" s="14"/>
      <c r="X132" s="14"/>
      <c r="Y132" s="14"/>
      <c r="Z132" s="14"/>
      <c r="AA132" s="14"/>
      <c r="AB132" s="14"/>
      <c r="AC132" s="14"/>
      <c r="AD132" s="1"/>
      <c r="AE132" s="1"/>
      <c r="AF132" s="2">
        <f t="shared" si="22"/>
        <v>1</v>
      </c>
      <c r="AG132" s="82">
        <v>91</v>
      </c>
      <c r="AH132" s="82"/>
      <c r="AI132" s="86"/>
      <c r="AJ132" s="82" t="s">
        <v>290</v>
      </c>
      <c r="AL132" s="82" t="s">
        <v>17</v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</row>
    <row r="133" spans="1:88">
      <c r="P133" s="2">
        <f t="shared" ref="P133:P134" si="29">MATCH("\\",R133:AE133,0)-1</f>
        <v>5</v>
      </c>
      <c r="Q133" s="12" t="s">
        <v>9</v>
      </c>
      <c r="R133" s="14" t="s">
        <v>95</v>
      </c>
      <c r="S133" s="14" t="s">
        <v>91</v>
      </c>
      <c r="T133" s="14" t="s">
        <v>92</v>
      </c>
      <c r="U133" s="14" t="s">
        <v>93</v>
      </c>
      <c r="V133" s="14" t="s">
        <v>94</v>
      </c>
      <c r="W133" s="1" t="s">
        <v>17</v>
      </c>
      <c r="X133" s="17"/>
      <c r="Y133" s="14"/>
      <c r="Z133" s="14"/>
      <c r="AA133" s="14"/>
      <c r="AB133" s="14"/>
      <c r="AC133" s="14"/>
      <c r="AD133" s="1"/>
      <c r="AE133" s="1"/>
      <c r="AF133" s="2">
        <f t="shared" si="22"/>
        <v>1</v>
      </c>
      <c r="AG133" s="82">
        <v>92</v>
      </c>
      <c r="AH133" s="82"/>
      <c r="AI133" s="86"/>
      <c r="AJ133" s="82" t="s">
        <v>291</v>
      </c>
      <c r="AL133" s="82" t="s">
        <v>17</v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</row>
    <row r="134" spans="1:88">
      <c r="P134" s="2">
        <f t="shared" si="29"/>
        <v>9</v>
      </c>
      <c r="Q134" s="12" t="s">
        <v>10</v>
      </c>
      <c r="R134" s="39" t="s">
        <v>99</v>
      </c>
      <c r="S134" s="14" t="s">
        <v>12</v>
      </c>
      <c r="T134" s="14" t="s">
        <v>13</v>
      </c>
      <c r="U134" s="14" t="s">
        <v>14</v>
      </c>
      <c r="V134" s="14" t="s">
        <v>15</v>
      </c>
      <c r="W134" s="14" t="s">
        <v>141</v>
      </c>
      <c r="X134" s="14" t="s">
        <v>157</v>
      </c>
      <c r="Y134" s="14" t="s">
        <v>467</v>
      </c>
      <c r="Z134" s="14" t="s">
        <v>468</v>
      </c>
      <c r="AA134" s="1" t="s">
        <v>17</v>
      </c>
      <c r="AC134" s="14"/>
      <c r="AD134" s="1"/>
      <c r="AE134" s="1"/>
      <c r="AF134" s="2">
        <f t="shared" si="22"/>
        <v>1</v>
      </c>
      <c r="AG134" s="82">
        <v>93</v>
      </c>
      <c r="AH134" s="82"/>
      <c r="AI134" s="86"/>
      <c r="AJ134" s="82" t="s">
        <v>102</v>
      </c>
      <c r="AK134" s="82" t="s">
        <v>130</v>
      </c>
      <c r="AL134" s="82" t="s">
        <v>17</v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</row>
    <row r="135" spans="1:88">
      <c r="P135" s="2"/>
      <c r="AF135" s="2">
        <f t="shared" si="22"/>
        <v>2</v>
      </c>
      <c r="AG135" s="82">
        <v>94</v>
      </c>
      <c r="AH135" s="82"/>
      <c r="AI135" s="86"/>
      <c r="AJ135" s="82" t="s">
        <v>20</v>
      </c>
      <c r="AK135" s="82" t="s">
        <v>515</v>
      </c>
      <c r="AL135" s="82" t="s">
        <v>514</v>
      </c>
      <c r="AM135" s="82" t="s">
        <v>17</v>
      </c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</row>
    <row r="136" spans="1:88">
      <c r="A136" s="24"/>
      <c r="B136" s="38"/>
      <c r="C136" s="24"/>
      <c r="D136" s="24"/>
      <c r="E136" s="24"/>
      <c r="N136" s="12"/>
      <c r="O136" s="12"/>
      <c r="P136" s="2"/>
      <c r="Q136" s="13" t="s">
        <v>482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"/>
      <c r="AE136" s="1"/>
      <c r="AF136" s="2" t="e">
        <f t="shared" si="22"/>
        <v>#N/A</v>
      </c>
      <c r="AG136" s="82">
        <v>95</v>
      </c>
      <c r="AH136" s="82"/>
      <c r="AI136" s="86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</row>
    <row r="137" spans="1:88">
      <c r="A137" s="24"/>
      <c r="B137" s="38"/>
      <c r="C137" s="24"/>
      <c r="D137" s="24"/>
      <c r="E137" s="24"/>
      <c r="N137" s="12"/>
      <c r="O137" s="12"/>
      <c r="P137" s="2">
        <f t="shared" ref="P137:P138" si="30">MATCH("\\",R137:AE137,0)-1</f>
        <v>6</v>
      </c>
      <c r="Q137" s="12" t="s">
        <v>9</v>
      </c>
      <c r="R137" s="39" t="s">
        <v>95</v>
      </c>
      <c r="S137" s="39" t="s">
        <v>91</v>
      </c>
      <c r="T137" s="39" t="s">
        <v>91</v>
      </c>
      <c r="U137" s="14" t="s">
        <v>92</v>
      </c>
      <c r="V137" s="14" t="s">
        <v>93</v>
      </c>
      <c r="W137" s="14" t="s">
        <v>471</v>
      </c>
      <c r="X137" s="1" t="s">
        <v>17</v>
      </c>
      <c r="Y137" s="39"/>
      <c r="Z137" s="39"/>
      <c r="AA137" s="39"/>
      <c r="AB137" s="39"/>
      <c r="AC137" s="39"/>
      <c r="AD137" s="1"/>
      <c r="AE137" s="1"/>
      <c r="AF137" s="2">
        <f t="shared" si="22"/>
        <v>0</v>
      </c>
      <c r="AG137" s="82">
        <v>96</v>
      </c>
      <c r="AH137" s="82"/>
      <c r="AI137" s="86" t="s">
        <v>199</v>
      </c>
      <c r="AJ137" s="82" t="s">
        <v>19</v>
      </c>
      <c r="AK137" s="82" t="s">
        <v>17</v>
      </c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</row>
    <row r="138" spans="1:88">
      <c r="A138" s="24"/>
      <c r="B138" s="38"/>
      <c r="C138" s="24"/>
      <c r="D138" s="24"/>
      <c r="E138" s="24"/>
      <c r="N138" s="12"/>
      <c r="O138" s="12"/>
      <c r="P138" s="2">
        <f t="shared" si="30"/>
        <v>9</v>
      </c>
      <c r="Q138" s="12" t="s">
        <v>10</v>
      </c>
      <c r="R138" s="1" t="s">
        <v>178</v>
      </c>
      <c r="S138" s="1" t="s">
        <v>12</v>
      </c>
      <c r="T138" s="1" t="s">
        <v>13</v>
      </c>
      <c r="U138" s="1" t="s">
        <v>14</v>
      </c>
      <c r="V138" s="1" t="s">
        <v>15</v>
      </c>
      <c r="W138" s="1" t="s">
        <v>141</v>
      </c>
      <c r="X138" s="1" t="s">
        <v>142</v>
      </c>
      <c r="Y138" s="1" t="s">
        <v>143</v>
      </c>
      <c r="Z138" s="1" t="s">
        <v>144</v>
      </c>
      <c r="AA138" s="1" t="s">
        <v>17</v>
      </c>
      <c r="AF138" s="2">
        <f t="shared" si="22"/>
        <v>0</v>
      </c>
      <c r="AG138" s="82">
        <v>97</v>
      </c>
      <c r="AH138" s="82"/>
      <c r="AI138" s="86"/>
      <c r="AJ138" s="82" t="s">
        <v>86</v>
      </c>
      <c r="AK138" s="82" t="s">
        <v>17</v>
      </c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</row>
    <row r="139" spans="1:88">
      <c r="A139" s="24"/>
      <c r="B139" s="38"/>
      <c r="C139" s="24"/>
      <c r="D139" s="24"/>
      <c r="E139" s="24"/>
      <c r="N139" s="12"/>
      <c r="O139" s="12"/>
      <c r="P139" s="2"/>
      <c r="AF139" s="2">
        <f>MATCH("\\",AK139:BN139,0)-1</f>
        <v>0</v>
      </c>
      <c r="AG139" s="82">
        <v>98</v>
      </c>
      <c r="AH139" s="82"/>
      <c r="AI139" s="86"/>
      <c r="AJ139" s="82" t="s">
        <v>448</v>
      </c>
      <c r="AK139" s="82" t="s">
        <v>17</v>
      </c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</row>
    <row r="140" spans="1:88" ht="16" customHeight="1">
      <c r="A140" s="24"/>
      <c r="B140" s="38"/>
      <c r="C140" s="24"/>
      <c r="D140" s="24"/>
      <c r="E140" s="24"/>
      <c r="L140" s="44"/>
      <c r="M140" s="1"/>
      <c r="N140" s="2"/>
      <c r="O140" s="2"/>
      <c r="P140" s="2"/>
      <c r="Q140" s="13" t="s">
        <v>483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"/>
      <c r="AE140" s="1"/>
      <c r="AF140" s="2">
        <f t="shared" si="22"/>
        <v>0</v>
      </c>
      <c r="AG140" s="82">
        <v>99</v>
      </c>
      <c r="AH140" s="82"/>
      <c r="AI140" s="86"/>
      <c r="AJ140" s="82" t="s">
        <v>120</v>
      </c>
      <c r="AK140" s="82" t="s">
        <v>17</v>
      </c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CE140" s="17"/>
      <c r="CF140" s="17"/>
      <c r="CG140" s="17"/>
      <c r="CH140" s="17"/>
      <c r="CI140" s="17"/>
    </row>
    <row r="141" spans="1:88" ht="16" customHeight="1">
      <c r="A141" s="24"/>
      <c r="B141" s="38"/>
      <c r="C141" s="24"/>
      <c r="D141" s="24"/>
      <c r="E141" s="24"/>
      <c r="L141" s="44"/>
      <c r="M141" s="1"/>
      <c r="N141" s="2"/>
      <c r="O141" s="2"/>
      <c r="P141" s="2">
        <f t="shared" ref="P141:P142" si="31">MATCH("\\",R141:AE141,0)-1</f>
        <v>4</v>
      </c>
      <c r="Q141" s="12" t="s">
        <v>9</v>
      </c>
      <c r="R141" s="1" t="s">
        <v>93</v>
      </c>
      <c r="S141" s="1" t="s">
        <v>94</v>
      </c>
      <c r="T141" s="1" t="s">
        <v>133</v>
      </c>
      <c r="U141" s="39" t="s">
        <v>134</v>
      </c>
      <c r="V141" s="1" t="s">
        <v>17</v>
      </c>
      <c r="W141" s="14"/>
      <c r="X141" s="14"/>
      <c r="Y141" s="14"/>
      <c r="Z141" s="14"/>
      <c r="AA141" s="14"/>
      <c r="AB141" s="14"/>
      <c r="AC141" s="14"/>
      <c r="AD141" s="1"/>
      <c r="AE141" s="1"/>
      <c r="AF141" s="2">
        <f t="shared" si="22"/>
        <v>0</v>
      </c>
      <c r="AG141" s="82">
        <v>100</v>
      </c>
      <c r="AH141" s="82"/>
      <c r="AI141" s="86"/>
      <c r="AJ141" s="82" t="s">
        <v>451</v>
      </c>
      <c r="AK141" s="82" t="s">
        <v>17</v>
      </c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CJ141" s="17"/>
    </row>
    <row r="142" spans="1:88">
      <c r="A142" s="24"/>
      <c r="B142" s="38"/>
      <c r="C142" s="24"/>
      <c r="D142" s="24"/>
      <c r="E142" s="24"/>
      <c r="L142" s="44"/>
      <c r="M142" s="1"/>
      <c r="N142" s="2"/>
      <c r="O142" s="2"/>
      <c r="P142" s="2">
        <f t="shared" si="31"/>
        <v>8</v>
      </c>
      <c r="Q142" s="12" t="s">
        <v>10</v>
      </c>
      <c r="R142" s="1" t="s">
        <v>135</v>
      </c>
      <c r="S142" s="1" t="s">
        <v>136</v>
      </c>
      <c r="T142" s="39" t="s">
        <v>14</v>
      </c>
      <c r="U142" s="1" t="s">
        <v>137</v>
      </c>
      <c r="V142" s="1" t="s">
        <v>141</v>
      </c>
      <c r="W142" s="39" t="s">
        <v>157</v>
      </c>
      <c r="X142" s="1" t="s">
        <v>166</v>
      </c>
      <c r="Y142" s="39" t="s">
        <v>544</v>
      </c>
      <c r="Z142" s="1" t="s">
        <v>17</v>
      </c>
      <c r="AA142" s="14"/>
      <c r="AB142" s="14"/>
      <c r="AC142" s="14"/>
      <c r="AD142" s="1"/>
      <c r="AE142" s="1"/>
      <c r="AF142" s="2">
        <f t="shared" si="22"/>
        <v>0</v>
      </c>
      <c r="AG142" s="82">
        <v>101</v>
      </c>
      <c r="AH142" s="82"/>
      <c r="AI142" s="86"/>
      <c r="AJ142" s="82" t="s">
        <v>290</v>
      </c>
      <c r="AK142" s="82" t="s">
        <v>17</v>
      </c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3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</row>
    <row r="143" spans="1:88">
      <c r="A143" s="24"/>
      <c r="B143" s="38"/>
      <c r="C143" s="24"/>
      <c r="D143" s="24"/>
      <c r="E143" s="24"/>
      <c r="L143" s="44"/>
      <c r="M143" s="1"/>
      <c r="N143" s="2"/>
      <c r="O143" s="2"/>
      <c r="P143" s="2"/>
      <c r="AF143" s="2">
        <f t="shared" si="22"/>
        <v>0</v>
      </c>
      <c r="AG143" s="82">
        <v>102</v>
      </c>
      <c r="AH143" s="82"/>
      <c r="AI143" s="86"/>
      <c r="AJ143" s="82" t="s">
        <v>291</v>
      </c>
      <c r="AK143" s="82" t="s">
        <v>17</v>
      </c>
      <c r="AL143" s="82"/>
      <c r="AM143" s="82"/>
      <c r="AN143" s="82"/>
      <c r="AO143" s="82"/>
      <c r="AP143" s="82"/>
      <c r="AQ143" s="82"/>
      <c r="AR143" s="82"/>
      <c r="AS143" s="82"/>
      <c r="AT143" s="82"/>
      <c r="AU143" s="83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</row>
    <row r="144" spans="1:88" ht="16" customHeight="1">
      <c r="A144" s="24"/>
      <c r="B144" s="38"/>
      <c r="C144" s="24"/>
      <c r="D144" s="24"/>
      <c r="E144" s="24"/>
      <c r="L144" s="44"/>
      <c r="M144" s="1"/>
      <c r="N144" s="2"/>
      <c r="O144" s="2"/>
      <c r="P144" s="2"/>
      <c r="Q144" s="13" t="s">
        <v>204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"/>
      <c r="AE144" s="1"/>
      <c r="AF144" s="2">
        <f t="shared" si="22"/>
        <v>0</v>
      </c>
      <c r="AG144" s="82">
        <v>103</v>
      </c>
      <c r="AH144" s="82"/>
      <c r="AI144" s="86"/>
      <c r="AJ144" s="82" t="s">
        <v>102</v>
      </c>
      <c r="AK144" s="82" t="s">
        <v>17</v>
      </c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CE144" s="17"/>
      <c r="CF144" s="17"/>
      <c r="CG144" s="17"/>
      <c r="CH144" s="17"/>
      <c r="CI144" s="17"/>
    </row>
    <row r="145" spans="1:88" ht="16" customHeight="1">
      <c r="A145" s="24"/>
      <c r="B145" s="38"/>
      <c r="C145" s="24"/>
      <c r="D145" s="24"/>
      <c r="E145" s="24"/>
      <c r="L145" s="44"/>
      <c r="M145" s="1"/>
      <c r="N145" s="2"/>
      <c r="O145" s="2"/>
      <c r="P145" s="2">
        <f t="shared" ref="P145:P146" si="32">MATCH("\\",R145:AE145,0)-1</f>
        <v>1</v>
      </c>
      <c r="Q145" s="12" t="s">
        <v>9</v>
      </c>
      <c r="R145" s="1" t="s">
        <v>206</v>
      </c>
      <c r="S145" s="1" t="s">
        <v>17</v>
      </c>
      <c r="T145" s="1"/>
      <c r="U145" s="39"/>
      <c r="V145" s="1"/>
      <c r="W145" s="14"/>
      <c r="X145" s="14"/>
      <c r="Y145" s="14"/>
      <c r="Z145" s="14"/>
      <c r="AA145" s="14"/>
      <c r="AB145" s="14"/>
      <c r="AC145" s="14"/>
      <c r="AD145" s="1"/>
      <c r="AE145" s="1"/>
      <c r="AF145" s="2">
        <f t="shared" si="22"/>
        <v>0</v>
      </c>
      <c r="AG145" s="82">
        <v>104</v>
      </c>
      <c r="AH145" s="82"/>
      <c r="AI145" s="86"/>
      <c r="AJ145" s="82" t="s">
        <v>20</v>
      </c>
      <c r="AK145" s="82" t="s">
        <v>17</v>
      </c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CJ145" s="17"/>
    </row>
    <row r="146" spans="1:88">
      <c r="A146" s="24"/>
      <c r="B146" s="38"/>
      <c r="C146" s="24"/>
      <c r="D146" s="24"/>
      <c r="E146" s="24"/>
      <c r="L146" s="44"/>
      <c r="M146" s="1"/>
      <c r="N146" s="2"/>
      <c r="O146" s="2"/>
      <c r="P146" s="2">
        <f t="shared" si="32"/>
        <v>2</v>
      </c>
      <c r="Q146" s="12" t="s">
        <v>10</v>
      </c>
      <c r="R146" s="1" t="s">
        <v>138</v>
      </c>
      <c r="S146" s="1" t="s">
        <v>208</v>
      </c>
      <c r="T146" s="1" t="s">
        <v>17</v>
      </c>
      <c r="U146" s="1"/>
      <c r="V146" s="1"/>
      <c r="W146" s="39"/>
      <c r="X146" s="1"/>
      <c r="Y146" s="14"/>
      <c r="Z146" s="14"/>
      <c r="AA146" s="14"/>
      <c r="AB146" s="14"/>
      <c r="AC146" s="14"/>
      <c r="AD146" s="1"/>
      <c r="AE146" s="1"/>
      <c r="AF146" s="2" t="e">
        <f t="shared" si="22"/>
        <v>#N/A</v>
      </c>
      <c r="AG146" s="82">
        <v>105</v>
      </c>
      <c r="AH146" s="82"/>
      <c r="AI146" s="86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</row>
    <row r="147" spans="1:88">
      <c r="A147" s="24"/>
      <c r="B147" s="38"/>
      <c r="C147" s="24"/>
      <c r="D147" s="24"/>
      <c r="E147" s="24"/>
      <c r="L147" s="44"/>
      <c r="M147" s="1"/>
      <c r="N147" s="2"/>
      <c r="O147" s="2"/>
      <c r="AF147" s="2">
        <f t="shared" si="22"/>
        <v>1</v>
      </c>
      <c r="AG147" s="82">
        <v>106</v>
      </c>
      <c r="AH147" s="82"/>
      <c r="AI147" s="86" t="s">
        <v>179</v>
      </c>
      <c r="AJ147" s="82" t="s">
        <v>19</v>
      </c>
      <c r="AL147" s="82" t="s">
        <v>17</v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</row>
    <row r="148" spans="1:88">
      <c r="Q148" s="13" t="s">
        <v>558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"/>
      <c r="AF148" s="2">
        <f t="shared" si="22"/>
        <v>1</v>
      </c>
      <c r="AG148" s="82">
        <v>107</v>
      </c>
      <c r="AH148" s="82"/>
      <c r="AI148" s="86"/>
      <c r="AJ148" s="82" t="s">
        <v>86</v>
      </c>
      <c r="AL148" s="82" t="s">
        <v>17</v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</row>
    <row r="149" spans="1:88">
      <c r="P149" s="2">
        <f t="shared" ref="P149:P150" si="33">MATCH("\\",R149:AE149,0)-1</f>
        <v>4</v>
      </c>
      <c r="Q149" s="12" t="s">
        <v>9</v>
      </c>
      <c r="R149" s="39" t="s">
        <v>95</v>
      </c>
      <c r="S149" s="39" t="s">
        <v>91</v>
      </c>
      <c r="T149" s="14" t="s">
        <v>92</v>
      </c>
      <c r="U149" s="14" t="s">
        <v>93</v>
      </c>
      <c r="V149" s="1" t="s">
        <v>17</v>
      </c>
      <c r="W149" s="1"/>
      <c r="Y149" s="39"/>
      <c r="Z149" s="39"/>
      <c r="AA149" s="39"/>
      <c r="AB149" s="39"/>
      <c r="AC149" s="39"/>
      <c r="AD149" s="1"/>
      <c r="AF149" s="2">
        <f t="shared" si="22"/>
        <v>1</v>
      </c>
      <c r="AG149" s="82">
        <v>108</v>
      </c>
      <c r="AH149" s="82"/>
      <c r="AI149" s="86"/>
      <c r="AJ149" s="82" t="s">
        <v>448</v>
      </c>
      <c r="AL149" s="82" t="s">
        <v>17</v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</row>
    <row r="150" spans="1:88">
      <c r="P150" s="2">
        <f t="shared" si="33"/>
        <v>7</v>
      </c>
      <c r="Q150" s="12" t="s">
        <v>10</v>
      </c>
      <c r="R150" s="1" t="s">
        <v>13</v>
      </c>
      <c r="S150" s="1" t="s">
        <v>14</v>
      </c>
      <c r="T150" s="1" t="s">
        <v>15</v>
      </c>
      <c r="U150" s="1" t="s">
        <v>141</v>
      </c>
      <c r="V150" s="1" t="s">
        <v>142</v>
      </c>
      <c r="W150" s="1" t="s">
        <v>143</v>
      </c>
      <c r="X150" s="1" t="s">
        <v>144</v>
      </c>
      <c r="Y150" s="1" t="s">
        <v>17</v>
      </c>
      <c r="Z150" s="1"/>
      <c r="AA150" s="1"/>
      <c r="AB150" s="1"/>
      <c r="AC150" s="1"/>
      <c r="AD150" s="1"/>
      <c r="AF150" s="2">
        <f t="shared" si="22"/>
        <v>1</v>
      </c>
      <c r="AG150" s="82">
        <v>109</v>
      </c>
      <c r="AH150" s="82"/>
      <c r="AI150" s="86"/>
      <c r="AJ150" s="82" t="s">
        <v>120</v>
      </c>
      <c r="AL150" s="82" t="s">
        <v>17</v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</row>
    <row r="151" spans="1:88">
      <c r="AF151" s="2">
        <f t="shared" si="22"/>
        <v>1</v>
      </c>
      <c r="AG151" s="82">
        <v>110</v>
      </c>
      <c r="AH151" s="82"/>
      <c r="AI151" s="86"/>
      <c r="AJ151" s="82" t="s">
        <v>451</v>
      </c>
      <c r="AL151" s="82" t="s">
        <v>17</v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</row>
    <row r="152" spans="1:88">
      <c r="Q152" s="13" t="s">
        <v>559</v>
      </c>
      <c r="R152" s="14"/>
      <c r="S152" s="14"/>
      <c r="T152" s="14"/>
      <c r="U152" s="14"/>
      <c r="V152" s="14"/>
      <c r="W152" s="14"/>
      <c r="X152" s="14"/>
      <c r="Y152" s="14"/>
      <c r="AF152" s="2">
        <f t="shared" si="22"/>
        <v>1</v>
      </c>
      <c r="AG152" s="82">
        <v>111</v>
      </c>
      <c r="AH152" s="82"/>
      <c r="AI152" s="86"/>
      <c r="AJ152" s="82" t="s">
        <v>290</v>
      </c>
      <c r="AL152" s="82" t="s">
        <v>17</v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</row>
    <row r="153" spans="1:88">
      <c r="P153" s="2">
        <f t="shared" ref="P153:P154" si="34">MATCH("\\",R153:AE153,0)-1</f>
        <v>4</v>
      </c>
      <c r="Q153" s="12" t="s">
        <v>9</v>
      </c>
      <c r="R153" s="39" t="s">
        <v>95</v>
      </c>
      <c r="S153" s="39" t="s">
        <v>91</v>
      </c>
      <c r="T153" s="14" t="s">
        <v>92</v>
      </c>
      <c r="U153" s="14" t="s">
        <v>93</v>
      </c>
      <c r="V153" s="1" t="s">
        <v>17</v>
      </c>
      <c r="W153" s="1"/>
      <c r="Y153" s="39"/>
      <c r="AF153" s="2">
        <f t="shared" si="22"/>
        <v>1</v>
      </c>
      <c r="AG153" s="82">
        <v>112</v>
      </c>
      <c r="AH153" s="82"/>
      <c r="AI153" s="86"/>
      <c r="AJ153" s="82" t="s">
        <v>291</v>
      </c>
      <c r="AL153" s="82" t="s">
        <v>17</v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</row>
    <row r="154" spans="1:88">
      <c r="P154" s="2">
        <f t="shared" si="34"/>
        <v>7</v>
      </c>
      <c r="Q154" s="12" t="s">
        <v>10</v>
      </c>
      <c r="R154" s="1" t="s">
        <v>13</v>
      </c>
      <c r="S154" s="1" t="s">
        <v>14</v>
      </c>
      <c r="T154" s="1" t="s">
        <v>15</v>
      </c>
      <c r="U154" s="1" t="s">
        <v>141</v>
      </c>
      <c r="V154" s="1" t="s">
        <v>142</v>
      </c>
      <c r="W154" s="1" t="s">
        <v>143</v>
      </c>
      <c r="X154" s="1" t="s">
        <v>144</v>
      </c>
      <c r="Y154" s="1" t="s">
        <v>17</v>
      </c>
      <c r="AF154" s="2">
        <f t="shared" si="22"/>
        <v>1</v>
      </c>
      <c r="AG154" s="82">
        <v>113</v>
      </c>
      <c r="AH154" s="82"/>
      <c r="AI154" s="86"/>
      <c r="AJ154" s="82" t="s">
        <v>102</v>
      </c>
      <c r="AL154" s="82" t="s">
        <v>17</v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</row>
    <row r="155" spans="1:88">
      <c r="AF155" s="2">
        <f t="shared" si="22"/>
        <v>1</v>
      </c>
      <c r="AG155" s="82">
        <v>114</v>
      </c>
      <c r="AH155" s="82"/>
      <c r="AI155" s="86"/>
      <c r="AJ155" s="82" t="s">
        <v>20</v>
      </c>
      <c r="AL155" s="82" t="s">
        <v>17</v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3"/>
      <c r="BL155" s="82"/>
      <c r="BM155" s="82"/>
      <c r="BN155" s="82"/>
      <c r="BO155" s="82"/>
      <c r="BP155" s="82"/>
      <c r="BQ155" s="82"/>
      <c r="BR155" s="82"/>
      <c r="BS155" s="82"/>
    </row>
    <row r="156" spans="1:88">
      <c r="Q156" s="13" t="s">
        <v>560</v>
      </c>
      <c r="R156" s="14"/>
      <c r="S156" s="14"/>
      <c r="T156" s="14"/>
      <c r="U156" s="14"/>
      <c r="V156" s="14"/>
      <c r="W156" s="14"/>
      <c r="X156" s="14"/>
      <c r="Y156" s="14"/>
      <c r="AF156" s="2" t="e">
        <f t="shared" si="22"/>
        <v>#N/A</v>
      </c>
      <c r="AG156" s="82">
        <v>115</v>
      </c>
      <c r="AH156" s="82"/>
      <c r="AI156" s="86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3"/>
      <c r="BK156" s="82"/>
      <c r="BL156" s="82"/>
      <c r="BM156" s="82"/>
      <c r="BN156" s="82"/>
      <c r="BO156" s="82"/>
      <c r="BP156" s="82"/>
      <c r="BQ156" s="82"/>
      <c r="BR156" s="82"/>
      <c r="BS156" s="82"/>
    </row>
    <row r="157" spans="1:88">
      <c r="P157" s="2">
        <f t="shared" ref="P157:P158" si="35">MATCH("\\",R157:AE157,0)-1</f>
        <v>4</v>
      </c>
      <c r="Q157" s="12" t="s">
        <v>9</v>
      </c>
      <c r="R157" s="39" t="s">
        <v>95</v>
      </c>
      <c r="S157" s="39" t="s">
        <v>91</v>
      </c>
      <c r="T157" s="14" t="s">
        <v>92</v>
      </c>
      <c r="U157" s="14" t="s">
        <v>93</v>
      </c>
      <c r="V157" s="1" t="s">
        <v>17</v>
      </c>
      <c r="W157" s="1"/>
      <c r="Y157" s="39"/>
      <c r="AF157" s="2">
        <f t="shared" si="22"/>
        <v>2</v>
      </c>
      <c r="AG157" s="82">
        <v>116</v>
      </c>
      <c r="AH157" s="86" t="s">
        <v>320</v>
      </c>
      <c r="AI157" s="86" t="s">
        <v>419</v>
      </c>
      <c r="AJ157" s="82" t="s">
        <v>20</v>
      </c>
      <c r="AK157" s="82" t="s">
        <v>167</v>
      </c>
      <c r="AL157" s="82" t="s">
        <v>322</v>
      </c>
      <c r="AM157" s="82" t="s">
        <v>17</v>
      </c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3"/>
      <c r="BL157" s="82"/>
      <c r="BM157" s="82"/>
      <c r="BN157" s="82"/>
      <c r="BO157" s="82"/>
      <c r="BP157" s="82"/>
      <c r="BQ157" s="82"/>
      <c r="BR157" s="82"/>
      <c r="BS157" s="82"/>
    </row>
    <row r="158" spans="1:88">
      <c r="P158" s="2">
        <f t="shared" si="35"/>
        <v>7</v>
      </c>
      <c r="Q158" s="12" t="s">
        <v>10</v>
      </c>
      <c r="R158" s="1" t="s">
        <v>13</v>
      </c>
      <c r="S158" s="1" t="s">
        <v>14</v>
      </c>
      <c r="T158" s="1" t="s">
        <v>15</v>
      </c>
      <c r="U158" s="1" t="s">
        <v>141</v>
      </c>
      <c r="V158" s="1" t="s">
        <v>142</v>
      </c>
      <c r="W158" s="1" t="s">
        <v>143</v>
      </c>
      <c r="X158" s="1" t="s">
        <v>144</v>
      </c>
      <c r="Y158" s="1" t="s">
        <v>17</v>
      </c>
      <c r="AF158" s="2">
        <f t="shared" si="22"/>
        <v>2</v>
      </c>
      <c r="AG158" s="82">
        <v>117</v>
      </c>
      <c r="AH158" s="82"/>
      <c r="AI158" s="86" t="s">
        <v>101</v>
      </c>
      <c r="AJ158" s="82" t="s">
        <v>20</v>
      </c>
      <c r="AK158" s="82" t="s">
        <v>455</v>
      </c>
      <c r="AL158" s="82" t="s">
        <v>456</v>
      </c>
      <c r="AM158" s="82" t="s">
        <v>149</v>
      </c>
      <c r="AN158" s="82"/>
      <c r="AO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3"/>
      <c r="BL158" s="82"/>
      <c r="BM158" s="82"/>
      <c r="BN158" s="82"/>
      <c r="BO158" s="82"/>
      <c r="BP158" s="82"/>
      <c r="BQ158" s="82"/>
      <c r="BR158" s="82"/>
      <c r="BS158" s="82"/>
    </row>
    <row r="159" spans="1:88">
      <c r="AF159" s="2">
        <f t="shared" si="22"/>
        <v>1</v>
      </c>
      <c r="AG159" s="82">
        <v>118</v>
      </c>
      <c r="AH159" s="82"/>
      <c r="AI159" s="86"/>
      <c r="AJ159" s="82" t="s">
        <v>20</v>
      </c>
      <c r="AK159" s="82" t="s">
        <v>167</v>
      </c>
      <c r="AL159" s="82" t="s">
        <v>17</v>
      </c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3"/>
      <c r="BL159" s="82"/>
      <c r="BM159" s="82"/>
      <c r="BN159" s="82"/>
      <c r="BO159" s="82"/>
      <c r="BP159" s="82"/>
      <c r="BQ159" s="82"/>
      <c r="BR159" s="82"/>
      <c r="BS159" s="82"/>
    </row>
    <row r="160" spans="1:88">
      <c r="Q160" s="13" t="s">
        <v>561</v>
      </c>
      <c r="R160" s="14"/>
      <c r="S160" s="14"/>
      <c r="T160" s="14"/>
      <c r="U160" s="14"/>
      <c r="V160" s="14"/>
      <c r="W160" s="14"/>
      <c r="X160" s="14"/>
      <c r="Y160" s="14"/>
      <c r="AF160" s="2">
        <f t="shared" si="22"/>
        <v>1</v>
      </c>
      <c r="AG160" s="82">
        <v>119</v>
      </c>
      <c r="AH160" s="86" t="s">
        <v>321</v>
      </c>
      <c r="AI160" s="86" t="s">
        <v>453</v>
      </c>
      <c r="AJ160" s="82" t="s">
        <v>102</v>
      </c>
      <c r="AK160" s="82" t="s">
        <v>130</v>
      </c>
      <c r="AL160" s="82" t="s">
        <v>17</v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</row>
    <row r="161" spans="16:71">
      <c r="P161" s="2">
        <f t="shared" ref="P161:P162" si="36">MATCH("\\",R161:AE161,0)-1</f>
        <v>4</v>
      </c>
      <c r="Q161" s="12" t="s">
        <v>9</v>
      </c>
      <c r="R161" s="39" t="s">
        <v>95</v>
      </c>
      <c r="S161" s="39" t="s">
        <v>91</v>
      </c>
      <c r="T161" s="14" t="s">
        <v>92</v>
      </c>
      <c r="U161" s="14" t="s">
        <v>93</v>
      </c>
      <c r="V161" s="1" t="s">
        <v>17</v>
      </c>
      <c r="W161" s="1"/>
      <c r="Y161" s="39"/>
      <c r="AF161" s="2" t="e">
        <f t="shared" si="22"/>
        <v>#N/A</v>
      </c>
      <c r="AG161" s="82">
        <v>120</v>
      </c>
      <c r="AH161" s="82"/>
      <c r="AI161" s="86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</row>
    <row r="162" spans="16:71">
      <c r="P162" s="2">
        <f t="shared" si="36"/>
        <v>3</v>
      </c>
      <c r="Q162" s="12" t="s">
        <v>10</v>
      </c>
      <c r="R162" s="1" t="s">
        <v>13</v>
      </c>
      <c r="S162" s="1" t="s">
        <v>14</v>
      </c>
      <c r="T162" s="1" t="s">
        <v>15</v>
      </c>
      <c r="U162" s="1" t="s">
        <v>17</v>
      </c>
      <c r="AF162" s="2">
        <f t="shared" si="22"/>
        <v>2</v>
      </c>
      <c r="AG162" s="82">
        <v>121</v>
      </c>
      <c r="AH162" s="86" t="s">
        <v>289</v>
      </c>
      <c r="AI162" s="86" t="s">
        <v>281</v>
      </c>
      <c r="AJ162" s="82" t="s">
        <v>105</v>
      </c>
      <c r="AK162" s="82" t="s">
        <v>404</v>
      </c>
      <c r="AL162" s="82" t="s">
        <v>405</v>
      </c>
      <c r="AM162" s="82" t="s">
        <v>17</v>
      </c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</row>
    <row r="163" spans="16:71">
      <c r="AF163" s="2">
        <f t="shared" si="22"/>
        <v>2</v>
      </c>
      <c r="AG163" s="82">
        <v>122</v>
      </c>
      <c r="AH163" s="82"/>
      <c r="AI163" s="86"/>
      <c r="AJ163" s="82" t="s">
        <v>106</v>
      </c>
      <c r="AK163" s="82" t="s">
        <v>406</v>
      </c>
      <c r="AL163" s="82" t="s">
        <v>407</v>
      </c>
      <c r="AM163" s="82" t="s">
        <v>17</v>
      </c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</row>
    <row r="164" spans="16:71">
      <c r="Q164" s="13" t="s">
        <v>522</v>
      </c>
      <c r="AF164" s="2">
        <f t="shared" si="22"/>
        <v>2</v>
      </c>
      <c r="AG164" s="82">
        <v>123</v>
      </c>
      <c r="AH164" s="82"/>
      <c r="AI164" s="86" t="s">
        <v>282</v>
      </c>
      <c r="AJ164" s="82" t="s">
        <v>105</v>
      </c>
      <c r="AK164" s="82" t="s">
        <v>408</v>
      </c>
      <c r="AL164" s="82" t="s">
        <v>409</v>
      </c>
      <c r="AM164" s="82" t="s">
        <v>17</v>
      </c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</row>
    <row r="165" spans="16:71">
      <c r="P165" s="2">
        <f t="shared" ref="P165:P166" si="37">MATCH("\\",R165:AE165,0)-1</f>
        <v>2</v>
      </c>
      <c r="Q165" s="12" t="s">
        <v>9</v>
      </c>
      <c r="R165" s="39" t="s">
        <v>504</v>
      </c>
      <c r="S165" s="1" t="s">
        <v>505</v>
      </c>
      <c r="T165" s="1" t="s">
        <v>17</v>
      </c>
      <c r="AF165" s="2">
        <f t="shared" si="22"/>
        <v>2</v>
      </c>
      <c r="AG165" s="82">
        <v>124</v>
      </c>
      <c r="AH165" s="82"/>
      <c r="AI165" s="86"/>
      <c r="AJ165" s="82" t="s">
        <v>106</v>
      </c>
      <c r="AK165" s="82" t="s">
        <v>410</v>
      </c>
      <c r="AL165" s="82" t="s">
        <v>411</v>
      </c>
      <c r="AM165" s="82" t="s">
        <v>17</v>
      </c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</row>
    <row r="166" spans="16:71">
      <c r="P166" s="2">
        <f t="shared" si="37"/>
        <v>2</v>
      </c>
      <c r="Q166" s="12" t="s">
        <v>10</v>
      </c>
      <c r="R166" s="39" t="s">
        <v>166</v>
      </c>
      <c r="S166" s="39" t="s">
        <v>193</v>
      </c>
      <c r="T166" s="1" t="s">
        <v>17</v>
      </c>
      <c r="AF166" s="2">
        <f t="shared" si="22"/>
        <v>1</v>
      </c>
      <c r="AG166" s="82">
        <v>125</v>
      </c>
      <c r="AH166" s="82"/>
      <c r="AI166" s="86" t="s">
        <v>268</v>
      </c>
      <c r="AJ166" s="82" t="s">
        <v>105</v>
      </c>
      <c r="AL166" s="82" t="s">
        <v>17</v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</row>
    <row r="167" spans="16:71">
      <c r="AF167" s="2">
        <f t="shared" si="22"/>
        <v>1</v>
      </c>
      <c r="AG167" s="82">
        <v>126</v>
      </c>
      <c r="AH167" s="82"/>
      <c r="AI167" s="86"/>
      <c r="AJ167" s="82" t="s">
        <v>106</v>
      </c>
      <c r="AL167" s="82" t="s">
        <v>17</v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</row>
    <row r="168" spans="16:71">
      <c r="Q168" s="13" t="s">
        <v>524</v>
      </c>
      <c r="AF168" s="2">
        <f t="shared" si="22"/>
        <v>7</v>
      </c>
      <c r="AG168" s="82">
        <v>127</v>
      </c>
      <c r="AH168" s="82"/>
      <c r="AI168" s="86"/>
      <c r="AJ168" s="82" t="s">
        <v>303</v>
      </c>
      <c r="AK168" s="82" t="s">
        <v>147</v>
      </c>
      <c r="AL168" s="82" t="s">
        <v>148</v>
      </c>
      <c r="AM168" s="82" t="s">
        <v>292</v>
      </c>
      <c r="AN168" s="82" t="s">
        <v>293</v>
      </c>
      <c r="AO168" s="82" t="s">
        <v>196</v>
      </c>
      <c r="AP168" s="82" t="s">
        <v>296</v>
      </c>
      <c r="AQ168" s="82" t="s">
        <v>535</v>
      </c>
      <c r="AR168" s="82" t="s">
        <v>17</v>
      </c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</row>
    <row r="169" spans="16:71">
      <c r="P169" s="2">
        <f t="shared" ref="P169:P170" si="38">MATCH("\\",R169:AE169,0)-1</f>
        <v>4</v>
      </c>
      <c r="Q169" s="12" t="s">
        <v>9</v>
      </c>
      <c r="R169" s="39" t="s">
        <v>206</v>
      </c>
      <c r="S169" s="39" t="s">
        <v>555</v>
      </c>
      <c r="T169" s="39" t="s">
        <v>504</v>
      </c>
      <c r="U169" s="39" t="s">
        <v>91</v>
      </c>
      <c r="V169" s="1" t="s">
        <v>17</v>
      </c>
      <c r="AF169" s="2">
        <f t="shared" si="22"/>
        <v>1</v>
      </c>
      <c r="AG169" s="82">
        <v>128</v>
      </c>
      <c r="AH169" s="86"/>
      <c r="AI169" s="86"/>
      <c r="AJ169" s="82" t="s">
        <v>303</v>
      </c>
      <c r="AK169" s="82"/>
      <c r="AL169" s="82" t="s">
        <v>17</v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</row>
    <row r="170" spans="16:71">
      <c r="P170" s="2">
        <f t="shared" si="38"/>
        <v>6</v>
      </c>
      <c r="Q170" s="12" t="s">
        <v>10</v>
      </c>
      <c r="R170" s="39" t="s">
        <v>138</v>
      </c>
      <c r="S170" s="39" t="s">
        <v>139</v>
      </c>
      <c r="T170" s="1" t="s">
        <v>140</v>
      </c>
      <c r="U170" s="39" t="s">
        <v>11</v>
      </c>
      <c r="V170" s="39" t="s">
        <v>178</v>
      </c>
      <c r="W170" s="1" t="s">
        <v>12</v>
      </c>
      <c r="X170" s="1" t="s">
        <v>17</v>
      </c>
      <c r="AF170" s="2">
        <f t="shared" si="22"/>
        <v>5</v>
      </c>
      <c r="AG170" s="82">
        <v>129</v>
      </c>
      <c r="AH170" s="86" t="s">
        <v>420</v>
      </c>
      <c r="AI170" s="86" t="s">
        <v>281</v>
      </c>
      <c r="AJ170" s="82" t="s">
        <v>127</v>
      </c>
      <c r="AK170" s="82" t="s">
        <v>304</v>
      </c>
      <c r="AL170" s="82" t="s">
        <v>305</v>
      </c>
      <c r="AM170" s="82" t="s">
        <v>306</v>
      </c>
      <c r="AN170" s="82" t="s">
        <v>510</v>
      </c>
      <c r="AO170" s="82" t="s">
        <v>511</v>
      </c>
      <c r="AP170" s="82" t="s">
        <v>149</v>
      </c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</row>
    <row r="171" spans="16:71">
      <c r="AF171" s="2">
        <f t="shared" ref="AF171:AF202" si="39">MATCH("\\",AK171:BN171,0)-1</f>
        <v>3</v>
      </c>
      <c r="AG171" s="82">
        <v>130</v>
      </c>
      <c r="AH171" s="86"/>
      <c r="AI171" s="86" t="s">
        <v>282</v>
      </c>
      <c r="AJ171" s="82" t="s">
        <v>127</v>
      </c>
      <c r="AK171" s="82" t="s">
        <v>312</v>
      </c>
      <c r="AL171" s="82" t="s">
        <v>412</v>
      </c>
      <c r="AM171" s="82" t="s">
        <v>413</v>
      </c>
      <c r="AN171" s="82" t="s">
        <v>17</v>
      </c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</row>
    <row r="172" spans="16:71">
      <c r="Q172" s="13" t="s">
        <v>556</v>
      </c>
      <c r="AF172" s="2">
        <f t="shared" si="39"/>
        <v>1</v>
      </c>
      <c r="AG172" s="82">
        <v>131</v>
      </c>
      <c r="AH172" s="86"/>
      <c r="AI172" s="86" t="s">
        <v>268</v>
      </c>
      <c r="AJ172" s="82" t="s">
        <v>127</v>
      </c>
      <c r="AK172" s="82"/>
      <c r="AL172" s="82" t="s">
        <v>17</v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</row>
    <row r="173" spans="16:71">
      <c r="P173" s="2">
        <f t="shared" ref="P173:P174" si="40">MATCH("\\",R173:AE173,0)-1</f>
        <v>5</v>
      </c>
      <c r="Q173" s="12" t="s">
        <v>9</v>
      </c>
      <c r="R173" s="39" t="s">
        <v>95</v>
      </c>
      <c r="S173" s="39" t="s">
        <v>91</v>
      </c>
      <c r="T173" s="14" t="s">
        <v>92</v>
      </c>
      <c r="U173" s="14" t="s">
        <v>93</v>
      </c>
      <c r="V173" s="14" t="s">
        <v>94</v>
      </c>
      <c r="W173" s="1" t="s">
        <v>17</v>
      </c>
      <c r="AF173" s="2" t="e">
        <f t="shared" si="39"/>
        <v>#N/A</v>
      </c>
      <c r="AG173" s="82">
        <v>132</v>
      </c>
      <c r="AH173" s="86"/>
      <c r="AI173" s="86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</row>
    <row r="174" spans="16:71">
      <c r="P174" s="2">
        <f t="shared" si="40"/>
        <v>10</v>
      </c>
      <c r="Q174" s="12" t="s">
        <v>10</v>
      </c>
      <c r="R174" s="1" t="s">
        <v>11</v>
      </c>
      <c r="S174" s="1" t="s">
        <v>178</v>
      </c>
      <c r="T174" s="1" t="s">
        <v>12</v>
      </c>
      <c r="U174" s="1" t="s">
        <v>13</v>
      </c>
      <c r="V174" s="1" t="s">
        <v>14</v>
      </c>
      <c r="W174" s="1" t="s">
        <v>15</v>
      </c>
      <c r="X174" s="1" t="s">
        <v>141</v>
      </c>
      <c r="Y174" s="1" t="s">
        <v>142</v>
      </c>
      <c r="Z174" s="1" t="s">
        <v>143</v>
      </c>
      <c r="AA174" s="1" t="s">
        <v>144</v>
      </c>
      <c r="AB174" s="1" t="s">
        <v>17</v>
      </c>
      <c r="AC174" s="2"/>
      <c r="AF174" s="2">
        <f t="shared" si="39"/>
        <v>7</v>
      </c>
      <c r="AG174" s="82">
        <v>133</v>
      </c>
      <c r="AH174" s="86"/>
      <c r="AI174" s="86"/>
      <c r="AJ174" s="82" t="s">
        <v>317</v>
      </c>
      <c r="AK174" s="82" t="s">
        <v>147</v>
      </c>
      <c r="AL174" s="82" t="s">
        <v>148</v>
      </c>
      <c r="AM174" s="82" t="s">
        <v>292</v>
      </c>
      <c r="AN174" s="82" t="s">
        <v>293</v>
      </c>
      <c r="AO174" s="82" t="s">
        <v>196</v>
      </c>
      <c r="AP174" s="82" t="s">
        <v>296</v>
      </c>
      <c r="AQ174" s="82" t="s">
        <v>535</v>
      </c>
      <c r="AR174" s="82" t="s">
        <v>17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</row>
    <row r="175" spans="16:71">
      <c r="AF175" s="2">
        <f t="shared" si="39"/>
        <v>1</v>
      </c>
      <c r="AG175" s="82">
        <v>134</v>
      </c>
      <c r="AH175" s="86"/>
      <c r="AI175" s="86"/>
      <c r="AJ175" s="82" t="s">
        <v>317</v>
      </c>
      <c r="AK175" s="82"/>
      <c r="AL175" s="82" t="s">
        <v>17</v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</row>
    <row r="176" spans="16:71">
      <c r="Q176" s="13" t="s">
        <v>537</v>
      </c>
      <c r="AF176" s="2" t="e">
        <f t="shared" si="39"/>
        <v>#N/A</v>
      </c>
      <c r="AG176" s="82">
        <v>135</v>
      </c>
      <c r="AH176" s="86"/>
      <c r="AI176" s="86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</row>
    <row r="177" spans="16:71">
      <c r="P177" s="2">
        <f t="shared" ref="P177:P178" si="41">MATCH("\\",R177:AE177,0)-1</f>
        <v>2</v>
      </c>
      <c r="Q177" s="12" t="s">
        <v>9</v>
      </c>
      <c r="R177" s="39" t="s">
        <v>504</v>
      </c>
      <c r="S177" s="1" t="s">
        <v>505</v>
      </c>
      <c r="T177" s="1" t="s">
        <v>17</v>
      </c>
      <c r="AF177" s="2" t="e">
        <f t="shared" si="39"/>
        <v>#N/A</v>
      </c>
      <c r="AG177" s="82">
        <v>136</v>
      </c>
      <c r="AH177" s="86" t="s">
        <v>124</v>
      </c>
      <c r="AI177" s="86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</row>
    <row r="178" spans="16:71">
      <c r="P178" s="2">
        <f t="shared" si="41"/>
        <v>2</v>
      </c>
      <c r="Q178" s="12" t="s">
        <v>10</v>
      </c>
      <c r="R178" s="39" t="s">
        <v>166</v>
      </c>
      <c r="S178" s="39" t="s">
        <v>193</v>
      </c>
      <c r="T178" s="1" t="s">
        <v>17</v>
      </c>
      <c r="AF178" s="2">
        <f t="shared" si="39"/>
        <v>7</v>
      </c>
      <c r="AG178" s="82">
        <v>137</v>
      </c>
      <c r="AH178" s="86"/>
      <c r="AI178" s="86" t="s">
        <v>445</v>
      </c>
      <c r="AJ178" s="82"/>
      <c r="AK178" s="82" t="s">
        <v>132</v>
      </c>
      <c r="AL178" s="82" t="s">
        <v>457</v>
      </c>
      <c r="AM178" s="82" t="s">
        <v>251</v>
      </c>
      <c r="AN178" s="82" t="s">
        <v>252</v>
      </c>
      <c r="AO178" s="82" t="s">
        <v>253</v>
      </c>
      <c r="AP178" s="82" t="s">
        <v>250</v>
      </c>
      <c r="AQ178" s="82" t="s">
        <v>254</v>
      </c>
      <c r="AR178" s="82" t="s">
        <v>17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</row>
    <row r="179" spans="16:71">
      <c r="AF179" s="2">
        <f t="shared" si="39"/>
        <v>3</v>
      </c>
      <c r="AG179" s="82">
        <v>138</v>
      </c>
      <c r="AH179" s="86"/>
      <c r="AI179" s="86" t="s">
        <v>419</v>
      </c>
      <c r="AJ179" s="82"/>
      <c r="AK179" s="82" t="s">
        <v>132</v>
      </c>
      <c r="AL179" s="82" t="s">
        <v>252</v>
      </c>
      <c r="AM179" s="82" t="s">
        <v>254</v>
      </c>
      <c r="AN179" s="82" t="s">
        <v>17</v>
      </c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</row>
    <row r="180" spans="16:71">
      <c r="Q180" s="13" t="s">
        <v>542</v>
      </c>
      <c r="AF180" s="2">
        <f t="shared" si="39"/>
        <v>5</v>
      </c>
      <c r="AG180" s="82">
        <v>139</v>
      </c>
      <c r="AH180" s="86"/>
      <c r="AI180" s="86" t="s">
        <v>204</v>
      </c>
      <c r="AJ180" s="82"/>
      <c r="AK180" s="82" t="s">
        <v>132</v>
      </c>
      <c r="AL180" s="82" t="s">
        <v>457</v>
      </c>
      <c r="AM180" s="82" t="s">
        <v>251</v>
      </c>
      <c r="AN180" s="82" t="s">
        <v>252</v>
      </c>
      <c r="AO180" s="82" t="s">
        <v>254</v>
      </c>
      <c r="AP180" s="82" t="s">
        <v>17</v>
      </c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</row>
    <row r="181" spans="16:71">
      <c r="P181" s="2">
        <f t="shared" ref="P181:P182" si="42">MATCH("\\",R181:AE181,0)-1</f>
        <v>2</v>
      </c>
      <c r="Q181" s="12" t="s">
        <v>9</v>
      </c>
      <c r="R181" s="39" t="s">
        <v>504</v>
      </c>
      <c r="S181" s="39" t="s">
        <v>91</v>
      </c>
      <c r="T181" s="1" t="s">
        <v>17</v>
      </c>
      <c r="AF181" s="2">
        <f t="shared" si="39"/>
        <v>2</v>
      </c>
      <c r="AG181" s="82">
        <v>140</v>
      </c>
      <c r="AH181" s="86"/>
      <c r="AI181" s="86" t="s">
        <v>288</v>
      </c>
      <c r="AJ181" s="82"/>
      <c r="AK181" s="82" t="s">
        <v>253</v>
      </c>
      <c r="AL181" s="82" t="s">
        <v>250</v>
      </c>
      <c r="AM181" s="82" t="s">
        <v>17</v>
      </c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</row>
    <row r="182" spans="16:71">
      <c r="P182" s="2">
        <f t="shared" si="42"/>
        <v>2</v>
      </c>
      <c r="Q182" s="12" t="s">
        <v>10</v>
      </c>
      <c r="R182" s="39" t="s">
        <v>178</v>
      </c>
      <c r="S182" s="1" t="s">
        <v>12</v>
      </c>
      <c r="T182" s="1" t="s">
        <v>17</v>
      </c>
      <c r="U182" s="39"/>
      <c r="V182" s="39"/>
      <c r="W182" s="1"/>
      <c r="X182" s="1"/>
      <c r="AF182" s="2">
        <f t="shared" si="39"/>
        <v>1</v>
      </c>
      <c r="AG182" s="82">
        <v>141</v>
      </c>
      <c r="AH182" s="86"/>
      <c r="AI182" s="86" t="s">
        <v>345</v>
      </c>
      <c r="AJ182" s="82"/>
      <c r="AK182" s="82"/>
      <c r="AL182" s="82" t="s">
        <v>17</v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</row>
    <row r="183" spans="16:71">
      <c r="AF183" s="2">
        <f t="shared" si="39"/>
        <v>6</v>
      </c>
      <c r="AG183" s="82">
        <v>142</v>
      </c>
      <c r="AI183" s="86" t="s">
        <v>344</v>
      </c>
      <c r="AJ183" s="82"/>
      <c r="AK183" s="82" t="s">
        <v>132</v>
      </c>
      <c r="AL183" s="82" t="s">
        <v>457</v>
      </c>
      <c r="AM183" s="82" t="s">
        <v>251</v>
      </c>
      <c r="AN183" s="82" t="s">
        <v>252</v>
      </c>
      <c r="AO183" s="82" t="s">
        <v>250</v>
      </c>
      <c r="AP183" s="82" t="s">
        <v>254</v>
      </c>
      <c r="AQ183" s="82" t="s">
        <v>17</v>
      </c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</row>
    <row r="184" spans="16:71">
      <c r="Q184" s="13" t="s">
        <v>557</v>
      </c>
      <c r="AF184" s="2" t="e">
        <f t="shared" si="39"/>
        <v>#N/A</v>
      </c>
      <c r="AG184" s="82">
        <v>143</v>
      </c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</row>
    <row r="185" spans="16:71">
      <c r="P185" s="2">
        <f t="shared" ref="P185:P186" si="43">MATCH("\\",R185:AE185,0)-1</f>
        <v>5</v>
      </c>
      <c r="Q185" s="12" t="s">
        <v>9</v>
      </c>
      <c r="R185" s="39" t="s">
        <v>95</v>
      </c>
      <c r="S185" s="39" t="s">
        <v>91</v>
      </c>
      <c r="T185" s="14" t="s">
        <v>92</v>
      </c>
      <c r="U185" s="14" t="s">
        <v>93</v>
      </c>
      <c r="V185" s="14" t="s">
        <v>94</v>
      </c>
      <c r="W185" s="1" t="s">
        <v>17</v>
      </c>
      <c r="AF185" s="2">
        <f t="shared" si="39"/>
        <v>7</v>
      </c>
      <c r="AG185" s="82">
        <v>144</v>
      </c>
      <c r="AH185" s="86" t="s">
        <v>125</v>
      </c>
      <c r="AI185" s="86" t="s">
        <v>287</v>
      </c>
      <c r="AK185" s="82" t="s">
        <v>314</v>
      </c>
      <c r="AL185" s="82" t="s">
        <v>459</v>
      </c>
      <c r="AM185" s="82" t="s">
        <v>460</v>
      </c>
      <c r="AN185" s="82" t="s">
        <v>461</v>
      </c>
      <c r="AO185" s="82" t="s">
        <v>462</v>
      </c>
      <c r="AP185" s="82" t="s">
        <v>552</v>
      </c>
      <c r="AQ185" s="82" t="s">
        <v>553</v>
      </c>
      <c r="AR185" s="82" t="s">
        <v>17</v>
      </c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</row>
    <row r="186" spans="16:71">
      <c r="P186" s="2">
        <f t="shared" si="43"/>
        <v>9</v>
      </c>
      <c r="Q186" s="12" t="s">
        <v>10</v>
      </c>
      <c r="R186" s="1" t="s">
        <v>178</v>
      </c>
      <c r="S186" s="1" t="s">
        <v>12</v>
      </c>
      <c r="T186" s="1" t="s">
        <v>13</v>
      </c>
      <c r="U186" s="1" t="s">
        <v>14</v>
      </c>
      <c r="V186" s="1" t="s">
        <v>15</v>
      </c>
      <c r="W186" s="1" t="s">
        <v>141</v>
      </c>
      <c r="X186" s="1" t="s">
        <v>142</v>
      </c>
      <c r="Y186" s="1" t="s">
        <v>143</v>
      </c>
      <c r="Z186" s="1" t="s">
        <v>144</v>
      </c>
      <c r="AA186" s="1" t="s">
        <v>17</v>
      </c>
      <c r="AB186" s="1"/>
      <c r="AF186" s="2">
        <f t="shared" si="39"/>
        <v>3</v>
      </c>
      <c r="AG186" s="82">
        <v>145</v>
      </c>
      <c r="AH186" s="86"/>
      <c r="AI186" s="86" t="s">
        <v>176</v>
      </c>
      <c r="AJ186" s="82"/>
      <c r="AK186" s="82" t="s">
        <v>314</v>
      </c>
      <c r="AL186" s="82" t="s">
        <v>459</v>
      </c>
      <c r="AM186" s="82" t="s">
        <v>460</v>
      </c>
      <c r="AN186" s="82" t="s">
        <v>17</v>
      </c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</row>
    <row r="187" spans="16:71">
      <c r="AF187" s="2">
        <f t="shared" si="39"/>
        <v>2</v>
      </c>
      <c r="AG187" s="82">
        <v>146</v>
      </c>
      <c r="AH187" s="82"/>
      <c r="AI187" s="86" t="s">
        <v>453</v>
      </c>
      <c r="AK187" s="82" t="s">
        <v>464</v>
      </c>
      <c r="AL187" s="82" t="s">
        <v>463</v>
      </c>
      <c r="AM187" s="82" t="s">
        <v>17</v>
      </c>
      <c r="AN187" s="82"/>
      <c r="AO187" s="82"/>
      <c r="AP187" s="82"/>
      <c r="AQ187" s="82"/>
      <c r="AR187" s="82"/>
      <c r="AS187" s="82"/>
    </row>
    <row r="188" spans="16:71">
      <c r="AF188" s="2">
        <f t="shared" si="39"/>
        <v>5</v>
      </c>
      <c r="AG188" s="82">
        <v>147</v>
      </c>
      <c r="AH188" s="82"/>
      <c r="AI188" s="86" t="s">
        <v>344</v>
      </c>
      <c r="AJ188" s="82"/>
      <c r="AK188" s="82" t="s">
        <v>313</v>
      </c>
      <c r="AL188" s="82" t="s">
        <v>314</v>
      </c>
      <c r="AM188" s="82" t="s">
        <v>315</v>
      </c>
      <c r="AN188" s="82" t="s">
        <v>316</v>
      </c>
      <c r="AO188" s="82" t="s">
        <v>444</v>
      </c>
      <c r="AP188" s="82" t="s">
        <v>17</v>
      </c>
      <c r="AQ188" s="82"/>
      <c r="AR188" s="82"/>
      <c r="AS188" s="82"/>
    </row>
    <row r="189" spans="16:71">
      <c r="AF189" s="2">
        <f t="shared" si="39"/>
        <v>1</v>
      </c>
      <c r="AG189" s="82">
        <v>148</v>
      </c>
      <c r="AI189" s="86" t="s">
        <v>288</v>
      </c>
      <c r="AJ189" s="82"/>
      <c r="AK189" s="82"/>
      <c r="AL189" s="82" t="s">
        <v>17</v>
      </c>
      <c r="AM189" s="82"/>
      <c r="AN189" s="82"/>
      <c r="AO189" s="82"/>
      <c r="AP189" s="82"/>
      <c r="AQ189" s="82"/>
    </row>
    <row r="190" spans="16:71">
      <c r="AF190" s="2">
        <f t="shared" si="39"/>
        <v>1</v>
      </c>
      <c r="AG190" s="82">
        <v>149</v>
      </c>
      <c r="AI190" s="86" t="s">
        <v>349</v>
      </c>
      <c r="AK190" s="82" t="s">
        <v>459</v>
      </c>
      <c r="AL190" s="82" t="s">
        <v>17</v>
      </c>
      <c r="AM190" s="82"/>
    </row>
    <row r="191" spans="16:71">
      <c r="AF191" s="2">
        <f t="shared" si="39"/>
        <v>1</v>
      </c>
      <c r="AG191" s="82">
        <v>150</v>
      </c>
      <c r="AI191" s="86" t="s">
        <v>345</v>
      </c>
      <c r="AL191" s="82" t="s">
        <v>17</v>
      </c>
    </row>
    <row r="192" spans="16:71">
      <c r="AF192" s="2" t="e">
        <f t="shared" si="39"/>
        <v>#N/A</v>
      </c>
      <c r="AG192" s="82">
        <v>151</v>
      </c>
      <c r="AH192" s="82"/>
      <c r="AI192" s="86"/>
      <c r="AJ192" s="82"/>
      <c r="AL192" s="82"/>
    </row>
    <row r="193" spans="32:53">
      <c r="AF193" s="2">
        <f t="shared" si="39"/>
        <v>5</v>
      </c>
      <c r="AG193" s="82">
        <v>152</v>
      </c>
      <c r="AI193" s="86" t="s">
        <v>524</v>
      </c>
      <c r="AJ193" s="82" t="s">
        <v>19</v>
      </c>
      <c r="AK193" s="82" t="s">
        <v>375</v>
      </c>
      <c r="AL193" s="82" t="s">
        <v>376</v>
      </c>
      <c r="AM193" s="82" t="s">
        <v>377</v>
      </c>
      <c r="AN193" s="82" t="s">
        <v>380</v>
      </c>
      <c r="AO193" s="82" t="s">
        <v>517</v>
      </c>
      <c r="AP193" s="82" t="s">
        <v>149</v>
      </c>
      <c r="AQ193" s="82"/>
      <c r="AR193" s="82"/>
      <c r="AS193" s="82"/>
      <c r="AT193" s="82"/>
      <c r="AU193" s="82"/>
      <c r="AV193" s="82"/>
      <c r="AX193" s="82"/>
    </row>
    <row r="194" spans="32:53">
      <c r="AF194" s="2">
        <f t="shared" si="39"/>
        <v>5</v>
      </c>
      <c r="AG194" s="82">
        <v>153</v>
      </c>
      <c r="AI194" s="86"/>
      <c r="AJ194" s="82" t="s">
        <v>86</v>
      </c>
      <c r="AK194" s="82" t="s">
        <v>384</v>
      </c>
      <c r="AL194" s="82" t="s">
        <v>385</v>
      </c>
      <c r="AM194" s="82" t="s">
        <v>386</v>
      </c>
      <c r="AN194" s="82" t="s">
        <v>389</v>
      </c>
      <c r="AO194" s="82" t="s">
        <v>518</v>
      </c>
      <c r="AP194" s="82" t="s">
        <v>149</v>
      </c>
      <c r="AQ194" s="82"/>
      <c r="AR194" s="82"/>
      <c r="AS194" s="82"/>
      <c r="AT194" s="82"/>
      <c r="AU194" s="82"/>
      <c r="AV194" s="82"/>
      <c r="AW194" s="82"/>
      <c r="AX194" s="82"/>
    </row>
    <row r="195" spans="32:53">
      <c r="AF195" s="2">
        <f t="shared" si="39"/>
        <v>16</v>
      </c>
      <c r="AG195" s="82">
        <v>154</v>
      </c>
      <c r="AI195" s="86"/>
      <c r="AJ195" s="82" t="s">
        <v>448</v>
      </c>
      <c r="AK195" s="82" t="s">
        <v>359</v>
      </c>
      <c r="AL195" s="82" t="s">
        <v>360</v>
      </c>
      <c r="AM195" s="82" t="s">
        <v>361</v>
      </c>
      <c r="AN195" s="82" t="s">
        <v>362</v>
      </c>
      <c r="AO195" s="82" t="s">
        <v>393</v>
      </c>
      <c r="AP195" s="82" t="s">
        <v>394</v>
      </c>
      <c r="AQ195" s="82" t="s">
        <v>395</v>
      </c>
      <c r="AR195" s="82" t="s">
        <v>396</v>
      </c>
      <c r="AS195" s="82" t="s">
        <v>397</v>
      </c>
      <c r="AT195" s="82" t="s">
        <v>398</v>
      </c>
      <c r="AU195" s="82" t="s">
        <v>526</v>
      </c>
      <c r="AV195" s="82" t="s">
        <v>527</v>
      </c>
      <c r="AW195" s="82" t="s">
        <v>367</v>
      </c>
      <c r="AX195" s="82" t="s">
        <v>368</v>
      </c>
      <c r="AY195" s="82" t="s">
        <v>399</v>
      </c>
      <c r="AZ195" s="82" t="s">
        <v>400</v>
      </c>
      <c r="BA195" s="82" t="s">
        <v>149</v>
      </c>
    </row>
    <row r="196" spans="32:53">
      <c r="AF196" s="2">
        <f t="shared" si="39"/>
        <v>1</v>
      </c>
      <c r="AG196" s="82">
        <v>155</v>
      </c>
      <c r="AI196" s="86"/>
      <c r="AJ196" s="82" t="s">
        <v>120</v>
      </c>
      <c r="AL196" s="82" t="s">
        <v>149</v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</row>
    <row r="197" spans="32:53">
      <c r="AF197" s="2">
        <f t="shared" si="39"/>
        <v>1</v>
      </c>
      <c r="AG197" s="82">
        <v>156</v>
      </c>
      <c r="AI197" s="86"/>
      <c r="AJ197" s="82" t="s">
        <v>451</v>
      </c>
      <c r="AL197" s="82" t="s">
        <v>17</v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</row>
    <row r="198" spans="32:53">
      <c r="AF198" s="2">
        <f t="shared" si="39"/>
        <v>5</v>
      </c>
      <c r="AG198" s="82">
        <v>157</v>
      </c>
      <c r="AI198" s="86"/>
      <c r="AJ198" s="82" t="s">
        <v>290</v>
      </c>
      <c r="AK198" s="82" t="s">
        <v>113</v>
      </c>
      <c r="AL198" s="82" t="s">
        <v>114</v>
      </c>
      <c r="AM198" s="82" t="s">
        <v>147</v>
      </c>
      <c r="AN198" s="82" t="s">
        <v>148</v>
      </c>
      <c r="AO198" s="82" t="s">
        <v>196</v>
      </c>
      <c r="AP198" s="82" t="s">
        <v>17</v>
      </c>
      <c r="AS198" s="82"/>
      <c r="AT198" s="82"/>
      <c r="AU198" s="82"/>
      <c r="AV198" s="82"/>
      <c r="AW198" s="82"/>
      <c r="AX198" s="82"/>
    </row>
    <row r="199" spans="32:53">
      <c r="AF199" s="2">
        <f t="shared" si="39"/>
        <v>5</v>
      </c>
      <c r="AG199" s="82">
        <v>158</v>
      </c>
      <c r="AI199" s="86"/>
      <c r="AJ199" s="82" t="s">
        <v>291</v>
      </c>
      <c r="AK199" s="82" t="s">
        <v>113</v>
      </c>
      <c r="AL199" s="82" t="s">
        <v>114</v>
      </c>
      <c r="AM199" s="82" t="s">
        <v>147</v>
      </c>
      <c r="AN199" s="82" t="s">
        <v>148</v>
      </c>
      <c r="AO199" s="82" t="s">
        <v>196</v>
      </c>
      <c r="AP199" s="82" t="s">
        <v>17</v>
      </c>
      <c r="AS199" s="82"/>
      <c r="AT199" s="82"/>
      <c r="AU199" s="83"/>
      <c r="AV199" s="82"/>
      <c r="AW199" s="82"/>
      <c r="AX199" s="82"/>
    </row>
    <row r="200" spans="32:53">
      <c r="AF200" s="2">
        <f t="shared" si="39"/>
        <v>1</v>
      </c>
      <c r="AG200" s="82">
        <v>159</v>
      </c>
      <c r="AI200" s="86"/>
      <c r="AJ200" s="82" t="s">
        <v>102</v>
      </c>
      <c r="AK200" s="82" t="s">
        <v>130</v>
      </c>
      <c r="AL200" s="82" t="s">
        <v>17</v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</row>
    <row r="201" spans="32:53">
      <c r="AF201" s="2">
        <f t="shared" si="39"/>
        <v>10</v>
      </c>
      <c r="AG201" s="82">
        <v>160</v>
      </c>
      <c r="AI201" s="86"/>
      <c r="AJ201" s="82" t="s">
        <v>20</v>
      </c>
      <c r="AK201" s="82" t="s">
        <v>528</v>
      </c>
      <c r="AL201" s="82" t="s">
        <v>88</v>
      </c>
      <c r="AM201" s="82" t="s">
        <v>222</v>
      </c>
      <c r="AN201" s="82" t="s">
        <v>236</v>
      </c>
      <c r="AO201" s="82" t="s">
        <v>107</v>
      </c>
      <c r="AP201" s="82" t="s">
        <v>239</v>
      </c>
      <c r="AQ201" s="82" t="s">
        <v>108</v>
      </c>
      <c r="AR201" s="82" t="s">
        <v>240</v>
      </c>
      <c r="AS201" s="82" t="s">
        <v>89</v>
      </c>
      <c r="AT201" s="82" t="s">
        <v>25</v>
      </c>
      <c r="AU201" s="83" t="s">
        <v>17</v>
      </c>
    </row>
    <row r="202" spans="32:53">
      <c r="AF202" s="2" t="e">
        <f t="shared" si="39"/>
        <v>#N/A</v>
      </c>
      <c r="AG202" s="82">
        <v>161</v>
      </c>
      <c r="AI202" s="86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</sheetData>
  <sheetProtection algorithmName="SHA-512" hashValue="rwqJB8aK4EoEylOu3Cq6QYisXYSMSMs1rh6t4RrKt4wpcnLrKodjuPfS2bkogeER6aLnUmTyg7kpcblFOjX6aw==" saltValue="ISdBLCWRuUYhNmEAqgC4hg==" spinCount="100000" sheet="1" formatCells="0" selectLockedCells="1"/>
  <dataConsolidate/>
  <mergeCells count="44">
    <mergeCell ref="A5:A15"/>
    <mergeCell ref="E5:H5"/>
    <mergeCell ref="B6:D6"/>
    <mergeCell ref="E6:H6"/>
    <mergeCell ref="E7:F7"/>
    <mergeCell ref="A1:H1"/>
    <mergeCell ref="B3:C3"/>
    <mergeCell ref="E3:F3"/>
    <mergeCell ref="B4:C4"/>
    <mergeCell ref="E4:H4"/>
    <mergeCell ref="A16:A21"/>
    <mergeCell ref="C16:D16"/>
    <mergeCell ref="F16:H16"/>
    <mergeCell ref="C17:D17"/>
    <mergeCell ref="C18:D18"/>
    <mergeCell ref="G8:H8"/>
    <mergeCell ref="G9:H9"/>
    <mergeCell ref="F10:H10"/>
    <mergeCell ref="C11:D11"/>
    <mergeCell ref="F11:H11"/>
    <mergeCell ref="A22:A29"/>
    <mergeCell ref="C22:E22"/>
    <mergeCell ref="F22:H22"/>
    <mergeCell ref="C24:E24"/>
    <mergeCell ref="F24:H24"/>
    <mergeCell ref="F18:H18"/>
    <mergeCell ref="C19:D19"/>
    <mergeCell ref="G19:H19"/>
    <mergeCell ref="C20:D20"/>
    <mergeCell ref="C21:D21"/>
    <mergeCell ref="C25:E25"/>
    <mergeCell ref="F25:H25"/>
    <mergeCell ref="C28:E28"/>
    <mergeCell ref="F28:H28"/>
    <mergeCell ref="C29:E29"/>
    <mergeCell ref="F29:H29"/>
    <mergeCell ref="B30:H30"/>
    <mergeCell ref="A31:A36"/>
    <mergeCell ref="B31:H31"/>
    <mergeCell ref="B32:H32"/>
    <mergeCell ref="B33:H33"/>
    <mergeCell ref="B34:H34"/>
    <mergeCell ref="B35:H35"/>
    <mergeCell ref="B36:H36"/>
  </mergeCells>
  <conditionalFormatting sqref="B21:D21">
    <cfRule type="expression" dxfId="22" priority="16">
      <formula>$O$23=0</formula>
    </cfRule>
  </conditionalFormatting>
  <conditionalFormatting sqref="C18:D18">
    <cfRule type="expression" dxfId="21" priority="25" stopIfTrue="1">
      <formula>$C$16&lt;&gt;"Customized"</formula>
    </cfRule>
  </conditionalFormatting>
  <conditionalFormatting sqref="C28:E28">
    <cfRule type="expression" dxfId="20" priority="4">
      <formula>FIND("ZPI",C26,1)=1</formula>
    </cfRule>
  </conditionalFormatting>
  <conditionalFormatting sqref="D26">
    <cfRule type="expression" dxfId="19" priority="11" stopIfTrue="1">
      <formula>INDIRECT(ADDRESS($N$17+$N$12+13,$N$13-2))&lt;=1</formula>
    </cfRule>
  </conditionalFormatting>
  <conditionalFormatting sqref="D27">
    <cfRule type="expression" dxfId="18" priority="9">
      <formula>$O$24=0</formula>
    </cfRule>
    <cfRule type="expression" dxfId="17" priority="10" stopIfTrue="1">
      <formula>INDIRECT(ADDRESS($N$17+$N$12+17,$N$13-2))&lt;=1</formula>
    </cfRule>
  </conditionalFormatting>
  <conditionalFormatting sqref="E26:E27">
    <cfRule type="expression" dxfId="16" priority="6" stopIfTrue="1">
      <formula>INDIRECT(ADDRESS($N$17+$N$12+14,$N$13-2))&lt;=1</formula>
    </cfRule>
  </conditionalFormatting>
  <conditionalFormatting sqref="E27">
    <cfRule type="expression" dxfId="15" priority="2">
      <formula>FIND("E08",C27,1)&gt;0</formula>
    </cfRule>
  </conditionalFormatting>
  <conditionalFormatting sqref="E20:F20">
    <cfRule type="expression" dxfId="14" priority="18" stopIfTrue="1">
      <formula>INDIRECT(ADDRESS($N$17+$N$12+4,$N$13-2))&lt;=1</formula>
    </cfRule>
  </conditionalFormatting>
  <conditionalFormatting sqref="E21:F21">
    <cfRule type="expression" dxfId="13" priority="17" stopIfTrue="1">
      <formula>INDIRECT(ADDRESS($N$17+$N$12+6,$N$13-2))&lt;=1</formula>
    </cfRule>
  </conditionalFormatting>
  <conditionalFormatting sqref="E21:H21">
    <cfRule type="expression" dxfId="12" priority="15">
      <formula>$O$24=0</formula>
    </cfRule>
  </conditionalFormatting>
  <conditionalFormatting sqref="F28:H28">
    <cfRule type="expression" dxfId="11" priority="3">
      <formula>FIND("ZPI",F26,1)=1</formula>
    </cfRule>
  </conditionalFormatting>
  <conditionalFormatting sqref="G26">
    <cfRule type="expression" dxfId="10" priority="14" stopIfTrue="1">
      <formula>INDIRECT(ADDRESS($N$17+$N$12+13,$N$13-2))&lt;=1</formula>
    </cfRule>
  </conditionalFormatting>
  <conditionalFormatting sqref="G27">
    <cfRule type="expression" dxfId="9" priority="13" stopIfTrue="1">
      <formula>INDIRECT(ADDRESS($N$17+$N$12+17,$N$13-2))&lt;=1</formula>
    </cfRule>
    <cfRule type="expression" dxfId="8" priority="12">
      <formula>$O$24=0</formula>
    </cfRule>
  </conditionalFormatting>
  <conditionalFormatting sqref="G19:H19">
    <cfRule type="expression" dxfId="7" priority="22" stopIfTrue="1">
      <formula>F19=""</formula>
    </cfRule>
  </conditionalFormatting>
  <conditionalFormatting sqref="G20:H20">
    <cfRule type="expression" dxfId="6" priority="20" stopIfTrue="1">
      <formula>INDIRECT(ADDRESS($N$17+$N$12+13,$N$13-2))&lt;=1</formula>
    </cfRule>
  </conditionalFormatting>
  <conditionalFormatting sqref="G21:H21">
    <cfRule type="expression" dxfId="5" priority="19" stopIfTrue="1">
      <formula>INDIRECT(ADDRESS($N$17+$N$12+17,$N$13-2))&lt;=1</formula>
    </cfRule>
  </conditionalFormatting>
  <conditionalFormatting sqref="H12">
    <cfRule type="cellIs" dxfId="4" priority="23" stopIfTrue="1" operator="equal">
      <formula>"2D2G"</formula>
    </cfRule>
    <cfRule type="cellIs" dxfId="3" priority="24" stopIfTrue="1" operator="equal">
      <formula>"1D2G"</formula>
    </cfRule>
  </conditionalFormatting>
  <conditionalFormatting sqref="H17">
    <cfRule type="expression" dxfId="2" priority="8" stopIfTrue="1">
      <formula>INDIRECT(ADDRESS($N$17+$N$12+13,$N$13-2))&lt;=1</formula>
    </cfRule>
  </conditionalFormatting>
  <conditionalFormatting sqref="H26:H27">
    <cfRule type="expression" dxfId="1" priority="5" stopIfTrue="1">
      <formula>INDIRECT(ADDRESS($N$17+$N$12+14,$N$13-2))&lt;=1</formula>
    </cfRule>
  </conditionalFormatting>
  <conditionalFormatting sqref="H27">
    <cfRule type="expression" dxfId="0" priority="1">
      <formula>FIND("E08",F27,1)&gt;0</formula>
    </cfRule>
  </conditionalFormatting>
  <dataValidations count="31">
    <dataValidation type="list" allowBlank="1" showInputMessage="1" showErrorMessage="1" sqref="C24:H24" xr:uid="{00000000-0002-0000-0800-000000000000}">
      <formula1>"Steel sill bracket by seller,Concrete sill bracket by local"</formula1>
    </dataValidation>
    <dataValidation type="list" allowBlank="1" showInputMessage="1" showErrorMessage="1" sqref="C5" xr:uid="{00000000-0002-0000-0800-000001000000}">
      <formula1>$Q$9:$Q$14</formula1>
    </dataValidation>
    <dataValidation type="list" allowBlank="1" showInputMessage="1" showErrorMessage="1" sqref="H12" xr:uid="{00000000-0002-0000-0800-000002000000}">
      <formula1>"1D1G,1D2G,2D2G"</formula1>
    </dataValidation>
    <dataValidation type="list" allowBlank="1" showInputMessage="1" showErrorMessage="1" sqref="F14" xr:uid="{00000000-0002-0000-0800-000003000000}">
      <formula1>"Central opening,Side opening"</formula1>
    </dataValidation>
    <dataValidation type="list" allowBlank="1" showInputMessage="1" showErrorMessage="1" sqref="G19:H19" xr:uid="{00000000-0002-0000-0800-000004000000}">
      <formula1>"rear wall,two side walls,three side walls"</formula1>
    </dataValidation>
    <dataValidation type="list" allowBlank="1" showInputMessage="1" showErrorMessage="1" sqref="E5:H5" xr:uid="{00000000-0002-0000-0800-000005000000}">
      <formula1>OFFSET($R$8,$N$9,,,$N$10)</formula1>
    </dataValidation>
    <dataValidation type="list" errorStyle="warning" allowBlank="1" showInputMessage="1" showErrorMessage="1" errorTitle="wrong" error="wrong" sqref="C8" xr:uid="{00000000-0002-0000-0800-000006000000}">
      <formula1>OFFSET($R$39,$N$19,,,$O$19)</formula1>
    </dataValidation>
    <dataValidation type="list" allowBlank="1" showInputMessage="1" showErrorMessage="1" sqref="E8" xr:uid="{00000000-0002-0000-0800-000007000000}">
      <formula1>OFFSET($R$39,$N$18,,,$O$18)</formula1>
    </dataValidation>
    <dataValidation type="list" allowBlank="1" showInputMessage="1" showErrorMessage="1" sqref="H17" xr:uid="{00000000-0002-0000-0800-000008000000}">
      <formula1>OFFSET($R$20,$Q$19,,,$R$19)</formula1>
    </dataValidation>
    <dataValidation type="list" allowBlank="1" showInputMessage="1" showErrorMessage="1" sqref="C23 F23" xr:uid="{00000000-0002-0000-0800-000009000000}">
      <formula1>$R$31:$U$31</formula1>
    </dataValidation>
    <dataValidation type="list" allowBlank="1" showInputMessage="1" showErrorMessage="1" sqref="C19:D19" xr:uid="{00000000-0002-0000-0800-00000A000000}">
      <formula1>$R$32:$T$32</formula1>
    </dataValidation>
    <dataValidation type="list" allowBlank="1" showInputMessage="1" showErrorMessage="1" sqref="E3:F3" xr:uid="{00000000-0002-0000-0800-00000B000000}">
      <formula1>$R$30:$X$30</formula1>
    </dataValidation>
    <dataValidation type="list" allowBlank="1" showInputMessage="1" showErrorMessage="1" sqref="F26" xr:uid="{00000000-0002-0000-0800-00000C000000}">
      <formula1>OFFSET(AK41,$N$25,,,$O$25)</formula1>
    </dataValidation>
    <dataValidation type="list" allowBlank="1" showInputMessage="1" showErrorMessage="1" sqref="C16:D16" xr:uid="{00000000-0002-0000-0800-00000D000000}">
      <formula1>OFFSET($AK$41,$N$30,,,$O$30)</formula1>
    </dataValidation>
    <dataValidation type="list" allowBlank="1" showInputMessage="1" showErrorMessage="1" sqref="F21" xr:uid="{00000000-0002-0000-0800-00000E000000}">
      <formula1>OFFSET($AK$41,$N$33,,,$O$33)</formula1>
    </dataValidation>
    <dataValidation type="list" allowBlank="1" showInputMessage="1" showErrorMessage="1" sqref="F17" xr:uid="{00000000-0002-0000-0800-00000F000000}">
      <formula1>OFFSET($AK$41,$N$37,,,$O$37)</formula1>
    </dataValidation>
    <dataValidation type="list" allowBlank="1" showInputMessage="1" showErrorMessage="1" sqref="C17:D17" xr:uid="{00000000-0002-0000-0800-000010000000}">
      <formula1>OFFSET($AK$41,$N$31,,,$O$31)</formula1>
    </dataValidation>
    <dataValidation type="list" allowBlank="1" showInputMessage="1" showErrorMessage="1" sqref="C21:D21" xr:uid="{00000000-0002-0000-0800-000011000000}">
      <formula1>OFFSET($AK$41,$N$32,,,$O$32)</formula1>
    </dataValidation>
    <dataValidation type="list" allowBlank="1" showInputMessage="1" showErrorMessage="1" sqref="H20" xr:uid="{00000000-0002-0000-0800-000012000000}">
      <formula1>OFFSET($AK$41,$N$28,,,$O$28)</formula1>
    </dataValidation>
    <dataValidation type="list" allowBlank="1" showInputMessage="1" showErrorMessage="1" sqref="F27 C27" xr:uid="{00000000-0002-0000-0800-000013000000}">
      <formula1>OFFSET($AK$41,$N$35,,,$O$35)</formula1>
    </dataValidation>
    <dataValidation type="list" allowBlank="1" showInputMessage="1" showErrorMessage="1" sqref="E26 H26" xr:uid="{00000000-0002-0000-0800-000014000000}">
      <formula1>OFFSET($AK$41,$N$29,,,$O$29)</formula1>
    </dataValidation>
    <dataValidation type="list" allowBlank="1" showInputMessage="1" showErrorMessage="1" sqref="F19" xr:uid="{00000000-0002-0000-0800-000015000000}">
      <formula1>OFFSET($AK$41,$N$38,,,$O$38)</formula1>
    </dataValidation>
    <dataValidation type="list" allowBlank="1" showInputMessage="1" showErrorMessage="1" sqref="H27 E27" xr:uid="{00000000-0002-0000-0800-000016000000}">
      <formula1>OFFSET($AK$41,$N$36,,,$O$36)</formula1>
    </dataValidation>
    <dataValidation type="list" allowBlank="1" showInputMessage="1" showErrorMessage="1" sqref="H21" xr:uid="{00000000-0002-0000-0800-000017000000}">
      <formula1>OFFSET($AK$41,$N$34,,,$O$34)</formula1>
    </dataValidation>
    <dataValidation type="list" allowBlank="1" showInputMessage="1" showErrorMessage="1" sqref="F20" xr:uid="{00000000-0002-0000-0800-000018000000}">
      <formula1>OFFSET($AK$41,$N$24,,,$O$24)</formula1>
    </dataValidation>
    <dataValidation type="list" allowBlank="1" showInputMessage="1" showErrorMessage="1" sqref="E6:H6" xr:uid="{00000000-0002-0000-0800-000019000000}">
      <formula1>OFFSET($AK$41,$N$21,,,$O$21)</formula1>
    </dataValidation>
    <dataValidation type="list" allowBlank="1" showInputMessage="1" showErrorMessage="1" sqref="H7" xr:uid="{00000000-0002-0000-0800-00001A000000}">
      <formula1>OFFSET($AK$41,$N$22,,,$O$22)</formula1>
    </dataValidation>
    <dataValidation type="list" errorStyle="information" allowBlank="1" showInputMessage="1" showErrorMessage="1" sqref="C20:D20" xr:uid="{00000000-0002-0000-0800-00001B000000}">
      <formula1>OFFSET($AK$41,$N$23,,,$O$23)</formula1>
    </dataValidation>
    <dataValidation type="list" allowBlank="1" showInputMessage="1" showErrorMessage="1" sqref="C28:H28" xr:uid="{00000000-0002-0000-0800-00001C000000}">
      <formula1>OFFSET($AK$41,$N$26,,,$O$26)</formula1>
    </dataValidation>
    <dataValidation type="list" allowBlank="1" showInputMessage="1" showErrorMessage="1" sqref="C29:H29" xr:uid="{00000000-0002-0000-0800-00001D000000}">
      <formula1>OFFSET($AK$41,$N$27,,,$O$27)</formula1>
    </dataValidation>
    <dataValidation type="list" allowBlank="1" showInputMessage="1" showErrorMessage="1" sqref="C26" xr:uid="{00000000-0002-0000-0800-00001E000000}">
      <formula1>OFFSET($AK$41,$N$25,,,$O$25)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scale="8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F14" sqref="F14"/>
    </sheetView>
  </sheetViews>
  <sheetFormatPr baseColWidth="10" defaultColWidth="8.83203125" defaultRowHeight="15"/>
  <cols>
    <col min="1" max="1" width="10.6640625" customWidth="1"/>
    <col min="2" max="3" width="8.1640625" customWidth="1"/>
    <col min="4" max="4" width="10.6640625" customWidth="1"/>
    <col min="5" max="5" width="8.1640625" customWidth="1"/>
    <col min="6" max="8" width="15.6640625" customWidth="1"/>
  </cols>
  <sheetData>
    <row r="1" spans="1:8">
      <c r="A1" s="110" t="s">
        <v>597</v>
      </c>
      <c r="B1" s="110" t="s">
        <v>598</v>
      </c>
      <c r="C1" s="110" t="s">
        <v>0</v>
      </c>
      <c r="D1" s="110" t="s">
        <v>1</v>
      </c>
      <c r="E1" s="110" t="s">
        <v>599</v>
      </c>
      <c r="F1" s="110" t="s">
        <v>600</v>
      </c>
      <c r="G1" s="110" t="s">
        <v>602</v>
      </c>
      <c r="H1" s="110" t="s">
        <v>601</v>
      </c>
    </row>
    <row r="2" spans="1:8">
      <c r="A2" s="111" t="s">
        <v>567</v>
      </c>
      <c r="B2" s="111" t="s">
        <v>571</v>
      </c>
      <c r="C2" s="111" t="s">
        <v>169</v>
      </c>
      <c r="D2" s="111" t="s">
        <v>91</v>
      </c>
      <c r="E2" s="111">
        <v>1</v>
      </c>
      <c r="F2" s="111" t="s">
        <v>563</v>
      </c>
      <c r="G2" s="112">
        <v>329339.8</v>
      </c>
      <c r="H2" s="111">
        <v>0.75</v>
      </c>
    </row>
    <row r="3" spans="1:8">
      <c r="A3" s="111" t="s">
        <v>567</v>
      </c>
      <c r="B3" s="111" t="s">
        <v>619</v>
      </c>
      <c r="C3" s="111" t="s">
        <v>169</v>
      </c>
      <c r="D3" s="111" t="s">
        <v>91</v>
      </c>
      <c r="E3" s="111">
        <v>1</v>
      </c>
      <c r="F3" s="111" t="s">
        <v>563</v>
      </c>
      <c r="G3" s="112">
        <v>309872.3</v>
      </c>
      <c r="H3" s="111">
        <v>0.75</v>
      </c>
    </row>
    <row r="4" spans="1:8">
      <c r="A4" s="111" t="s">
        <v>567</v>
      </c>
      <c r="B4" s="111" t="s">
        <v>632</v>
      </c>
      <c r="C4" s="111" t="s">
        <v>169</v>
      </c>
      <c r="D4" s="111" t="s">
        <v>91</v>
      </c>
      <c r="E4" s="111">
        <v>1</v>
      </c>
      <c r="F4" s="111" t="s">
        <v>563</v>
      </c>
      <c r="G4" s="112">
        <v>309872.3</v>
      </c>
      <c r="H4" s="111">
        <v>0.75</v>
      </c>
    </row>
    <row r="5" spans="1:8">
      <c r="A5" s="111" t="s">
        <v>567</v>
      </c>
      <c r="B5" s="111" t="s">
        <v>633</v>
      </c>
      <c r="C5" s="111" t="s">
        <v>169</v>
      </c>
      <c r="D5" s="111" t="s">
        <v>91</v>
      </c>
      <c r="E5" s="111">
        <v>1</v>
      </c>
      <c r="F5" s="111" t="s">
        <v>563</v>
      </c>
      <c r="G5" s="112">
        <v>309872.3</v>
      </c>
      <c r="H5" s="111">
        <v>0.75</v>
      </c>
    </row>
    <row r="6" spans="1:8">
      <c r="A6" s="111" t="s">
        <v>567</v>
      </c>
      <c r="B6" s="111" t="s">
        <v>634</v>
      </c>
      <c r="C6" s="111" t="s">
        <v>152</v>
      </c>
      <c r="D6" s="111" t="s">
        <v>91</v>
      </c>
      <c r="E6" s="111">
        <v>1</v>
      </c>
      <c r="F6" s="111" t="s">
        <v>563</v>
      </c>
      <c r="G6" s="112">
        <v>268543.5</v>
      </c>
      <c r="H6" s="111">
        <v>0.75</v>
      </c>
    </row>
    <row r="7" spans="1:8">
      <c r="A7" s="111" t="s">
        <v>567</v>
      </c>
      <c r="B7" s="111" t="s">
        <v>649</v>
      </c>
      <c r="C7" s="111" t="s">
        <v>650</v>
      </c>
      <c r="D7" s="111" t="s">
        <v>95</v>
      </c>
      <c r="E7" s="111">
        <v>1</v>
      </c>
      <c r="F7" s="111" t="s">
        <v>563</v>
      </c>
      <c r="G7" s="112">
        <v>312647</v>
      </c>
      <c r="H7" s="111">
        <v>1</v>
      </c>
    </row>
    <row r="8" spans="1:8">
      <c r="A8" s="111" t="s">
        <v>567</v>
      </c>
      <c r="B8" s="111" t="s">
        <v>667</v>
      </c>
      <c r="C8" s="111" t="s">
        <v>650</v>
      </c>
      <c r="D8" s="111" t="s">
        <v>95</v>
      </c>
      <c r="E8" s="111">
        <v>2</v>
      </c>
      <c r="F8" s="111" t="s">
        <v>563</v>
      </c>
      <c r="G8" s="112">
        <v>339737</v>
      </c>
      <c r="H8" s="111">
        <v>1</v>
      </c>
    </row>
    <row r="9" spans="1:8">
      <c r="A9" s="111" t="s">
        <v>567</v>
      </c>
      <c r="B9" s="111" t="s">
        <v>668</v>
      </c>
      <c r="C9" s="111" t="s">
        <v>169</v>
      </c>
      <c r="D9" s="111" t="s">
        <v>95</v>
      </c>
      <c r="E9" s="111">
        <v>1</v>
      </c>
      <c r="F9" s="111" t="s">
        <v>563</v>
      </c>
      <c r="G9" s="112">
        <v>299501.90000000002</v>
      </c>
      <c r="H9" s="111">
        <v>0.75</v>
      </c>
    </row>
    <row r="10" spans="1:8">
      <c r="A10" s="111" t="s">
        <v>567</v>
      </c>
      <c r="B10" s="111" t="s">
        <v>676</v>
      </c>
      <c r="C10" s="111" t="s">
        <v>152</v>
      </c>
      <c r="D10" s="111" t="s">
        <v>95</v>
      </c>
      <c r="E10" s="111">
        <v>1</v>
      </c>
      <c r="F10" s="111" t="s">
        <v>563</v>
      </c>
      <c r="G10" s="112">
        <v>255521</v>
      </c>
      <c r="H10" s="111">
        <v>0.75</v>
      </c>
    </row>
    <row r="11" spans="1:8" s="115" customFormat="1">
      <c r="A11" s="113" t="s">
        <v>603</v>
      </c>
      <c r="B11" s="113"/>
      <c r="C11" s="113"/>
      <c r="D11" s="113"/>
      <c r="E11" s="113">
        <v>10</v>
      </c>
      <c r="F11" s="113"/>
      <c r="G11" s="114">
        <v>3074644.1</v>
      </c>
      <c r="H11" s="113">
        <f>SUMPRODUCT(E2:E10,H2:H10)</f>
        <v>8.25</v>
      </c>
    </row>
    <row r="12" spans="1:8">
      <c r="A12" s="111"/>
      <c r="B12" s="111"/>
      <c r="C12" s="111"/>
      <c r="D12" s="111"/>
      <c r="E12" s="111"/>
      <c r="F12" s="111"/>
      <c r="G12" s="112"/>
      <c r="H12" s="111"/>
    </row>
    <row r="13" spans="1:8">
      <c r="A13" s="111"/>
      <c r="B13" s="111"/>
      <c r="C13" s="111"/>
      <c r="D13" s="111"/>
      <c r="E13" s="111"/>
      <c r="F13" s="111"/>
      <c r="G13" s="112"/>
      <c r="H13" s="111"/>
    </row>
    <row r="14" spans="1:8">
      <c r="A14" s="111"/>
      <c r="B14" s="111"/>
      <c r="C14" s="111"/>
      <c r="D14" s="111"/>
      <c r="E14" s="111"/>
      <c r="F14" s="111"/>
      <c r="G14" s="112"/>
      <c r="H14" s="111"/>
    </row>
    <row r="15" spans="1:8">
      <c r="A15" s="111"/>
      <c r="B15" s="111"/>
      <c r="C15" s="111"/>
      <c r="D15" s="111"/>
      <c r="E15" s="111"/>
      <c r="F15" s="111"/>
      <c r="G15" s="112"/>
      <c r="H15" s="111"/>
    </row>
    <row r="16" spans="1:8">
      <c r="A16" s="111"/>
      <c r="B16" s="111"/>
      <c r="C16" s="111"/>
      <c r="D16" s="111"/>
      <c r="E16" s="111"/>
      <c r="F16" s="111"/>
      <c r="G16" s="112"/>
      <c r="H16" s="111"/>
    </row>
    <row r="17" spans="1:8">
      <c r="A17" s="111"/>
      <c r="B17" s="111"/>
      <c r="C17" s="111"/>
      <c r="D17" s="111"/>
      <c r="E17" s="111"/>
      <c r="F17" s="111"/>
      <c r="G17" s="112"/>
      <c r="H17" s="111"/>
    </row>
    <row r="18" spans="1:8">
      <c r="A18" s="111"/>
      <c r="B18" s="111"/>
      <c r="C18" s="111"/>
      <c r="D18" s="111"/>
      <c r="E18" s="111"/>
      <c r="F18" s="111"/>
      <c r="G18" s="112"/>
      <c r="H18" s="111"/>
    </row>
    <row r="19" spans="1:8">
      <c r="A19" s="111"/>
      <c r="B19" s="111"/>
      <c r="C19" s="111"/>
      <c r="D19" s="111"/>
      <c r="E19" s="111"/>
      <c r="F19" s="111"/>
      <c r="G19" s="112"/>
      <c r="H19" s="111"/>
    </row>
    <row r="20" spans="1:8">
      <c r="A20" s="111"/>
      <c r="B20" s="111"/>
      <c r="C20" s="111"/>
      <c r="D20" s="111"/>
      <c r="E20" s="111"/>
      <c r="F20" s="111"/>
      <c r="G20" s="112"/>
      <c r="H20" s="111"/>
    </row>
    <row r="21" spans="1:8">
      <c r="A21" s="111"/>
      <c r="B21" s="111"/>
      <c r="C21" s="111"/>
      <c r="D21" s="111"/>
      <c r="E21" s="111"/>
      <c r="F21" s="111"/>
      <c r="G21" s="112"/>
      <c r="H21" s="111"/>
    </row>
    <row r="22" spans="1:8">
      <c r="A22" s="111"/>
      <c r="B22" s="111"/>
      <c r="C22" s="111"/>
      <c r="D22" s="111"/>
      <c r="E22" s="111"/>
      <c r="F22" s="111"/>
      <c r="G22" s="112"/>
      <c r="H22" s="111"/>
    </row>
    <row r="23" spans="1:8">
      <c r="A23" s="111"/>
      <c r="B23" s="111"/>
      <c r="C23" s="111"/>
      <c r="D23" s="111"/>
      <c r="E23" s="111"/>
      <c r="F23" s="111"/>
      <c r="G23" s="112"/>
      <c r="H23" s="111"/>
    </row>
    <row r="24" spans="1:8">
      <c r="A24" s="111"/>
      <c r="B24" s="111"/>
      <c r="C24" s="111"/>
      <c r="D24" s="111"/>
      <c r="E24" s="111"/>
      <c r="F24" s="111"/>
      <c r="G24" s="112"/>
      <c r="H24" s="111"/>
    </row>
    <row r="25" spans="1:8">
      <c r="A25" s="111"/>
      <c r="B25" s="111"/>
      <c r="C25" s="111"/>
      <c r="D25" s="111"/>
      <c r="E25" s="111"/>
      <c r="F25" s="111"/>
      <c r="G25" s="112"/>
      <c r="H25" s="111"/>
    </row>
    <row r="26" spans="1:8">
      <c r="A26" s="111"/>
      <c r="B26" s="111"/>
      <c r="C26" s="111"/>
      <c r="D26" s="111"/>
      <c r="E26" s="111"/>
      <c r="F26" s="111"/>
      <c r="G26" s="112"/>
      <c r="H26" s="111"/>
    </row>
    <row r="27" spans="1:8">
      <c r="A27" s="111"/>
      <c r="B27" s="111"/>
      <c r="C27" s="111"/>
      <c r="D27" s="111"/>
      <c r="E27" s="111"/>
      <c r="F27" s="111"/>
      <c r="G27" s="112"/>
      <c r="H27" s="111"/>
    </row>
    <row r="28" spans="1:8">
      <c r="A28" s="111"/>
      <c r="B28" s="111"/>
      <c r="C28" s="111"/>
      <c r="D28" s="111"/>
      <c r="E28" s="111"/>
      <c r="F28" s="111"/>
      <c r="G28" s="112"/>
      <c r="H28" s="111"/>
    </row>
    <row r="29" spans="1:8">
      <c r="A29" s="111"/>
      <c r="B29" s="111"/>
      <c r="C29" s="111"/>
      <c r="D29" s="111"/>
      <c r="E29" s="111"/>
      <c r="F29" s="111"/>
      <c r="G29" s="112"/>
      <c r="H29" s="111"/>
    </row>
    <row r="30" spans="1:8">
      <c r="A30" s="111"/>
      <c r="B30" s="111"/>
      <c r="C30" s="111"/>
      <c r="D30" s="111"/>
      <c r="E30" s="111"/>
      <c r="F30" s="111"/>
      <c r="G30" s="112"/>
      <c r="H30" s="111"/>
    </row>
    <row r="31" spans="1:8">
      <c r="A31" s="111"/>
      <c r="B31" s="111"/>
      <c r="C31" s="111"/>
      <c r="D31" s="111"/>
      <c r="E31" s="111"/>
      <c r="F31" s="111"/>
      <c r="G31" s="112"/>
      <c r="H31" s="111"/>
    </row>
    <row r="32" spans="1:8">
      <c r="A32" s="111"/>
      <c r="B32" s="111"/>
      <c r="C32" s="111"/>
      <c r="D32" s="111"/>
      <c r="E32" s="111"/>
      <c r="F32" s="111"/>
      <c r="G32" s="112"/>
      <c r="H32" s="111"/>
    </row>
    <row r="33" spans="1:8">
      <c r="A33" s="111"/>
      <c r="B33" s="111"/>
      <c r="C33" s="111"/>
      <c r="D33" s="111"/>
      <c r="E33" s="111"/>
      <c r="F33" s="111"/>
      <c r="G33" s="112"/>
      <c r="H33" s="111"/>
    </row>
    <row r="34" spans="1:8">
      <c r="A34" s="111"/>
      <c r="B34" s="111"/>
      <c r="C34" s="111"/>
      <c r="D34" s="111"/>
      <c r="E34" s="111"/>
      <c r="F34" s="111"/>
      <c r="G34" s="112"/>
      <c r="H34" s="111"/>
    </row>
    <row r="35" spans="1:8">
      <c r="A35" s="111"/>
      <c r="B35" s="111"/>
      <c r="C35" s="111"/>
      <c r="D35" s="111"/>
      <c r="E35" s="111"/>
      <c r="F35" s="111"/>
      <c r="G35" s="112"/>
      <c r="H35" s="111"/>
    </row>
    <row r="36" spans="1:8">
      <c r="A36" s="111"/>
      <c r="B36" s="111"/>
      <c r="C36" s="111"/>
      <c r="D36" s="111"/>
      <c r="E36" s="111"/>
      <c r="F36" s="111"/>
      <c r="G36" s="112"/>
      <c r="H36" s="111"/>
    </row>
    <row r="37" spans="1:8">
      <c r="A37" s="111"/>
      <c r="B37" s="111"/>
      <c r="C37" s="111"/>
      <c r="D37" s="111"/>
      <c r="E37" s="111"/>
      <c r="F37" s="111"/>
      <c r="G37" s="112"/>
      <c r="H37" s="111"/>
    </row>
    <row r="38" spans="1:8">
      <c r="A38" s="111"/>
      <c r="B38" s="111"/>
      <c r="C38" s="111"/>
      <c r="D38" s="111"/>
      <c r="E38" s="111"/>
      <c r="F38" s="111"/>
      <c r="G38" s="112"/>
      <c r="H38" s="111"/>
    </row>
    <row r="39" spans="1:8">
      <c r="A39" s="111"/>
      <c r="B39" s="111"/>
      <c r="C39" s="111"/>
      <c r="D39" s="111"/>
      <c r="E39" s="111"/>
      <c r="F39" s="111"/>
      <c r="G39" s="112"/>
      <c r="H39" s="111"/>
    </row>
    <row r="40" spans="1:8">
      <c r="A40" s="111"/>
      <c r="B40" s="111"/>
      <c r="C40" s="111"/>
      <c r="D40" s="111"/>
      <c r="E40" s="111"/>
      <c r="F40" s="111"/>
      <c r="G40" s="112"/>
      <c r="H40" s="111"/>
    </row>
    <row r="41" spans="1:8">
      <c r="A41" s="111"/>
      <c r="B41" s="111"/>
      <c r="C41" s="111"/>
      <c r="D41" s="111"/>
      <c r="E41" s="111"/>
      <c r="F41" s="111"/>
      <c r="G41" s="112"/>
      <c r="H41" s="111"/>
    </row>
    <row r="42" spans="1:8">
      <c r="A42" s="111"/>
      <c r="B42" s="111"/>
      <c r="C42" s="111"/>
      <c r="D42" s="111"/>
      <c r="E42" s="111"/>
      <c r="F42" s="111"/>
      <c r="G42" s="112"/>
      <c r="H42" s="111"/>
    </row>
    <row r="43" spans="1:8">
      <c r="A43" s="111"/>
      <c r="B43" s="111"/>
      <c r="C43" s="111"/>
      <c r="D43" s="111"/>
      <c r="E43" s="111"/>
      <c r="F43" s="111"/>
      <c r="G43" s="112"/>
      <c r="H43" s="111"/>
    </row>
    <row r="44" spans="1:8">
      <c r="A44" s="111"/>
      <c r="B44" s="111"/>
      <c r="C44" s="111"/>
      <c r="D44" s="111"/>
      <c r="E44" s="111"/>
      <c r="F44" s="111"/>
      <c r="G44" s="112"/>
      <c r="H44" s="111"/>
    </row>
    <row r="45" spans="1:8">
      <c r="A45" s="111"/>
      <c r="B45" s="111"/>
      <c r="C45" s="111"/>
      <c r="D45" s="111"/>
      <c r="E45" s="111"/>
      <c r="F45" s="111"/>
      <c r="G45" s="112"/>
      <c r="H45" s="111"/>
    </row>
    <row r="46" spans="1:8">
      <c r="A46" s="111"/>
      <c r="B46" s="111"/>
      <c r="C46" s="111"/>
      <c r="D46" s="111"/>
      <c r="E46" s="111"/>
      <c r="F46" s="111"/>
      <c r="G46" s="112"/>
      <c r="H46" s="111"/>
    </row>
    <row r="47" spans="1:8">
      <c r="A47" s="111"/>
      <c r="B47" s="111"/>
      <c r="C47" s="111"/>
      <c r="D47" s="111"/>
      <c r="E47" s="111"/>
      <c r="F47" s="111"/>
      <c r="G47" s="112"/>
      <c r="H47" s="111"/>
    </row>
    <row r="48" spans="1:8">
      <c r="A48" s="111"/>
      <c r="B48" s="111"/>
      <c r="C48" s="111"/>
      <c r="D48" s="111"/>
      <c r="E48" s="111"/>
      <c r="F48" s="111"/>
      <c r="G48" s="112"/>
      <c r="H48" s="111"/>
    </row>
    <row r="49" spans="1:8">
      <c r="A49" s="111"/>
      <c r="B49" s="111"/>
      <c r="C49" s="111"/>
      <c r="D49" s="111"/>
      <c r="E49" s="111"/>
      <c r="F49" s="111"/>
      <c r="G49" s="112"/>
      <c r="H49" s="111"/>
    </row>
    <row r="50" spans="1:8">
      <c r="A50" s="111"/>
      <c r="B50" s="111"/>
      <c r="C50" s="111"/>
      <c r="D50" s="111"/>
      <c r="E50" s="111"/>
      <c r="F50" s="111"/>
      <c r="G50" s="112"/>
      <c r="H50" s="111"/>
    </row>
    <row r="51" spans="1:8">
      <c r="A51" s="111"/>
      <c r="B51" s="111"/>
      <c r="C51" s="111"/>
      <c r="D51" s="111"/>
      <c r="E51" s="111"/>
      <c r="F51" s="111"/>
      <c r="G51" s="112"/>
      <c r="H51" s="111"/>
    </row>
    <row r="52" spans="1:8">
      <c r="A52" s="111"/>
      <c r="B52" s="111"/>
      <c r="C52" s="111"/>
      <c r="D52" s="111"/>
      <c r="E52" s="111"/>
      <c r="F52" s="111"/>
      <c r="G52" s="112"/>
      <c r="H52" s="111"/>
    </row>
    <row r="53" spans="1:8">
      <c r="A53" s="111"/>
      <c r="B53" s="111"/>
      <c r="C53" s="111"/>
      <c r="D53" s="111"/>
      <c r="E53" s="111"/>
      <c r="F53" s="111"/>
      <c r="G53" s="112"/>
      <c r="H53" s="111"/>
    </row>
    <row r="54" spans="1:8">
      <c r="A54" s="111"/>
      <c r="B54" s="111"/>
      <c r="C54" s="111"/>
      <c r="D54" s="111"/>
      <c r="E54" s="111"/>
      <c r="F54" s="111"/>
      <c r="G54" s="112"/>
      <c r="H54" s="111"/>
    </row>
    <row r="55" spans="1:8">
      <c r="A55" s="111"/>
      <c r="B55" s="111"/>
      <c r="C55" s="111"/>
      <c r="D55" s="111"/>
      <c r="E55" s="111"/>
      <c r="F55" s="111"/>
      <c r="G55" s="112"/>
      <c r="H55" s="111"/>
    </row>
    <row r="56" spans="1:8">
      <c r="A56" s="111"/>
      <c r="B56" s="111"/>
      <c r="C56" s="111"/>
      <c r="D56" s="111"/>
      <c r="E56" s="111"/>
      <c r="F56" s="111"/>
      <c r="G56" s="112"/>
      <c r="H56" s="111"/>
    </row>
    <row r="57" spans="1:8">
      <c r="A57" s="111"/>
      <c r="B57" s="111"/>
      <c r="C57" s="111"/>
      <c r="D57" s="111"/>
      <c r="E57" s="111"/>
      <c r="F57" s="111"/>
      <c r="G57" s="112"/>
      <c r="H57" s="111"/>
    </row>
    <row r="58" spans="1:8">
      <c r="A58" s="111"/>
      <c r="B58" s="111"/>
      <c r="C58" s="111"/>
      <c r="D58" s="111"/>
      <c r="E58" s="111"/>
      <c r="F58" s="111"/>
      <c r="G58" s="112"/>
      <c r="H58" s="111"/>
    </row>
    <row r="59" spans="1:8">
      <c r="A59" s="111"/>
      <c r="B59" s="111"/>
      <c r="C59" s="111"/>
      <c r="D59" s="111"/>
      <c r="E59" s="111"/>
      <c r="F59" s="111"/>
      <c r="G59" s="112"/>
      <c r="H59" s="111"/>
    </row>
    <row r="60" spans="1:8">
      <c r="A60" s="111"/>
      <c r="B60" s="111"/>
      <c r="C60" s="111"/>
      <c r="D60" s="111"/>
      <c r="E60" s="111"/>
      <c r="F60" s="111"/>
      <c r="G60" s="112"/>
      <c r="H60" s="111"/>
    </row>
    <row r="61" spans="1:8">
      <c r="A61" s="111"/>
      <c r="B61" s="111"/>
      <c r="C61" s="111"/>
      <c r="D61" s="111"/>
      <c r="E61" s="111"/>
      <c r="F61" s="111"/>
      <c r="G61" s="112"/>
      <c r="H61" s="111"/>
    </row>
    <row r="62" spans="1:8">
      <c r="A62" s="111"/>
      <c r="B62" s="111"/>
      <c r="C62" s="111"/>
      <c r="D62" s="111"/>
      <c r="E62" s="111"/>
      <c r="F62" s="111"/>
      <c r="G62" s="112"/>
      <c r="H62" s="111"/>
    </row>
    <row r="63" spans="1:8">
      <c r="A63" s="111"/>
      <c r="B63" s="111"/>
      <c r="C63" s="111"/>
      <c r="D63" s="111"/>
      <c r="E63" s="111"/>
      <c r="F63" s="111"/>
      <c r="G63" s="112"/>
      <c r="H63" s="111"/>
    </row>
    <row r="64" spans="1:8">
      <c r="A64" s="111"/>
      <c r="B64" s="111"/>
      <c r="C64" s="111"/>
      <c r="D64" s="111"/>
      <c r="E64" s="111"/>
      <c r="F64" s="111"/>
      <c r="G64" s="112"/>
      <c r="H64" s="111"/>
    </row>
    <row r="65" spans="1:8">
      <c r="A65" s="111"/>
      <c r="B65" s="111"/>
      <c r="C65" s="111"/>
      <c r="D65" s="111"/>
      <c r="E65" s="111"/>
      <c r="F65" s="111"/>
      <c r="G65" s="112"/>
      <c r="H65" s="111"/>
    </row>
    <row r="66" spans="1:8">
      <c r="A66" s="111"/>
      <c r="B66" s="111"/>
      <c r="C66" s="111"/>
      <c r="D66" s="111"/>
      <c r="E66" s="111"/>
      <c r="F66" s="111"/>
      <c r="G66" s="112"/>
      <c r="H66" s="111"/>
    </row>
    <row r="67" spans="1:8">
      <c r="A67" s="111"/>
      <c r="B67" s="111"/>
      <c r="C67" s="111"/>
      <c r="D67" s="111"/>
      <c r="E67" s="111"/>
      <c r="F67" s="111"/>
      <c r="G67" s="112"/>
      <c r="H67" s="111"/>
    </row>
    <row r="68" spans="1:8">
      <c r="A68" s="111"/>
      <c r="B68" s="111"/>
      <c r="C68" s="111"/>
      <c r="D68" s="111"/>
      <c r="E68" s="111"/>
      <c r="F68" s="111"/>
      <c r="G68" s="112"/>
      <c r="H68" s="111"/>
    </row>
    <row r="69" spans="1:8">
      <c r="A69" s="111"/>
      <c r="B69" s="111"/>
      <c r="C69" s="111"/>
      <c r="D69" s="111"/>
      <c r="E69" s="111"/>
      <c r="F69" s="111"/>
      <c r="G69" s="112"/>
      <c r="H69" s="111"/>
    </row>
    <row r="70" spans="1:8">
      <c r="A70" s="111"/>
      <c r="B70" s="111"/>
      <c r="C70" s="111"/>
      <c r="D70" s="111"/>
      <c r="E70" s="111"/>
      <c r="F70" s="111"/>
      <c r="G70" s="112"/>
      <c r="H70" s="111"/>
    </row>
    <row r="71" spans="1:8">
      <c r="A71" s="111"/>
      <c r="B71" s="111"/>
      <c r="C71" s="111"/>
      <c r="D71" s="111"/>
      <c r="E71" s="111"/>
      <c r="F71" s="111"/>
      <c r="G71" s="112"/>
      <c r="H71" s="111"/>
    </row>
    <row r="72" spans="1:8">
      <c r="A72" s="111"/>
      <c r="B72" s="111"/>
      <c r="C72" s="111"/>
      <c r="D72" s="111"/>
      <c r="E72" s="111"/>
      <c r="F72" s="111"/>
      <c r="G72" s="112"/>
      <c r="H72" s="111"/>
    </row>
    <row r="73" spans="1:8">
      <c r="A73" s="111"/>
      <c r="B73" s="111"/>
      <c r="C73" s="111"/>
      <c r="D73" s="111"/>
      <c r="E73" s="111"/>
      <c r="F73" s="111"/>
      <c r="G73" s="112"/>
      <c r="H73" s="111"/>
    </row>
    <row r="74" spans="1:8">
      <c r="A74" s="111"/>
      <c r="B74" s="111"/>
      <c r="C74" s="111"/>
      <c r="D74" s="111"/>
      <c r="E74" s="111"/>
      <c r="F74" s="111"/>
      <c r="G74" s="112"/>
      <c r="H74" s="111"/>
    </row>
    <row r="75" spans="1:8">
      <c r="A75" s="111"/>
      <c r="B75" s="111"/>
      <c r="C75" s="111"/>
      <c r="D75" s="111"/>
      <c r="E75" s="111"/>
      <c r="F75" s="111"/>
      <c r="G75" s="112"/>
      <c r="H75" s="111"/>
    </row>
    <row r="76" spans="1:8">
      <c r="A76" s="111"/>
      <c r="B76" s="111"/>
      <c r="C76" s="111"/>
      <c r="D76" s="111"/>
      <c r="E76" s="111"/>
      <c r="F76" s="111"/>
      <c r="G76" s="112"/>
      <c r="H76" s="111"/>
    </row>
    <row r="77" spans="1:8">
      <c r="A77" s="111"/>
      <c r="B77" s="111"/>
      <c r="C77" s="111"/>
      <c r="D77" s="111"/>
      <c r="E77" s="111"/>
      <c r="F77" s="111"/>
      <c r="G77" s="112"/>
      <c r="H77" s="111"/>
    </row>
    <row r="78" spans="1:8">
      <c r="A78" s="111"/>
      <c r="B78" s="111"/>
      <c r="C78" s="111"/>
      <c r="D78" s="111"/>
      <c r="E78" s="111"/>
      <c r="F78" s="111"/>
      <c r="G78" s="112"/>
      <c r="H78" s="111"/>
    </row>
    <row r="79" spans="1:8">
      <c r="A79" s="111"/>
      <c r="B79" s="111"/>
      <c r="C79" s="111"/>
      <c r="D79" s="111"/>
      <c r="E79" s="111"/>
      <c r="F79" s="111"/>
      <c r="G79" s="112"/>
      <c r="H79" s="111"/>
    </row>
    <row r="80" spans="1:8">
      <c r="A80" s="111"/>
      <c r="B80" s="111"/>
      <c r="C80" s="111"/>
      <c r="D80" s="111"/>
      <c r="E80" s="111"/>
      <c r="F80" s="111"/>
      <c r="G80" s="112"/>
      <c r="H80" s="111"/>
    </row>
    <row r="81" spans="1:8">
      <c r="A81" s="111"/>
      <c r="B81" s="111"/>
      <c r="C81" s="111"/>
      <c r="D81" s="111"/>
      <c r="E81" s="111"/>
      <c r="F81" s="111"/>
      <c r="G81" s="112"/>
      <c r="H81" s="111"/>
    </row>
    <row r="82" spans="1:8">
      <c r="A82" s="111"/>
      <c r="B82" s="111"/>
      <c r="C82" s="111"/>
      <c r="D82" s="111"/>
      <c r="E82" s="111"/>
      <c r="F82" s="111"/>
      <c r="G82" s="112"/>
      <c r="H82" s="111"/>
    </row>
    <row r="83" spans="1:8">
      <c r="A83" s="111"/>
      <c r="B83" s="111"/>
      <c r="C83" s="111"/>
      <c r="D83" s="111"/>
      <c r="E83" s="111"/>
      <c r="F83" s="111"/>
      <c r="G83" s="112"/>
      <c r="H83" s="111"/>
    </row>
    <row r="84" spans="1:8">
      <c r="A84" s="111"/>
      <c r="B84" s="111"/>
      <c r="C84" s="111"/>
      <c r="D84" s="111"/>
      <c r="E84" s="111"/>
      <c r="F84" s="111"/>
      <c r="G84" s="112"/>
      <c r="H84" s="111"/>
    </row>
    <row r="85" spans="1:8">
      <c r="A85" s="111"/>
      <c r="B85" s="111"/>
      <c r="C85" s="111"/>
      <c r="D85" s="111"/>
      <c r="E85" s="111"/>
      <c r="F85" s="111"/>
      <c r="G85" s="112"/>
      <c r="H85" s="111"/>
    </row>
    <row r="86" spans="1:8">
      <c r="A86" s="111"/>
      <c r="B86" s="111"/>
      <c r="C86" s="111"/>
      <c r="D86" s="111"/>
      <c r="E86" s="111"/>
      <c r="F86" s="111"/>
      <c r="G86" s="112"/>
      <c r="H86" s="111"/>
    </row>
    <row r="87" spans="1:8">
      <c r="A87" s="111"/>
      <c r="B87" s="111"/>
      <c r="C87" s="111"/>
      <c r="D87" s="111"/>
      <c r="E87" s="111"/>
      <c r="F87" s="111"/>
      <c r="G87" s="112"/>
      <c r="H87" s="111"/>
    </row>
    <row r="88" spans="1:8">
      <c r="A88" s="111"/>
      <c r="B88" s="111"/>
      <c r="C88" s="111"/>
      <c r="D88" s="111"/>
      <c r="E88" s="111"/>
      <c r="F88" s="111"/>
      <c r="G88" s="112"/>
      <c r="H88" s="111"/>
    </row>
    <row r="89" spans="1:8">
      <c r="A89" s="111"/>
      <c r="B89" s="111"/>
      <c r="C89" s="111"/>
      <c r="D89" s="111"/>
      <c r="E89" s="111"/>
      <c r="F89" s="111"/>
      <c r="G89" s="112"/>
      <c r="H89" s="111"/>
    </row>
    <row r="90" spans="1:8">
      <c r="A90" s="111"/>
      <c r="B90" s="111"/>
      <c r="C90" s="111"/>
      <c r="D90" s="111"/>
      <c r="E90" s="111"/>
      <c r="F90" s="111"/>
      <c r="G90" s="112"/>
      <c r="H90" s="111"/>
    </row>
    <row r="91" spans="1:8">
      <c r="A91" s="111"/>
      <c r="B91" s="111"/>
      <c r="C91" s="111"/>
      <c r="D91" s="111"/>
      <c r="E91" s="111"/>
      <c r="F91" s="111"/>
      <c r="G91" s="112"/>
      <c r="H91" s="111"/>
    </row>
    <row r="92" spans="1:8">
      <c r="A92" s="111"/>
      <c r="B92" s="111"/>
      <c r="C92" s="111"/>
      <c r="D92" s="111"/>
      <c r="E92" s="111"/>
      <c r="F92" s="111"/>
      <c r="G92" s="112"/>
      <c r="H92" s="111"/>
    </row>
    <row r="93" spans="1:8">
      <c r="A93" s="111"/>
      <c r="B93" s="111"/>
      <c r="C93" s="111"/>
      <c r="D93" s="111"/>
      <c r="E93" s="111"/>
      <c r="F93" s="111"/>
      <c r="G93" s="112"/>
      <c r="H93" s="111"/>
    </row>
    <row r="94" spans="1:8">
      <c r="A94" s="111"/>
      <c r="B94" s="111"/>
      <c r="C94" s="111"/>
      <c r="D94" s="111"/>
      <c r="E94" s="111"/>
      <c r="F94" s="111"/>
      <c r="G94" s="112"/>
      <c r="H94" s="111"/>
    </row>
    <row r="95" spans="1:8">
      <c r="A95" s="111"/>
      <c r="B95" s="111"/>
      <c r="C95" s="111"/>
      <c r="D95" s="111"/>
      <c r="E95" s="111"/>
      <c r="F95" s="111"/>
      <c r="G95" s="112"/>
      <c r="H95" s="111"/>
    </row>
    <row r="96" spans="1:8">
      <c r="A96" s="111"/>
      <c r="B96" s="111"/>
      <c r="C96" s="111"/>
      <c r="D96" s="111"/>
      <c r="E96" s="111"/>
      <c r="F96" s="111"/>
      <c r="G96" s="112"/>
      <c r="H96" s="111"/>
    </row>
    <row r="97" spans="1:8">
      <c r="A97" s="111"/>
      <c r="B97" s="111"/>
      <c r="C97" s="111"/>
      <c r="D97" s="111"/>
      <c r="E97" s="111"/>
      <c r="F97" s="111"/>
      <c r="G97" s="112"/>
      <c r="H97" s="111"/>
    </row>
    <row r="98" spans="1:8">
      <c r="A98" s="111"/>
      <c r="B98" s="111"/>
      <c r="C98" s="111"/>
      <c r="D98" s="111"/>
      <c r="E98" s="111"/>
      <c r="F98" s="111"/>
      <c r="G98" s="112"/>
      <c r="H98" s="111"/>
    </row>
    <row r="99" spans="1:8">
      <c r="A99" s="111"/>
      <c r="B99" s="111"/>
      <c r="C99" s="111"/>
      <c r="D99" s="111"/>
      <c r="E99" s="111"/>
      <c r="F99" s="111"/>
      <c r="G99" s="112"/>
      <c r="H99" s="111"/>
    </row>
    <row r="100" spans="1:8">
      <c r="A100" s="111"/>
      <c r="B100" s="111"/>
      <c r="C100" s="111"/>
      <c r="D100" s="111"/>
      <c r="E100" s="111"/>
      <c r="F100" s="111"/>
      <c r="G100" s="112"/>
      <c r="H100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9</vt:i4>
      </vt:variant>
    </vt:vector>
  </HeadingPairs>
  <TitlesOfParts>
    <vt:vector size="19" baseType="lpstr">
      <vt:lpstr>Л1</vt:lpstr>
      <vt:lpstr>Л2</vt:lpstr>
      <vt:lpstr>Л3</vt:lpstr>
      <vt:lpstr>Л4</vt:lpstr>
      <vt:lpstr>ЛC1</vt:lpstr>
      <vt:lpstr>ЛC2</vt:lpstr>
      <vt:lpstr>ЛC3, ЛС4</vt:lpstr>
      <vt:lpstr>ЛC5</vt:lpstr>
      <vt:lpstr>ЛC6</vt:lpstr>
      <vt:lpstr>Quotation</vt:lpstr>
      <vt:lpstr>Л1!Область_печати</vt:lpstr>
      <vt:lpstr>Л2!Область_печати</vt:lpstr>
      <vt:lpstr>Л3!Область_печати</vt:lpstr>
      <vt:lpstr>Л4!Область_печати</vt:lpstr>
      <vt:lpstr>ЛC1!Область_печати</vt:lpstr>
      <vt:lpstr>ЛC2!Область_печати</vt:lpstr>
      <vt:lpstr>'ЛC3, ЛС4'!Область_печати</vt:lpstr>
      <vt:lpstr>ЛC5!Область_печати</vt:lpstr>
      <vt:lpstr>ЛC6!Область_печати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Алексей</cp:lastModifiedBy>
  <cp:lastPrinted>2010-02-24T03:28:47Z</cp:lastPrinted>
  <dcterms:created xsi:type="dcterms:W3CDTF">1996-12-17T01:32:42Z</dcterms:created>
  <dcterms:modified xsi:type="dcterms:W3CDTF">2026-06-21T17:21:52Z</dcterms:modified>
</cp:coreProperties>
</file>