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nichiy\Desktop\"/>
    </mc:Choice>
  </mc:AlternateContent>
  <bookViews>
    <workbookView xWindow="0" yWindow="0" windowWidth="28125" windowHeight="12135" firstSheet="4" activeTab="4"/>
  </bookViews>
  <sheets>
    <sheet name="ZPML-G660(8ms)" sheetId="6" state="hidden" r:id="rId1"/>
    <sheet name="ZPML-G960" sheetId="8" state="hidden" r:id="rId2"/>
    <sheet name="确认结果" sheetId="10" state="hidden" r:id="rId3"/>
    <sheet name="ZPML-GH70" sheetId="9" state="hidden" r:id="rId4"/>
    <sheet name="电梯配置表" sheetId="14" r:id="rId5"/>
    <sheet name="D-A-MESE-363.11" sheetId="5" state="hidden" r:id="rId6"/>
  </sheets>
  <definedNames>
    <definedName name="_xlnm.Print_Area" localSheetId="0">'ZPML-G660(8ms)'!$A$1:$AK$60</definedName>
    <definedName name="_xlnm.Print_Area" localSheetId="1">'ZPML-G960'!$A$1:$AB$60</definedName>
    <definedName name="_xlnm.Print_Area" localSheetId="3">'ZPML-GH70'!$A$1:$AQ$58</definedName>
  </definedNames>
  <calcPr calcId="162913"/>
</workbook>
</file>

<file path=xl/calcChain.xml><?xml version="1.0" encoding="utf-8"?>
<calcChain xmlns="http://schemas.openxmlformats.org/spreadsheetml/2006/main">
  <c r="AB42" i="8" l="1"/>
  <c r="AA42" i="8"/>
  <c r="Z42" i="8"/>
  <c r="Y42" i="8"/>
  <c r="X42" i="8"/>
  <c r="W42" i="8"/>
  <c r="V42" i="8"/>
  <c r="U42" i="8"/>
  <c r="T42" i="8"/>
  <c r="S42" i="8"/>
  <c r="Q42" i="8"/>
  <c r="P42" i="8"/>
  <c r="O42" i="8"/>
  <c r="M42" i="8"/>
  <c r="L42" i="8"/>
  <c r="K42" i="8"/>
  <c r="J42" i="8"/>
  <c r="I42" i="8"/>
  <c r="H42" i="8"/>
  <c r="G42" i="8"/>
  <c r="F42" i="8"/>
  <c r="E42" i="8"/>
  <c r="R40" i="8"/>
  <c r="R42" i="8" s="1"/>
  <c r="Q40" i="8"/>
  <c r="O40" i="8"/>
  <c r="N40" i="8"/>
  <c r="N42" i="8" s="1"/>
  <c r="L40" i="8"/>
  <c r="K40" i="8"/>
  <c r="I40" i="8"/>
  <c r="H40" i="8"/>
  <c r="F40" i="8"/>
  <c r="E40" i="8"/>
  <c r="AK42" i="6"/>
  <c r="AJ42" i="6"/>
  <c r="AI42" i="6"/>
  <c r="AH42" i="6"/>
  <c r="AG42" i="6"/>
  <c r="AF42" i="6"/>
  <c r="AE42" i="6"/>
  <c r="AB42" i="6"/>
  <c r="Y42" i="6"/>
  <c r="V42" i="6"/>
  <c r="U42" i="6"/>
  <c r="S42" i="6"/>
  <c r="R42" i="6"/>
  <c r="P42" i="6"/>
  <c r="O42" i="6"/>
  <c r="M42" i="6"/>
  <c r="L42" i="6"/>
  <c r="AJ40" i="6"/>
  <c r="AI40" i="6"/>
  <c r="AG40" i="6"/>
  <c r="AF40" i="6"/>
  <c r="AD40" i="6"/>
  <c r="AD42" i="6" s="1"/>
  <c r="AC40" i="6"/>
  <c r="AC42" i="6" s="1"/>
  <c r="AA40" i="6"/>
  <c r="AA42" i="6" s="1"/>
  <c r="Z40" i="6"/>
  <c r="Z42" i="6" s="1"/>
  <c r="X40" i="6"/>
  <c r="X42" i="6" s="1"/>
  <c r="W40" i="6"/>
  <c r="W42" i="6" s="1"/>
</calcChain>
</file>

<file path=xl/comments1.xml><?xml version="1.0" encoding="utf-8"?>
<comments xmlns="http://schemas.openxmlformats.org/spreadsheetml/2006/main">
  <authors>
    <author>HIDA masahiko</author>
  </authors>
  <commentList>
    <comment ref="D40" authorId="0" shapeId="0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MAXIEZ-Mの値流用
※1800kgはGM5H流用
</t>
        </r>
      </text>
    </comment>
  </commentList>
</comments>
</file>

<file path=xl/comments2.xml><?xml version="1.0" encoding="utf-8"?>
<comments xmlns="http://schemas.openxmlformats.org/spreadsheetml/2006/main">
  <authors>
    <author>HIDA masahiko</author>
  </authors>
  <commentList>
    <comment ref="D40" authorId="0" shapeId="0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MAXIEZ-Mの値流用
※1800kgはGM5H流用
</t>
        </r>
      </text>
    </comment>
  </commentList>
</comments>
</file>

<file path=xl/comments3.xml><?xml version="1.0" encoding="utf-8"?>
<comments xmlns="http://schemas.openxmlformats.org/spreadsheetml/2006/main">
  <authors>
    <author>HIDA masahiko</author>
  </authors>
  <commentList>
    <comment ref="D40" authorId="0" shapeId="0">
      <text>
        <r>
          <rPr>
            <b/>
            <sz val="9"/>
            <rFont val="宋体"/>
          </rPr>
          <t>批注:</t>
        </r>
        <r>
          <rPr>
            <sz val="9"/>
            <rFont val="宋体"/>
          </rPr>
          <t xml:space="preserve">
MAXIEZ-Mの値流用
※1800kgはGM5H流用
</t>
        </r>
      </text>
    </comment>
  </commentList>
</comments>
</file>

<file path=xl/sharedStrings.xml><?xml version="1.0" encoding="utf-8"?>
<sst xmlns="http://schemas.openxmlformats.org/spreadsheetml/2006/main" count="2067" uniqueCount="487">
  <si>
    <t>01 SEP .2021</t>
  </si>
  <si>
    <r>
      <rPr>
        <sz val="14"/>
        <color theme="1"/>
        <rFont val="ＭＳ Ｐゴシック"/>
        <charset val="134"/>
      </rPr>
      <t>本要目表的</t>
    </r>
    <r>
      <rPr>
        <sz val="14"/>
        <color theme="1"/>
        <rFont val="宋体"/>
        <charset val="134"/>
      </rPr>
      <t>适用</t>
    </r>
    <r>
      <rPr>
        <sz val="14"/>
        <color theme="1"/>
        <rFont val="ＭＳ Ｐゴシック"/>
        <charset val="134"/>
      </rPr>
      <t>范</t>
    </r>
    <r>
      <rPr>
        <sz val="14"/>
        <color theme="1"/>
        <rFont val="宋体"/>
        <charset val="134"/>
      </rPr>
      <t>围如下</t>
    </r>
    <r>
      <rPr>
        <sz val="14"/>
        <color theme="1"/>
        <rFont val="ＭＳ Ｐゴシック"/>
        <charset val="134"/>
      </rPr>
      <t xml:space="preserve">  This duty table uses as follows.</t>
    </r>
  </si>
  <si>
    <t xml:space="preserve">  ＤＵＴＹ　ＴＡＢＬＥ  </t>
  </si>
  <si>
    <t>适用开始时间</t>
  </si>
  <si>
    <t>2021年    9月</t>
  </si>
  <si>
    <t>适用终止</t>
  </si>
  <si>
    <t>Ｄ－Ａ－****-****</t>
  </si>
  <si>
    <t>Beginning</t>
  </si>
  <si>
    <t>SEP. 2021</t>
  </si>
  <si>
    <t>End</t>
  </si>
  <si>
    <r>
      <rPr>
        <sz val="18"/>
        <color theme="1"/>
        <rFont val="Arial Black"/>
        <charset val="134"/>
      </rPr>
      <t>LEHY-H</t>
    </r>
    <r>
      <rPr>
        <sz val="18"/>
        <color theme="1"/>
        <rFont val="宋体"/>
        <charset val="134"/>
      </rPr>
      <t>　电梯要目表</t>
    </r>
    <r>
      <rPr>
        <sz val="18"/>
        <color theme="1"/>
        <rFont val="Arial Black"/>
        <charset val="134"/>
      </rPr>
      <t xml:space="preserve"> [GB7588-2021</t>
    </r>
    <r>
      <rPr>
        <sz val="18"/>
        <color theme="1"/>
        <rFont val="宋体"/>
        <charset val="134"/>
      </rPr>
      <t>对应</t>
    </r>
    <r>
      <rPr>
        <sz val="18"/>
        <color theme="1"/>
        <rFont val="Arial Black"/>
        <charset val="134"/>
      </rPr>
      <t>]</t>
    </r>
  </si>
  <si>
    <r>
      <rPr>
        <sz val="11"/>
        <color theme="1"/>
        <rFont val="ＭＳ Ｐゴシック"/>
        <charset val="134"/>
      </rPr>
      <t>&lt;条件&gt; ①GB7588-2003</t>
    </r>
    <r>
      <rPr>
        <sz val="11"/>
        <color theme="1"/>
        <rFont val="宋体"/>
        <charset val="134"/>
      </rPr>
      <t>标准</t>
    </r>
    <r>
      <rPr>
        <sz val="11"/>
        <color theme="1"/>
        <rFont val="ＭＳ Ｐゴシック"/>
        <charset val="134"/>
      </rPr>
      <t xml:space="preserve"> ②50％</t>
    </r>
    <r>
      <rPr>
        <sz val="11"/>
        <color theme="1"/>
        <rFont val="宋体"/>
        <charset val="134"/>
      </rPr>
      <t>对重平衡系数</t>
    </r>
    <r>
      <rPr>
        <sz val="11"/>
        <color theme="1"/>
        <rFont val="ＭＳ Ｐゴシック"/>
        <charset val="134"/>
      </rPr>
      <t xml:space="preserve"> ③上部机械室 ④</t>
    </r>
    <r>
      <rPr>
        <sz val="11"/>
        <color theme="1"/>
        <rFont val="宋体"/>
        <charset val="134"/>
      </rPr>
      <t>标准</t>
    </r>
    <r>
      <rPr>
        <sz val="11"/>
        <color theme="1"/>
        <rFont val="ＭＳ Ｐゴシック"/>
        <charset val="134"/>
      </rPr>
      <t>加速度 ⑤CWT后落</t>
    </r>
  </si>
  <si>
    <t>&lt;Condition&gt; ①GB7588-2003 Compliance ②CWT Balance 50％ ③Overhead Machine Room ④Standard Acceleration</t>
  </si>
  <si>
    <t>STANDARD DUTY TABLE FOR LEHY-H [For GB7588.1-2021]</t>
  </si>
  <si>
    <r>
      <rPr>
        <sz val="11"/>
        <rFont val="ＭＳ Ｐゴシック"/>
        <charset val="134"/>
      </rPr>
      <t xml:space="preserve">　　　　　　　  ⑤CWT Rear Drop </t>
    </r>
    <r>
      <rPr>
        <sz val="11"/>
        <rFont val="ＭＳ Ｐゴシック"/>
        <charset val="134"/>
      </rPr>
      <t>⑥2:1目前</t>
    </r>
    <r>
      <rPr>
        <sz val="11"/>
        <rFont val="宋体"/>
        <charset val="134"/>
      </rPr>
      <t>应用方面没有经验</t>
    </r>
  </si>
  <si>
    <t>速度　　　Speed(m/min.)(Roping)</t>
  </si>
  <si>
    <t>180（２：１）</t>
  </si>
  <si>
    <t>240（２：１）</t>
  </si>
  <si>
    <t>480（１：１）</t>
  </si>
  <si>
    <t>控制方式  Control System</t>
  </si>
  <si>
    <t>ＶＦGＨ</t>
  </si>
  <si>
    <t>操作方式　Operation System</t>
  </si>
  <si>
    <t>2BC,  2C-2BC,  ΣAI22,  ΣAI-2200C</t>
  </si>
  <si>
    <r>
      <rPr>
        <sz val="11"/>
        <color theme="1"/>
        <rFont val="宋体"/>
        <charset val="134"/>
      </rPr>
      <t>门系统</t>
    </r>
    <r>
      <rPr>
        <sz val="11"/>
        <color theme="1"/>
        <rFont val="ＭＳ Ｐゴシック"/>
        <charset val="134"/>
      </rPr>
      <t>　Door System</t>
    </r>
  </si>
  <si>
    <r>
      <rPr>
        <sz val="11"/>
        <color theme="1"/>
        <rFont val="宋体"/>
        <charset val="134"/>
      </rPr>
      <t>轿厢</t>
    </r>
    <r>
      <rPr>
        <sz val="11"/>
        <color theme="1"/>
        <rFont val="ＭＳ Ｐゴシック"/>
        <charset val="134"/>
      </rPr>
      <t>(CAR)：LV1-CO，LV2-CO/2S　　ﾉﾘﾊﾞ(HALL)：L2-CO，L3-CO/2S  　*1</t>
    </r>
  </si>
  <si>
    <t>積載量　　Capacity　     　［kg］</t>
  </si>
  <si>
    <t>最大提升高度　Max.Travel   ［ｍ］</t>
  </si>
  <si>
    <t>风音对策</t>
  </si>
  <si>
    <t>标准轿壁</t>
  </si>
  <si>
    <t>简易二重</t>
  </si>
  <si>
    <r>
      <rPr>
        <sz val="11"/>
        <color theme="1"/>
        <rFont val="ＭＳ Ｐゴシック"/>
        <charset val="134"/>
      </rPr>
      <t>吸音</t>
    </r>
    <r>
      <rPr>
        <sz val="11"/>
        <color theme="1"/>
        <rFont val="宋体"/>
        <charset val="134"/>
      </rPr>
      <t>轿壁</t>
    </r>
  </si>
  <si>
    <t>曳引机   Traction Machine ［kw］</t>
  </si>
  <si>
    <t>PPML-F81</t>
  </si>
  <si>
    <t>ZPML-G660</t>
  </si>
  <si>
    <r>
      <rPr>
        <sz val="11"/>
        <color theme="1"/>
        <rFont val="ＭＳ Ｐゴシック"/>
        <charset val="134"/>
      </rPr>
      <t>曳引</t>
    </r>
    <r>
      <rPr>
        <sz val="11"/>
        <color theme="1"/>
        <rFont val="宋体"/>
        <charset val="134"/>
      </rPr>
      <t>轮直径</t>
    </r>
    <r>
      <rPr>
        <sz val="11"/>
        <color theme="1"/>
        <rFont val="ＭＳ Ｐゴシック"/>
        <charset val="134"/>
      </rPr>
      <t xml:space="preserve">  Sheave dia   ［mm］</t>
    </r>
  </si>
  <si>
    <t>φ610</t>
  </si>
  <si>
    <t>φ710</t>
  </si>
  <si>
    <r>
      <rPr>
        <sz val="11"/>
        <color theme="1"/>
        <rFont val="ＭＳ Ｐゴシック"/>
        <charset val="134"/>
      </rPr>
      <t>曳引</t>
    </r>
    <r>
      <rPr>
        <sz val="11"/>
        <color theme="1"/>
        <rFont val="宋体"/>
        <charset val="134"/>
      </rPr>
      <t>绳</t>
    </r>
    <r>
      <rPr>
        <sz val="11"/>
        <color theme="1"/>
        <rFont val="ＭＳ Ｐゴシック"/>
        <charset val="134"/>
      </rPr>
      <t xml:space="preserve">  Hoisting Ropes</t>
    </r>
  </si>
  <si>
    <t>OMEGAφ14×8</t>
  </si>
  <si>
    <t>Omega fillerφ14×9</t>
  </si>
  <si>
    <t>Omega fillerφ14×10</t>
  </si>
  <si>
    <t>Omega fillerφ14×7,8,9</t>
  </si>
  <si>
    <t>Omega fillerφ14×8,9</t>
  </si>
  <si>
    <t>Omega fillerφ14×9，10</t>
  </si>
  <si>
    <r>
      <rPr>
        <sz val="11"/>
        <color theme="1"/>
        <rFont val="宋体"/>
        <charset val="134"/>
      </rPr>
      <t>补偿绳</t>
    </r>
    <r>
      <rPr>
        <sz val="11"/>
        <color theme="1"/>
        <rFont val="ＭＳ Ｐゴシック"/>
        <charset val="134"/>
      </rPr>
      <t xml:space="preserve"> Compensating Rope</t>
    </r>
  </si>
  <si>
    <t>φ16×10</t>
  </si>
  <si>
    <t>φ16Fi×12</t>
  </si>
  <si>
    <t>φ18Fi×12</t>
  </si>
  <si>
    <t>φ18Fi×4</t>
  </si>
  <si>
    <t>φ18Fi×4/φ16Fi×6</t>
  </si>
  <si>
    <r>
      <rPr>
        <sz val="11"/>
        <color theme="1"/>
        <rFont val="宋体"/>
        <charset val="134"/>
      </rPr>
      <t>补偿轮</t>
    </r>
    <r>
      <rPr>
        <sz val="11"/>
        <color theme="1"/>
        <rFont val="ＭＳ Ｐゴシック"/>
        <charset val="134"/>
      </rPr>
      <t>Compensating Sheave</t>
    </r>
  </si>
  <si>
    <t>待定</t>
  </si>
  <si>
    <r>
      <rPr>
        <sz val="11"/>
        <color theme="1"/>
        <rFont val="ＭＳ Ｐゴシック"/>
        <charset val="134"/>
      </rPr>
      <t>随行</t>
    </r>
    <r>
      <rPr>
        <sz val="11"/>
        <color theme="1"/>
        <rFont val="宋体"/>
        <charset val="134"/>
      </rPr>
      <t>电缆</t>
    </r>
    <r>
      <rPr>
        <sz val="11"/>
        <color theme="1"/>
        <rFont val="ＭＳ Ｐゴシック"/>
        <charset val="134"/>
      </rPr>
      <t xml:space="preserve"> Traveling cable</t>
    </r>
  </si>
  <si>
    <r>
      <rPr>
        <sz val="11"/>
        <color theme="1"/>
        <rFont val="ＭＳ Ｐゴシック"/>
        <charset val="134"/>
      </rPr>
      <t>120C×2低烟无</t>
    </r>
    <r>
      <rPr>
        <sz val="11"/>
        <color theme="1"/>
        <rFont val="宋体"/>
        <charset val="134"/>
      </rPr>
      <t>卤（</t>
    </r>
    <r>
      <rPr>
        <sz val="11"/>
        <color theme="1"/>
        <rFont val="ＭＳ Ｐゴシック"/>
        <charset val="134"/>
      </rPr>
      <t>4.3kg/m</t>
    </r>
    <r>
      <rPr>
        <sz val="11"/>
        <color theme="1"/>
        <rFont val="宋体"/>
        <charset val="134"/>
      </rPr>
      <t>）</t>
    </r>
  </si>
  <si>
    <t>120C×2</t>
  </si>
  <si>
    <r>
      <rPr>
        <sz val="11"/>
        <color theme="1"/>
        <rFont val="ＭＳ Ｐゴシック"/>
        <charset val="134"/>
      </rPr>
      <t>返</t>
    </r>
    <r>
      <rPr>
        <sz val="11"/>
        <color theme="1"/>
        <rFont val="宋体"/>
        <charset val="134"/>
      </rPr>
      <t>绳轮</t>
    </r>
    <r>
      <rPr>
        <sz val="11"/>
        <color theme="1"/>
        <rFont val="ＭＳ Ｐゴシック"/>
        <charset val="134"/>
      </rPr>
      <t xml:space="preserve">    Suspension Sheave dia   ［mm］</t>
    </r>
  </si>
  <si>
    <t>φ760</t>
  </si>
  <si>
    <t>－</t>
  </si>
  <si>
    <t>限速器</t>
  </si>
  <si>
    <t>轿厢侧</t>
  </si>
  <si>
    <t>Car</t>
  </si>
  <si>
    <t>DG-640</t>
  </si>
  <si>
    <t>ZDG-1000</t>
  </si>
  <si>
    <t>Governor</t>
  </si>
  <si>
    <t>对重侧</t>
  </si>
  <si>
    <t>CWT</t>
  </si>
  <si>
    <t>(DGC-640)</t>
  </si>
  <si>
    <t>(DGC-700)</t>
  </si>
  <si>
    <r>
      <rPr>
        <sz val="11"/>
        <color theme="1"/>
        <rFont val="ＭＳ Ｐゴシック"/>
        <charset val="134"/>
      </rPr>
      <t>安全</t>
    </r>
    <r>
      <rPr>
        <sz val="11"/>
        <color theme="1"/>
        <rFont val="宋体"/>
        <charset val="134"/>
      </rPr>
      <t>钳</t>
    </r>
  </si>
  <si>
    <t>GSB-1300</t>
  </si>
  <si>
    <t>GSB-1500</t>
  </si>
  <si>
    <t>GSB-1500/GSB-1301D</t>
  </si>
  <si>
    <r>
      <rPr>
        <sz val="11"/>
        <rFont val="ＭＳ Ｐゴシック"/>
        <charset val="134"/>
      </rPr>
      <t xml:space="preserve">GSB-680 / GSB-955 / GSB-955H / </t>
    </r>
    <r>
      <rPr>
        <sz val="11"/>
        <rFont val="ＭＳ Ｐゴシック"/>
        <charset val="134"/>
      </rPr>
      <t>GSB-910</t>
    </r>
  </si>
  <si>
    <t>GSB-680 / GSB-955 / GSB-955H / GSB-910</t>
  </si>
  <si>
    <t>Safety Gear</t>
  </si>
  <si>
    <t>(GSC-955)</t>
  </si>
  <si>
    <t>(GSC-680)</t>
  </si>
  <si>
    <t>缓冲器</t>
  </si>
  <si>
    <t>ZOB-610×2</t>
  </si>
  <si>
    <t>ZOB-1100</t>
  </si>
  <si>
    <t>ZOB-1100×2</t>
  </si>
  <si>
    <t>LB50.001</t>
  </si>
  <si>
    <t>Buffer</t>
  </si>
  <si>
    <t>对重</t>
  </si>
  <si>
    <r>
      <rPr>
        <sz val="11"/>
        <color theme="1"/>
        <rFont val="ＭＳ Ｐゴシック"/>
        <charset val="134"/>
      </rPr>
      <t>无安全</t>
    </r>
    <r>
      <rPr>
        <sz val="11"/>
        <color theme="1"/>
        <rFont val="宋体"/>
        <charset val="134"/>
      </rPr>
      <t>钳</t>
    </r>
  </si>
  <si>
    <t>W/O SF</t>
  </si>
  <si>
    <t>1500×260</t>
  </si>
  <si>
    <t>1850×310</t>
  </si>
  <si>
    <t>1500×310</t>
  </si>
  <si>
    <t>Counter Weight</t>
  </si>
  <si>
    <r>
      <rPr>
        <sz val="11"/>
        <color theme="1"/>
        <rFont val="ＭＳ Ｐゴシック"/>
        <charset val="134"/>
      </rPr>
      <t>有安全</t>
    </r>
    <r>
      <rPr>
        <sz val="11"/>
        <color theme="1"/>
        <rFont val="宋体"/>
        <charset val="134"/>
      </rPr>
      <t>钳</t>
    </r>
  </si>
  <si>
    <t>With SF</t>
  </si>
  <si>
    <t>轿厢导靴</t>
  </si>
  <si>
    <t>LUR-268K （option:LUC-261）</t>
  </si>
  <si>
    <t>LUR320K （option:LUC-320K）</t>
  </si>
  <si>
    <t>Guide shoe</t>
  </si>
  <si>
    <t>LUR-111M</t>
  </si>
  <si>
    <t>LUR-150</t>
  </si>
  <si>
    <r>
      <rPr>
        <sz val="11"/>
        <color theme="1"/>
        <rFont val="宋体"/>
        <charset val="134"/>
      </rPr>
      <t>导轨</t>
    </r>
    <r>
      <rPr>
        <sz val="11"/>
        <color theme="1"/>
        <rFont val="ＭＳ Ｐゴシック"/>
        <charset val="134"/>
      </rPr>
      <t xml:space="preserve">
Guide Rail
（Bracket span 2.5m）</t>
    </r>
  </si>
  <si>
    <t>T140-1/BEJ
T127-2/BEJ</t>
  </si>
  <si>
    <t>T140-1/BEJ
T140-2/BEJ</t>
  </si>
  <si>
    <t>T140-3/BEJ
T140-2/BEJ</t>
  </si>
  <si>
    <t>无 W/O  SF</t>
  </si>
  <si>
    <t>T127-1/BEJ</t>
  </si>
  <si>
    <t>T127-2/BEJ
T140-1/BEJ</t>
  </si>
  <si>
    <r>
      <rPr>
        <sz val="11"/>
        <color theme="1"/>
        <rFont val="宋体"/>
        <charset val="134"/>
      </rPr>
      <t>对</t>
    </r>
    <r>
      <rPr>
        <sz val="11"/>
        <color theme="1"/>
        <rFont val="ＭＳ Ｐゴシック"/>
        <charset val="134"/>
      </rPr>
      <t>重</t>
    </r>
    <r>
      <rPr>
        <sz val="11"/>
        <color theme="1"/>
        <rFont val="宋体"/>
        <charset val="134"/>
      </rPr>
      <t>侧</t>
    </r>
  </si>
  <si>
    <t>有 With SF</t>
  </si>
  <si>
    <t>T127-2/BEJ
T127-1/BEJ</t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</si>
  <si>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导轨支架间距</t>
    </r>
  </si>
  <si>
    <t>ｶｺﾞ側</t>
  </si>
  <si>
    <t>Car［ｍ］</t>
  </si>
  <si>
    <t>Max. Rail Bracket Span</t>
  </si>
  <si>
    <t>ｵﾓﾘ側</t>
  </si>
  <si>
    <t>CWT［ｍ］</t>
  </si>
  <si>
    <r>
      <rPr>
        <sz val="11"/>
        <color theme="1"/>
        <rFont val="宋体"/>
        <charset val="134"/>
      </rPr>
      <t>轿厢室质量</t>
    </r>
    <r>
      <rPr>
        <sz val="11"/>
        <color theme="1"/>
        <rFont val="ＭＳ Ｐゴシック"/>
        <charset val="134"/>
      </rPr>
      <t xml:space="preserve">   Cage Mass   ［kg］</t>
    </r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</si>
  <si>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轿厢室质量</t>
    </r>
    <r>
      <rPr>
        <sz val="11"/>
        <color theme="1"/>
        <rFont val="ＭＳ Ｐゴシック"/>
        <charset val="134"/>
      </rPr>
      <t xml:space="preserve">
Max. Cage Mass   ［kg］</t>
    </r>
  </si>
  <si>
    <r>
      <rPr>
        <sz val="11"/>
        <color theme="1"/>
        <rFont val="ＭＳ Ｐゴシック"/>
        <charset val="134"/>
      </rPr>
      <t>二次装</t>
    </r>
    <r>
      <rPr>
        <sz val="11"/>
        <color theme="1"/>
        <rFont val="宋体"/>
        <charset val="134"/>
      </rPr>
      <t>潢</t>
    </r>
    <r>
      <rPr>
        <sz val="11"/>
        <color theme="1"/>
        <rFont val="ＭＳ Ｐゴシック"/>
        <charset val="134"/>
      </rPr>
      <t xml:space="preserve"> ［kg］</t>
    </r>
  </si>
  <si>
    <r>
      <rPr>
        <sz val="11"/>
        <color theme="1"/>
        <rFont val="宋体"/>
        <charset val="134"/>
      </rPr>
      <t>轿厢</t>
    </r>
    <r>
      <rPr>
        <sz val="11"/>
        <color theme="1"/>
        <rFont val="ＭＳ Ｐゴシック"/>
        <charset val="134"/>
      </rPr>
      <t>室</t>
    </r>
    <r>
      <rPr>
        <sz val="11"/>
        <color theme="1"/>
        <rFont val="宋体"/>
        <charset val="134"/>
      </rPr>
      <t>质</t>
    </r>
    <r>
      <rPr>
        <sz val="11"/>
        <color theme="1"/>
        <rFont val="ＭＳ Ｐゴシック"/>
        <charset val="134"/>
      </rPr>
      <t>量  ［kg］</t>
    </r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</si>
  <si>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轿厢质</t>
    </r>
    <r>
      <rPr>
        <sz val="11"/>
        <color theme="1"/>
        <rFont val="ＭＳ Ｐゴシック"/>
        <charset val="134"/>
      </rPr>
      <t xml:space="preserve">量
Max. Car Dead Mass［kg］ </t>
    </r>
  </si>
  <si>
    <r>
      <rPr>
        <sz val="11"/>
        <color theme="1"/>
        <rFont val="宋体"/>
        <charset val="134"/>
      </rPr>
      <t>标准土建图</t>
    </r>
    <r>
      <rPr>
        <sz val="11"/>
        <color theme="1"/>
        <rFont val="ＭＳ Ｐゴシック"/>
        <charset val="134"/>
      </rPr>
      <t>　Standard Layout DWG.</t>
    </r>
  </si>
  <si>
    <t xml:space="preserve">最小底坑  Min. Pit Depth   ［mm］ </t>
  </si>
  <si>
    <t>部件限制条件
Limit of Equipment
(参考)               
(reference)</t>
  </si>
  <si>
    <r>
      <rPr>
        <sz val="11"/>
        <color theme="1"/>
        <rFont val="ＭＳ Ｐゴシック"/>
        <charset val="134"/>
      </rPr>
      <t>曳引</t>
    </r>
    <r>
      <rPr>
        <sz val="11"/>
        <color theme="1"/>
        <rFont val="宋体"/>
        <charset val="134"/>
      </rPr>
      <t>绳</t>
    </r>
  </si>
  <si>
    <t>绳伸长</t>
  </si>
  <si>
    <t>面压：3.25</t>
  </si>
  <si>
    <t>面压：3.23</t>
  </si>
  <si>
    <t>面压：3.33</t>
  </si>
  <si>
    <t>面压：3.31</t>
  </si>
  <si>
    <t>面压：3.50</t>
  </si>
  <si>
    <t>面压：3.48</t>
  </si>
  <si>
    <t>电机力矩
加速度=0.75
面压：3.09</t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</si>
  <si>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：3.53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</si>
  <si>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：3.27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</si>
  <si>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：325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</si>
  <si>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3.63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</si>
  <si>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3.35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</si>
  <si>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3.33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</si>
  <si>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3.51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</si>
  <si>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3.48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</si>
  <si>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3.45</t>
    </r>
  </si>
  <si>
    <r>
      <rPr>
        <sz val="11"/>
        <color theme="1"/>
        <rFont val="宋体"/>
        <charset val="134"/>
      </rPr>
      <t>钢丝绳</t>
    </r>
    <r>
      <rPr>
        <sz val="11"/>
        <color theme="1"/>
        <rFont val="ＭＳ Ｐゴシック"/>
        <charset val="134"/>
      </rPr>
      <t>安全系数
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：3.62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</si>
  <si>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：3.33</t>
    </r>
  </si>
  <si>
    <r>
      <rPr>
        <sz val="11"/>
        <color theme="1"/>
        <rFont val="宋体"/>
        <charset val="134"/>
      </rPr>
      <t>钢丝绳安全系数</t>
    </r>
    <r>
      <rPr>
        <sz val="11"/>
        <color theme="1"/>
        <rFont val="ＭＳ Ｐゴシック"/>
        <charset val="134"/>
      </rPr>
      <t xml:space="preserve">
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>：356</t>
    </r>
  </si>
  <si>
    <t>面压：3.42</t>
  </si>
  <si>
    <t>面压：3.40</t>
  </si>
  <si>
    <r>
      <rPr>
        <sz val="11"/>
        <color theme="1"/>
        <rFont val="宋体"/>
        <charset val="134"/>
      </rPr>
      <t>电机力矩</t>
    </r>
    <r>
      <rPr>
        <sz val="11"/>
        <color theme="1"/>
        <rFont val="ＭＳ Ｐゴシック"/>
        <charset val="134"/>
      </rPr>
      <t xml:space="preserve">  [Nm]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ＭＳ Ｐゴシック"/>
        <charset val="134"/>
      </rPr>
      <t>Tor. Of T/M</t>
    </r>
  </si>
  <si>
    <t>额定</t>
  </si>
  <si>
    <r>
      <rPr>
        <sz val="11"/>
        <color theme="1"/>
        <rFont val="ＭＳ Ｐゴシック"/>
        <charset val="134"/>
      </rPr>
      <t xml:space="preserve">最大
</t>
    </r>
  </si>
  <si>
    <r>
      <rPr>
        <sz val="11"/>
        <color theme="1"/>
        <rFont val="ＭＳ Ｐゴシック"/>
        <charset val="134"/>
      </rPr>
      <t>机械系</t>
    </r>
    <r>
      <rPr>
        <sz val="11"/>
        <color theme="1"/>
        <rFont val="宋体"/>
        <charset val="134"/>
      </rPr>
      <t>统转动惯量</t>
    </r>
    <r>
      <rPr>
        <sz val="11"/>
        <color theme="1"/>
        <rFont val="ＭＳ Ｐゴシック"/>
        <charset val="134"/>
      </rPr>
      <t xml:space="preserve">  [kg*m2]</t>
    </r>
  </si>
  <si>
    <t>提升功率 [kw]</t>
  </si>
  <si>
    <r>
      <rPr>
        <sz val="11"/>
        <color theme="1"/>
        <rFont val="ＭＳ Ｐゴシック"/>
        <charset val="134"/>
      </rPr>
      <t>ACOP用
115%SPD 空</t>
    </r>
    <r>
      <rPr>
        <sz val="11"/>
        <color theme="1"/>
        <rFont val="宋体"/>
        <charset val="134"/>
      </rPr>
      <t>载上行时
电机力矩</t>
    </r>
    <r>
      <rPr>
        <sz val="11"/>
        <color theme="1"/>
        <rFont val="ＭＳ Ｐゴシック"/>
        <charset val="134"/>
      </rPr>
      <t xml:space="preserve">  [Nm]</t>
    </r>
    <r>
      <rPr>
        <sz val="11"/>
        <color theme="1"/>
        <rFont val="宋体"/>
        <charset val="134"/>
      </rPr>
      <t xml:space="preserve">
</t>
    </r>
    <r>
      <rPr>
        <sz val="11"/>
        <color theme="1"/>
        <rFont val="ＭＳ Ｐゴシック"/>
        <charset val="134"/>
      </rPr>
      <t>Tor. Of T/M</t>
    </r>
  </si>
  <si>
    <t>最大</t>
  </si>
  <si>
    <t xml:space="preserve">      SHANGHAI MITSUBISHI ELEVATOR CO.,LTD.</t>
  </si>
  <si>
    <t>*1：only LV2-CO/2S can aplly High-Cab(HC≦3215)</t>
  </si>
  <si>
    <r>
      <rPr>
        <sz val="11"/>
        <rFont val="ＭＳ Ｐゴシック"/>
        <charset val="134"/>
      </rPr>
      <t>*2：采用</t>
    </r>
    <r>
      <rPr>
        <sz val="11"/>
        <rFont val="宋体"/>
        <charset val="134"/>
      </rPr>
      <t>钢芯钢丝绳，面压控制在</t>
    </r>
    <r>
      <rPr>
        <sz val="11"/>
        <rFont val="ＭＳ Ｐゴシック"/>
        <charset val="134"/>
      </rPr>
      <t>115%*麻芯面</t>
    </r>
    <r>
      <rPr>
        <sz val="11"/>
        <rFont val="宋体"/>
        <charset val="134"/>
      </rPr>
      <t>压范围内。</t>
    </r>
  </si>
  <si>
    <t>TONG ZHENGGUO</t>
  </si>
  <si>
    <t xml:space="preserve"> </t>
  </si>
  <si>
    <r>
      <rPr>
        <sz val="18"/>
        <color theme="1"/>
        <rFont val="Arial Black"/>
        <charset val="134"/>
      </rPr>
      <t>LEHY-H</t>
    </r>
    <r>
      <rPr>
        <sz val="18"/>
        <color theme="1"/>
        <rFont val="宋体"/>
        <charset val="134"/>
      </rPr>
      <t>　电梯要目表</t>
    </r>
    <r>
      <rPr>
        <sz val="18"/>
        <color theme="1"/>
        <rFont val="Arial Black"/>
        <charset val="134"/>
      </rPr>
      <t xml:space="preserve"> [GB7588.1-2021</t>
    </r>
    <r>
      <rPr>
        <sz val="18"/>
        <color theme="1"/>
        <rFont val="宋体"/>
        <charset val="134"/>
      </rPr>
      <t>对应</t>
    </r>
    <r>
      <rPr>
        <sz val="18"/>
        <color theme="1"/>
        <rFont val="Arial Black"/>
        <charset val="134"/>
      </rPr>
      <t>]</t>
    </r>
  </si>
  <si>
    <r>
      <rPr>
        <sz val="11"/>
        <rFont val="ＭＳ Ｐゴシック"/>
        <charset val="134"/>
      </rPr>
      <t xml:space="preserve">　　　　　　　  ⑤CWT Rear Drop </t>
    </r>
    <r>
      <rPr>
        <sz val="11"/>
        <rFont val="ＭＳ Ｐゴシック"/>
        <charset val="134"/>
      </rPr>
      <t>⑥</t>
    </r>
    <r>
      <rPr>
        <sz val="11"/>
        <rFont val="宋体"/>
        <charset val="134"/>
      </rPr>
      <t>一般曳引轮直径越大，许用面压越大。</t>
    </r>
  </si>
  <si>
    <t>600（１：１）</t>
  </si>
  <si>
    <t>420（１：１）</t>
  </si>
  <si>
    <t>360（１：１）</t>
  </si>
  <si>
    <t>ZPML-G960</t>
  </si>
  <si>
    <t>φ860</t>
  </si>
  <si>
    <t>Omega fillerφ16×7，8</t>
  </si>
  <si>
    <t>Omega fillerφ16×8,9</t>
  </si>
  <si>
    <t>Omega fillerφ16×7,8</t>
  </si>
  <si>
    <t>φ16Fi×6/φ18Fi×4</t>
  </si>
  <si>
    <t>φ16Fi×6/φ18Fi×6</t>
  </si>
  <si>
    <t>150C×2</t>
  </si>
  <si>
    <r>
      <rPr>
        <sz val="11"/>
        <color theme="1"/>
        <rFont val="ＭＳ Ｐゴシック"/>
        <charset val="134"/>
      </rPr>
      <t>150C×2低烟无</t>
    </r>
    <r>
      <rPr>
        <sz val="11"/>
        <color theme="1"/>
        <rFont val="宋体"/>
        <charset val="134"/>
      </rPr>
      <t>卤（</t>
    </r>
    <r>
      <rPr>
        <sz val="11"/>
        <color theme="1"/>
        <rFont val="ＭＳ Ｐゴシック"/>
        <charset val="134"/>
      </rPr>
      <t>4.9kg/m</t>
    </r>
    <r>
      <rPr>
        <sz val="11"/>
        <color theme="1"/>
        <rFont val="宋体"/>
        <charset val="134"/>
      </rPr>
      <t>）</t>
    </r>
  </si>
  <si>
    <t>ZDGD-100</t>
  </si>
  <si>
    <t>(DGC-1000)</t>
  </si>
  <si>
    <t>(DGC-1000/(DGC-700)</t>
  </si>
  <si>
    <t>(ZDGC-100)</t>
  </si>
  <si>
    <r>
      <rPr>
        <sz val="11"/>
        <rFont val="ＭＳ Ｐゴシック"/>
        <charset val="134"/>
      </rPr>
      <t xml:space="preserve"> GSB-955 / GSB-955H / </t>
    </r>
    <r>
      <rPr>
        <sz val="11"/>
        <rFont val="ＭＳ Ｐゴシック"/>
        <charset val="134"/>
      </rPr>
      <t>GSB-910</t>
    </r>
  </si>
  <si>
    <t xml:space="preserve"> GSB-955 / GSB-955H / GSB-910/GSB-1300</t>
  </si>
  <si>
    <r>
      <rPr>
        <sz val="11"/>
        <color theme="1"/>
        <rFont val="ＭＳ Ｐゴシック"/>
        <charset val="134"/>
      </rPr>
      <t xml:space="preserve"> GSB-955 / GSB-955H / </t>
    </r>
    <r>
      <rPr>
        <sz val="11"/>
        <color rgb="FFFF0000"/>
        <rFont val="ＭＳ Ｐゴシック"/>
        <charset val="134"/>
      </rPr>
      <t>GSB-910</t>
    </r>
    <r>
      <rPr>
        <sz val="11"/>
        <color theme="1"/>
        <rFont val="ＭＳ Ｐゴシック"/>
        <charset val="134"/>
      </rPr>
      <t>/GSB-1300</t>
    </r>
  </si>
  <si>
    <t>(GSC-680/GSC-955)</t>
  </si>
  <si>
    <t>ZOB-2800</t>
  </si>
  <si>
    <t>LB40.001</t>
  </si>
  <si>
    <t>T140-2/BEJ
T1140-1/BEJ</t>
  </si>
  <si>
    <t>T127-2/BEJ</t>
  </si>
  <si>
    <r>
      <rPr>
        <sz val="11"/>
        <color theme="1"/>
        <rFont val="ＭＳ Ｐゴシック"/>
        <charset val="134"/>
      </rPr>
      <t>最大</t>
    </r>
    <r>
      <rPr>
        <sz val="11"/>
        <color theme="1"/>
        <rFont val="宋体"/>
        <charset val="134"/>
      </rPr>
      <t>轿厢质</t>
    </r>
    <r>
      <rPr>
        <sz val="11"/>
        <color theme="1"/>
        <rFont val="ＭＳ Ｐゴシック"/>
        <charset val="134"/>
      </rPr>
      <t xml:space="preserve">量 W1
Max. Car Dead Mass［kg］ </t>
    </r>
  </si>
  <si>
    <t>適用限界機器  
Limit of Equipment
(参考)               
(reference)</t>
  </si>
  <si>
    <t>曳引绳</t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</si>
  <si>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3.20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</si>
  <si>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3.41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</si>
  <si>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3.39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</si>
  <si>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3.28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</si>
  <si>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3.49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</si>
  <si>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3.47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</si>
  <si>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3.4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</si>
  <si>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3.60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</si>
  <si>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3.58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</si>
  <si>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3..27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</si>
  <si>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3.24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</si>
  <si>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3.21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</si>
  <si>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3.14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</si>
  <si>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3.33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</si>
  <si>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>3.30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</si>
  <si>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3.19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</si>
  <si>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 xml:space="preserve">：3.17
</t>
    </r>
    <r>
      <rPr>
        <sz val="11"/>
        <color theme="1"/>
        <rFont val="宋体"/>
        <charset val="134"/>
      </rPr>
      <t>电</t>
    </r>
    <r>
      <rPr>
        <sz val="11"/>
        <color theme="1"/>
        <rFont val="ＭＳ Ｐゴシック"/>
        <charset val="134"/>
      </rPr>
      <t>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</si>
  <si>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3.15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</si>
  <si>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</t>
    </r>
    <r>
      <rPr>
        <sz val="11"/>
        <color theme="1"/>
        <rFont val="ＭＳ Ｐゴシック"/>
        <charset val="134"/>
      </rPr>
      <t xml:space="preserve">：3.30
</t>
    </r>
    <r>
      <rPr>
        <sz val="11"/>
        <color theme="1"/>
        <rFont val="宋体"/>
        <charset val="134"/>
      </rPr>
      <t>电</t>
    </r>
    <r>
      <rPr>
        <sz val="11"/>
        <color theme="1"/>
        <rFont val="ＭＳ Ｐゴシック"/>
        <charset val="134"/>
      </rPr>
      <t>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</si>
  <si>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3.20
</t>
    </r>
    <r>
      <rPr>
        <sz val="11"/>
        <color theme="1"/>
        <rFont val="宋体"/>
        <charset val="134"/>
      </rPr>
      <t>电机力矩</t>
    </r>
  </si>
  <si>
    <r>
      <rPr>
        <sz val="11"/>
        <color theme="1"/>
        <rFont val="ＭＳ Ｐゴシック"/>
        <charset val="134"/>
      </rPr>
      <t>面</t>
    </r>
    <r>
      <rPr>
        <sz val="11"/>
        <color theme="1"/>
        <rFont val="宋体"/>
        <charset val="134"/>
      </rPr>
      <t>压：</t>
    </r>
    <r>
      <rPr>
        <sz val="11"/>
        <color theme="1"/>
        <rFont val="ＭＳ Ｐゴシック"/>
        <charset val="134"/>
      </rPr>
      <t xml:space="preserve">3.21
</t>
    </r>
    <r>
      <rPr>
        <sz val="11"/>
        <color theme="1"/>
        <rFont val="宋体"/>
        <charset val="134"/>
      </rPr>
      <t>电机力矩</t>
    </r>
  </si>
  <si>
    <r>
      <rPr>
        <b/>
        <sz val="11"/>
        <rFont val="ＭＳ Ｐゴシック"/>
        <charset val="134"/>
      </rPr>
      <t>20210323mail 李保</t>
    </r>
    <r>
      <rPr>
        <b/>
        <sz val="11"/>
        <rFont val="宋体"/>
        <charset val="134"/>
      </rPr>
      <t>军</t>
    </r>
  </si>
  <si>
    <r>
      <rPr>
        <sz val="11"/>
        <rFont val="宋体"/>
        <charset val="134"/>
      </rPr>
      <t>录</t>
    </r>
    <r>
      <rPr>
        <sz val="11"/>
        <rFont val="ＭＳ Ｐゴシック"/>
        <charset val="134"/>
      </rPr>
      <t>LEHY-H</t>
    </r>
    <r>
      <rPr>
        <sz val="11"/>
        <rFont val="宋体"/>
        <charset val="134"/>
      </rPr>
      <t>极</t>
    </r>
    <r>
      <rPr>
        <sz val="11"/>
        <rFont val="ＭＳ Ｐゴシック"/>
        <charset val="134"/>
      </rPr>
      <t>限要目表中的部分数</t>
    </r>
    <r>
      <rPr>
        <sz val="11"/>
        <rFont val="宋体"/>
        <charset val="134"/>
      </rPr>
      <t>值</t>
    </r>
    <r>
      <rPr>
        <sz val="11"/>
        <rFont val="ＭＳ Ｐゴシック"/>
        <charset val="134"/>
      </rPr>
      <t>作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技</t>
    </r>
    <r>
      <rPr>
        <sz val="11"/>
        <rFont val="宋体"/>
        <charset val="134"/>
      </rPr>
      <t>术</t>
    </r>
    <r>
      <rPr>
        <sz val="11"/>
        <rFont val="ＭＳ Ｐゴシック"/>
        <charset val="134"/>
      </rPr>
      <t>要求</t>
    </r>
    <r>
      <rPr>
        <sz val="11"/>
        <rFont val="宋体"/>
        <charset val="134"/>
      </rPr>
      <t>进</t>
    </r>
    <r>
      <rPr>
        <sz val="11"/>
        <rFont val="ＭＳ Ｐゴシック"/>
        <charset val="134"/>
      </rPr>
      <t>行了</t>
    </r>
    <r>
      <rPr>
        <sz val="11"/>
        <rFont val="宋体"/>
        <charset val="134"/>
      </rPr>
      <t>扩</t>
    </r>
    <r>
      <rPr>
        <sz val="11"/>
        <rFont val="ＭＳ Ｐゴシック"/>
        <charset val="134"/>
      </rPr>
      <t>展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</t>
    </r>
    <r>
      <rPr>
        <sz val="11"/>
        <rFont val="宋体"/>
        <charset val="134"/>
      </rPr>
      <t>计</t>
    </r>
    <r>
      <rPr>
        <sz val="11"/>
        <rFont val="ＭＳ Ｐゴシック"/>
        <charset val="134"/>
      </rPr>
      <t>算，</t>
    </r>
    <r>
      <rPr>
        <sz val="11"/>
        <rFont val="宋体"/>
        <charset val="134"/>
      </rPr>
      <t>计</t>
    </r>
    <r>
      <rPr>
        <sz val="11"/>
        <rFont val="ＭＳ Ｐゴシック"/>
        <charset val="134"/>
      </rPr>
      <t>算</t>
    </r>
    <r>
      <rPr>
        <sz val="11"/>
        <rFont val="宋体"/>
        <charset val="134"/>
      </rPr>
      <t>结</t>
    </r>
    <r>
      <rPr>
        <sz val="11"/>
        <rFont val="ＭＳ Ｐゴシック"/>
        <charset val="134"/>
      </rPr>
      <t>果如下：</t>
    </r>
  </si>
  <si>
    <r>
      <rPr>
        <sz val="11"/>
        <rFont val="ＭＳ Ｐゴシック"/>
        <charset val="134"/>
      </rPr>
      <t xml:space="preserve">● </t>
    </r>
    <r>
      <rPr>
        <sz val="11"/>
        <rFont val="宋体"/>
        <charset val="134"/>
      </rPr>
      <t>烦请帮</t>
    </r>
    <r>
      <rPr>
        <sz val="11"/>
        <rFont val="ＭＳ Ｐゴシック"/>
        <charset val="134"/>
      </rPr>
      <t>忙校核摘</t>
    </r>
    <r>
      <rPr>
        <sz val="11"/>
        <rFont val="宋体"/>
        <charset val="134"/>
      </rPr>
      <t>录</t>
    </r>
    <r>
      <rPr>
        <sz val="11"/>
        <rFont val="ＭＳ Ｐゴシック"/>
        <charset val="134"/>
      </rPr>
      <t>的数据（</t>
    </r>
    <r>
      <rPr>
        <sz val="11"/>
        <rFont val="宋体"/>
        <charset val="134"/>
      </rPr>
      <t>额</t>
    </r>
    <r>
      <rPr>
        <sz val="11"/>
        <rFont val="ＭＳ Ｐゴシック"/>
        <charset val="134"/>
      </rPr>
      <t>定</t>
    </r>
    <r>
      <rPr>
        <sz val="11"/>
        <rFont val="宋体"/>
        <charset val="134"/>
      </rPr>
      <t>转</t>
    </r>
    <r>
      <rPr>
        <sz val="11"/>
        <rFont val="ＭＳ Ｐゴシック"/>
        <charset val="134"/>
      </rPr>
      <t>矩、最大</t>
    </r>
    <r>
      <rPr>
        <sz val="11"/>
        <rFont val="宋体"/>
        <charset val="134"/>
      </rPr>
      <t>转</t>
    </r>
    <r>
      <rPr>
        <sz val="11"/>
        <rFont val="ＭＳ Ｐゴシック"/>
        <charset val="134"/>
      </rPr>
      <t>矩等）是否</t>
    </r>
    <r>
      <rPr>
        <sz val="11"/>
        <rFont val="宋体"/>
        <charset val="134"/>
      </rPr>
      <t>满</t>
    </r>
    <r>
      <rPr>
        <sz val="11"/>
        <rFont val="ＭＳ Ｐゴシック"/>
        <charset val="134"/>
      </rPr>
      <t>足要求。</t>
    </r>
    <r>
      <rPr>
        <sz val="11"/>
        <color rgb="FFFF0000"/>
        <rFont val="ＭＳ Ｐゴシック"/>
        <charset val="134"/>
      </rPr>
      <t>→保</t>
    </r>
    <r>
      <rPr>
        <sz val="11"/>
        <color rgb="FFFF0000"/>
        <rFont val="宋体"/>
        <charset val="134"/>
      </rPr>
      <t>军合并了最大力矩和额定力矩的值（一个规格中合并采用最大值来确认）。</t>
    </r>
  </si>
  <si>
    <r>
      <rPr>
        <sz val="11"/>
        <rFont val="ＭＳ Ｐゴシック"/>
        <charset val="134"/>
      </rPr>
      <t xml:space="preserve">● 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流字体</t>
    </r>
    <r>
      <rPr>
        <sz val="11"/>
        <rFont val="宋体"/>
        <charset val="134"/>
      </rPr>
      <t>红</t>
    </r>
    <r>
      <rPr>
        <sz val="11"/>
        <rFont val="ＭＳ Ｐゴシック"/>
        <charset val="134"/>
      </rPr>
      <t>色的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格，表示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流</t>
    </r>
    <r>
      <rPr>
        <sz val="11"/>
        <rFont val="宋体"/>
        <charset val="134"/>
      </rPr>
      <t>值较</t>
    </r>
    <r>
      <rPr>
        <sz val="11"/>
        <rFont val="ＭＳ Ｐゴシック"/>
        <charset val="134"/>
      </rPr>
      <t>原典型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格大，需通</t>
    </r>
    <r>
      <rPr>
        <sz val="11"/>
        <rFont val="宋体"/>
        <charset val="134"/>
      </rPr>
      <t>过试验评</t>
    </r>
    <r>
      <rPr>
        <sz val="11"/>
        <rFont val="ＭＳ Ｐゴシック"/>
        <charset val="134"/>
      </rPr>
      <t>估曳引机的温升。</t>
    </r>
    <r>
      <rPr>
        <sz val="11"/>
        <color rgb="FFFF0000"/>
        <rFont val="ＭＳ Ｐゴシック"/>
        <charset val="134"/>
      </rPr>
      <t>→</t>
    </r>
    <r>
      <rPr>
        <sz val="11"/>
        <color rgb="FFFF0000"/>
        <rFont val="宋体"/>
        <charset val="134"/>
      </rPr>
      <t>电气确认。</t>
    </r>
  </si>
  <si>
    <r>
      <rPr>
        <sz val="11"/>
        <rFont val="ＭＳ Ｐゴシック"/>
        <charset val="134"/>
      </rPr>
      <t xml:space="preserve">● </t>
    </r>
    <r>
      <rPr>
        <sz val="11"/>
        <rFont val="宋体"/>
        <charset val="134"/>
      </rPr>
      <t>电压</t>
    </r>
    <r>
      <rPr>
        <sz val="11"/>
        <rFont val="ＭＳ Ｐゴシック"/>
        <charset val="134"/>
      </rPr>
      <t>字体</t>
    </r>
    <r>
      <rPr>
        <sz val="11"/>
        <rFont val="宋体"/>
        <charset val="134"/>
      </rPr>
      <t>红</t>
    </r>
    <r>
      <rPr>
        <sz val="11"/>
        <rFont val="ＭＳ Ｐゴシック"/>
        <charset val="134"/>
      </rPr>
      <t>色的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格，表示</t>
    </r>
    <r>
      <rPr>
        <sz val="11"/>
        <rFont val="宋体"/>
        <charset val="134"/>
      </rPr>
      <t>电压值</t>
    </r>
    <r>
      <rPr>
        <sz val="11"/>
        <rFont val="ＭＳ Ｐゴシック"/>
        <charset val="134"/>
      </rPr>
      <t>超</t>
    </r>
    <r>
      <rPr>
        <sz val="11"/>
        <rFont val="宋体"/>
        <charset val="134"/>
      </rPr>
      <t>过</t>
    </r>
    <r>
      <rPr>
        <sz val="11"/>
        <rFont val="ＭＳ Ｐゴシック"/>
        <charset val="134"/>
      </rPr>
      <t>了控制</t>
    </r>
    <r>
      <rPr>
        <sz val="11"/>
        <rFont val="宋体"/>
        <charset val="134"/>
      </rPr>
      <t>柜</t>
    </r>
    <r>
      <rPr>
        <sz val="11"/>
        <rFont val="ＭＳ Ｐゴシック"/>
        <charset val="134"/>
      </rPr>
      <t>的</t>
    </r>
    <r>
      <rPr>
        <sz val="11"/>
        <rFont val="宋体"/>
        <charset val="134"/>
      </rPr>
      <t>电压</t>
    </r>
    <r>
      <rPr>
        <sz val="11"/>
        <rFont val="ＭＳ Ｐゴシック"/>
        <charset val="134"/>
      </rPr>
      <t>限</t>
    </r>
    <r>
      <rPr>
        <sz val="11"/>
        <rFont val="宋体"/>
        <charset val="134"/>
      </rPr>
      <t>值</t>
    </r>
    <r>
      <rPr>
        <sz val="11"/>
        <rFont val="ＭＳ Ｐゴシック"/>
        <charset val="134"/>
      </rPr>
      <t>要求，需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气</t>
    </r>
    <r>
      <rPr>
        <sz val="11"/>
        <rFont val="宋体"/>
        <charset val="134"/>
      </rPr>
      <t>侧进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评</t>
    </r>
    <r>
      <rPr>
        <sz val="11"/>
        <rFont val="ＭＳ Ｐゴシック"/>
        <charset val="134"/>
      </rPr>
      <t>估。</t>
    </r>
    <r>
      <rPr>
        <sz val="11"/>
        <color rgb="FFFF0000"/>
        <rFont val="ＭＳ Ｐゴシック"/>
        <charset val="134"/>
      </rPr>
      <t>→</t>
    </r>
    <r>
      <rPr>
        <sz val="11"/>
        <color rgb="FFFF0000"/>
        <rFont val="宋体"/>
        <charset val="134"/>
      </rPr>
      <t>电</t>
    </r>
    <r>
      <rPr>
        <sz val="11"/>
        <color rgb="FFFF0000"/>
        <rFont val="ＭＳ Ｐゴシック"/>
        <charset val="134"/>
      </rPr>
      <t>气</t>
    </r>
    <r>
      <rPr>
        <sz val="11"/>
        <color rgb="FFFF0000"/>
        <rFont val="宋体"/>
        <charset val="134"/>
      </rPr>
      <t>确认</t>
    </r>
    <r>
      <rPr>
        <sz val="11"/>
        <color rgb="FFFF0000"/>
        <rFont val="ＭＳ Ｐゴシック"/>
        <charset val="134"/>
      </rPr>
      <t>。</t>
    </r>
  </si>
  <si>
    <t>时间节点</t>
  </si>
  <si>
    <t>2022.03.31</t>
  </si>
  <si>
    <t>PML-F81</t>
  </si>
  <si>
    <t>课题</t>
  </si>
  <si>
    <t>项目内容</t>
  </si>
  <si>
    <r>
      <rPr>
        <b/>
        <sz val="11"/>
        <rFont val="ＭＳ Ｐゴシック"/>
        <charset val="134"/>
      </rPr>
      <t>起始</t>
    </r>
    <r>
      <rPr>
        <b/>
        <sz val="11"/>
        <rFont val="宋体"/>
        <charset val="134"/>
      </rPr>
      <t>时间</t>
    </r>
  </si>
  <si>
    <t>结束时间</t>
  </si>
  <si>
    <t>备注</t>
  </si>
  <si>
    <r>
      <rPr>
        <sz val="11"/>
        <rFont val="ＭＳ Ｐゴシック"/>
        <charset val="134"/>
      </rPr>
      <t>技</t>
    </r>
    <r>
      <rPr>
        <sz val="10"/>
        <rFont val="宋体"/>
        <charset val="134"/>
      </rPr>
      <t>术要求</t>
    </r>
  </si>
  <si>
    <t>额定载重量</t>
  </si>
  <si>
    <t>kg</t>
  </si>
  <si>
    <r>
      <rPr>
        <sz val="11"/>
        <rFont val="ＭＳ Ｐゴシック"/>
        <charset val="134"/>
      </rPr>
      <t>系</t>
    </r>
    <r>
      <rPr>
        <sz val="11"/>
        <rFont val="宋体"/>
        <charset val="134"/>
      </rPr>
      <t>统核算</t>
    </r>
  </si>
  <si>
    <t>ZPML-G660(2：1) 3000~4000kg 3m/s</t>
  </si>
  <si>
    <t>2021.04.01</t>
  </si>
  <si>
    <t>2021.05.31</t>
  </si>
  <si>
    <t>额定梯速</t>
  </si>
  <si>
    <t>m/s</t>
  </si>
  <si>
    <t>ZPML-G660(1：1) 1800kg 8m/s; 2000 7m/s</t>
  </si>
  <si>
    <t>绕比</t>
  </si>
  <si>
    <t>1:1</t>
  </si>
  <si>
    <t>ZPML-G960 1800kg 10m/s 2000kg 9m/s</t>
  </si>
  <si>
    <t>曳引轮直径</t>
  </si>
  <si>
    <t>mm</t>
  </si>
  <si>
    <t>ZPML-G960 2250kg 7m/s 2500kg 6m/s</t>
  </si>
  <si>
    <t>额定转速</t>
  </si>
  <si>
    <t>r/min</t>
  </si>
  <si>
    <r>
      <rPr>
        <sz val="11"/>
        <rFont val="ＭＳ Ｐゴシック"/>
        <charset val="134"/>
      </rPr>
      <t>ZPML-GH70系</t>
    </r>
    <r>
      <rPr>
        <sz val="11"/>
        <rFont val="宋体"/>
        <charset val="134"/>
      </rPr>
      <t>统核算待定</t>
    </r>
  </si>
  <si>
    <t>--</t>
  </si>
  <si>
    <t>额定转矩</t>
  </si>
  <si>
    <t>N.m</t>
  </si>
  <si>
    <t>电气核算</t>
  </si>
  <si>
    <r>
      <rPr>
        <sz val="11"/>
        <rFont val="ＭＳ Ｐゴシック"/>
        <charset val="134"/>
      </rPr>
      <t>ZPML-G660(2：1) 3500~4000kg 3m/s 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700</t>
    </r>
  </si>
  <si>
    <t>2021.04.15</t>
  </si>
  <si>
    <t>2021.5.31</t>
  </si>
  <si>
    <t>最大转矩</t>
  </si>
  <si>
    <r>
      <rPr>
        <sz val="11"/>
        <rFont val="ＭＳ Ｐゴシック"/>
        <charset val="134"/>
      </rPr>
      <t>ZPML-G660(1：1) 1800kg 8m/s; 2000 7m/s 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700</t>
    </r>
  </si>
  <si>
    <t>额定功率</t>
  </si>
  <si>
    <t>W</t>
  </si>
  <si>
    <r>
      <rPr>
        <sz val="11"/>
        <rFont val="ＭＳ Ｐゴシック"/>
        <charset val="134"/>
      </rPr>
      <t>ZPML-G960 1800kg 10m/s 2000kg 9m/s 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700</t>
    </r>
  </si>
  <si>
    <t>额定工作点性能</t>
  </si>
  <si>
    <t>额定电流</t>
  </si>
  <si>
    <t>A</t>
  </si>
  <si>
    <t>额定电压</t>
  </si>
  <si>
    <t>V</t>
  </si>
  <si>
    <t>驱动改进</t>
  </si>
  <si>
    <t>最大工作点性能</t>
  </si>
  <si>
    <t>最大电压</t>
  </si>
  <si>
    <t>测定值</t>
  </si>
  <si>
    <r>
      <rPr>
        <sz val="11"/>
        <rFont val="ＭＳ Ｐゴシック"/>
        <charset val="134"/>
      </rPr>
      <t>ZPML-G660(1：1) 1800kg 8m/s 弱磁控制</t>
    </r>
    <r>
      <rPr>
        <sz val="11"/>
        <rFont val="宋体"/>
        <charset val="134"/>
      </rPr>
      <t>设计</t>
    </r>
  </si>
  <si>
    <t>2021.06.31</t>
  </si>
  <si>
    <r>
      <rPr>
        <sz val="11"/>
        <rFont val="ＭＳ Ｐゴシック"/>
        <charset val="134"/>
      </rPr>
      <t>弱磁控制</t>
    </r>
    <r>
      <rPr>
        <sz val="11"/>
        <rFont val="宋体"/>
        <charset val="134"/>
      </rPr>
      <t>设计</t>
    </r>
    <r>
      <rPr>
        <sz val="11"/>
        <rFont val="ＭＳ Ｐゴシック"/>
        <charset val="134"/>
      </rPr>
      <t>的起始</t>
    </r>
    <r>
      <rPr>
        <sz val="11"/>
        <rFont val="宋体"/>
        <charset val="134"/>
      </rPr>
      <t>时间</t>
    </r>
    <r>
      <rPr>
        <sz val="11"/>
        <rFont val="ＭＳ Ｐゴシック"/>
        <charset val="134"/>
      </rPr>
      <t>将</t>
    </r>
    <r>
      <rPr>
        <sz val="11"/>
        <rFont val="宋体"/>
        <charset val="134"/>
      </rPr>
      <t>视</t>
    </r>
    <r>
      <rPr>
        <sz val="11"/>
        <rFont val="ＭＳ Ｐゴシック"/>
        <charset val="134"/>
      </rPr>
      <t>G660地面</t>
    </r>
    <r>
      <rPr>
        <sz val="11"/>
        <rFont val="宋体"/>
        <charset val="134"/>
      </rPr>
      <t>试验</t>
    </r>
    <r>
      <rPr>
        <sz val="11"/>
        <rFont val="ＭＳ Ｐゴシック"/>
        <charset val="134"/>
      </rPr>
      <t>的</t>
    </r>
    <r>
      <rPr>
        <sz val="11"/>
        <rFont val="宋体"/>
        <charset val="134"/>
      </rPr>
      <t>结</t>
    </r>
    <r>
      <rPr>
        <sz val="11"/>
        <rFont val="ＭＳ Ｐゴシック"/>
        <charset val="134"/>
      </rPr>
      <t>果再定</t>
    </r>
  </si>
  <si>
    <t>最大电流</t>
  </si>
  <si>
    <t>样梯验证</t>
  </si>
  <si>
    <r>
      <rPr>
        <sz val="11"/>
        <rFont val="宋体"/>
        <charset val="134"/>
      </rPr>
      <t>试验井道没有</t>
    </r>
    <r>
      <rPr>
        <sz val="11"/>
        <rFont val="ＭＳ Ｐゴシック"/>
        <charset val="134"/>
      </rPr>
      <t>。</t>
    </r>
  </si>
  <si>
    <t>曳引机</t>
  </si>
  <si>
    <r>
      <rPr>
        <sz val="11"/>
        <rFont val="ＭＳ Ｐゴシック"/>
        <charset val="134"/>
      </rPr>
      <t>ZPML-G660地面</t>
    </r>
    <r>
      <rPr>
        <sz val="11"/>
        <rFont val="宋体"/>
        <charset val="134"/>
      </rPr>
      <t>试验</t>
    </r>
  </si>
  <si>
    <t>（2021.06.31）</t>
  </si>
  <si>
    <r>
      <rPr>
        <sz val="11"/>
        <rFont val="宋体"/>
        <charset val="134"/>
      </rPr>
      <t>车间没有多余曳引机</t>
    </r>
    <r>
      <rPr>
        <sz val="11"/>
        <rFont val="ＭＳ Ｐゴシック"/>
        <charset val="134"/>
      </rPr>
      <t>，</t>
    </r>
    <r>
      <rPr>
        <sz val="11"/>
        <rFont val="宋体"/>
        <charset val="134"/>
      </rPr>
      <t>视现有合同排产时间进行调整</t>
    </r>
  </si>
  <si>
    <r>
      <rPr>
        <sz val="11"/>
        <rFont val="ＭＳ Ｐゴシック"/>
        <charset val="134"/>
      </rPr>
      <t xml:space="preserve">ZPML-G960 </t>
    </r>
    <r>
      <rPr>
        <sz val="11"/>
        <rFont val="宋体"/>
        <charset val="134"/>
      </rPr>
      <t>地面试验</t>
    </r>
  </si>
  <si>
    <t>（2021.05.31）</t>
  </si>
  <si>
    <r>
      <rPr>
        <sz val="11"/>
        <rFont val="宋体"/>
        <charset val="134"/>
      </rPr>
      <t>需根据目前试验安排进行调整</t>
    </r>
    <r>
      <rPr>
        <sz val="11"/>
        <rFont val="ＭＳ Ｐゴシック"/>
        <charset val="134"/>
      </rPr>
      <t>。</t>
    </r>
  </si>
  <si>
    <r>
      <rPr>
        <b/>
        <sz val="11"/>
        <rFont val="ＭＳ Ｐゴシック"/>
        <charset val="134"/>
      </rPr>
      <t>PML-F34/F50</t>
    </r>
    <r>
      <rPr>
        <b/>
        <sz val="11"/>
        <rFont val="宋体"/>
        <charset val="134"/>
      </rPr>
      <t>转让资料</t>
    </r>
  </si>
  <si>
    <r>
      <rPr>
        <sz val="11"/>
        <rFont val="ＭＳ Ｐゴシック"/>
        <charset val="134"/>
      </rPr>
      <t xml:space="preserve">ZPML-G960 1800kg 10m/s 2000kg 9m/s </t>
    </r>
    <r>
      <rPr>
        <sz val="11"/>
        <rFont val="宋体"/>
        <charset val="134"/>
      </rPr>
      <t>样机试验</t>
    </r>
  </si>
  <si>
    <t>试验塔样梯</t>
  </si>
  <si>
    <t>开发方案</t>
  </si>
  <si>
    <r>
      <rPr>
        <sz val="11"/>
        <rFont val="ＭＳ Ｐゴシック"/>
        <charset val="134"/>
      </rPr>
      <t>上述事由的</t>
    </r>
    <r>
      <rPr>
        <sz val="11"/>
        <rFont val="宋体"/>
        <charset val="134"/>
      </rPr>
      <t>评估和下一阶段工作的编制</t>
    </r>
  </si>
  <si>
    <r>
      <rPr>
        <sz val="11"/>
        <rFont val="ＭＳ Ｐゴシック"/>
        <charset val="134"/>
      </rPr>
      <t>除</t>
    </r>
    <r>
      <rPr>
        <sz val="11"/>
        <rFont val="宋体"/>
        <charset val="134"/>
      </rPr>
      <t>试验塔样梯之外，所有计算、核算和地面试验内容</t>
    </r>
  </si>
  <si>
    <r>
      <rPr>
        <sz val="11"/>
        <color rgb="FFFF0000"/>
        <rFont val="ＭＳ Ｐゴシック"/>
        <charset val="134"/>
      </rPr>
      <t>母</t>
    </r>
    <r>
      <rPr>
        <sz val="11"/>
        <color rgb="FFFF0000"/>
        <rFont val="宋体"/>
        <charset val="134"/>
      </rPr>
      <t>线电压上限为</t>
    </r>
    <r>
      <rPr>
        <sz val="11"/>
        <color rgb="FFFF0000"/>
        <rFont val="ＭＳ Ｐゴシック"/>
        <charset val="134"/>
      </rPr>
      <t>700V，</t>
    </r>
    <r>
      <rPr>
        <sz val="11"/>
        <color rgb="FFFF0000"/>
        <rFont val="宋体"/>
        <charset val="134"/>
      </rPr>
      <t>许用电压为不可超过</t>
    </r>
    <r>
      <rPr>
        <sz val="11"/>
        <color rgb="FFFF0000"/>
        <rFont val="ＭＳ Ｐゴシック"/>
        <charset val="134"/>
      </rPr>
      <t>415V。→李保</t>
    </r>
    <r>
      <rPr>
        <sz val="11"/>
        <color rgb="FFFF0000"/>
        <rFont val="宋体"/>
        <charset val="134"/>
      </rPr>
      <t>军：最大电压与转速相关与力矩不太相关。</t>
    </r>
  </si>
  <si>
    <t>编制开发方案</t>
  </si>
  <si>
    <r>
      <rPr>
        <b/>
        <sz val="11"/>
        <rFont val="ＭＳ Ｐゴシック"/>
        <charset val="134"/>
      </rPr>
      <t xml:space="preserve">20210324mail </t>
    </r>
    <r>
      <rPr>
        <b/>
        <sz val="11"/>
        <rFont val="宋体"/>
        <charset val="134"/>
      </rPr>
      <t>应崇礼</t>
    </r>
  </si>
  <si>
    <r>
      <rPr>
        <sz val="11"/>
        <color rgb="FFFF0000"/>
        <rFont val="ＭＳ Ｐゴシック"/>
        <charset val="134"/>
      </rPr>
      <t>根据nexway</t>
    </r>
    <r>
      <rPr>
        <sz val="11"/>
        <color rgb="FFFF0000"/>
        <rFont val="宋体"/>
        <charset val="134"/>
      </rPr>
      <t>转让协议，</t>
    </r>
    <r>
      <rPr>
        <sz val="11"/>
        <color rgb="FFFF0000"/>
        <rFont val="ＭＳ Ｐゴシック"/>
        <charset val="134"/>
      </rPr>
      <t>F主机可以</t>
    </r>
    <r>
      <rPr>
        <sz val="11"/>
        <color rgb="FFFF0000"/>
        <rFont val="宋体"/>
        <charset val="134"/>
      </rPr>
      <t>达到</t>
    </r>
    <r>
      <rPr>
        <sz val="11"/>
        <color rgb="FFFF0000"/>
        <rFont val="ＭＳ Ｐゴシック"/>
        <charset val="134"/>
      </rPr>
      <t>460V甚至F81估</t>
    </r>
    <r>
      <rPr>
        <sz val="11"/>
        <color rgb="FFFF0000"/>
        <rFont val="宋体"/>
        <charset val="134"/>
      </rPr>
      <t>计达到</t>
    </r>
    <r>
      <rPr>
        <sz val="11"/>
        <color rgb="FFFF0000"/>
        <rFont val="ＭＳ Ｐゴシック"/>
        <charset val="134"/>
      </rPr>
      <t>516V，需要</t>
    </r>
    <r>
      <rPr>
        <sz val="11"/>
        <color rgb="FFFF0000"/>
        <rFont val="宋体"/>
        <charset val="134"/>
      </rPr>
      <t>进一步确认该技术。</t>
    </r>
  </si>
  <si>
    <r>
      <rPr>
        <sz val="11"/>
        <rFont val="ＭＳ Ｐゴシック"/>
        <charset val="134"/>
      </rPr>
      <t>根据我和</t>
    </r>
    <r>
      <rPr>
        <sz val="11"/>
        <rFont val="宋体"/>
        <charset val="134"/>
      </rPr>
      <t>驱动</t>
    </r>
    <r>
      <rPr>
        <sz val="11"/>
        <rFont val="ＭＳ Ｐゴシック"/>
        <charset val="134"/>
      </rPr>
      <t>李博士</t>
    </r>
    <r>
      <rPr>
        <sz val="11"/>
        <rFont val="宋体"/>
        <charset val="134"/>
      </rPr>
      <t>讨论</t>
    </r>
    <r>
      <rPr>
        <sz val="11"/>
        <rFont val="ＭＳ Ｐゴシック"/>
        <charset val="134"/>
      </rPr>
      <t>的</t>
    </r>
    <r>
      <rPr>
        <sz val="11"/>
        <rFont val="宋体"/>
        <charset val="134"/>
      </rPr>
      <t>结</t>
    </r>
    <r>
      <rPr>
        <sz val="11"/>
        <rFont val="ＭＳ Ｐゴシック"/>
        <charset val="134"/>
      </rPr>
      <t>果：</t>
    </r>
  </si>
  <si>
    <r>
      <rPr>
        <sz val="11"/>
        <color rgb="FFFF0000"/>
        <rFont val="ＭＳ Ｐゴシック"/>
        <charset val="134"/>
      </rPr>
      <t>需要研究一下，是否</t>
    </r>
    <r>
      <rPr>
        <sz val="11"/>
        <color rgb="FFFF0000"/>
        <rFont val="宋体"/>
        <charset val="134"/>
      </rPr>
      <t>开发出来就可以应对？另外，参考日方</t>
    </r>
    <r>
      <rPr>
        <sz val="11"/>
        <color rgb="FFFF0000"/>
        <rFont val="ＭＳ Ｐゴシック"/>
        <charset val="134"/>
      </rPr>
      <t>F系列主机，是否研究</t>
    </r>
    <r>
      <rPr>
        <sz val="11"/>
        <color rgb="FFFF0000"/>
        <rFont val="宋体"/>
        <charset val="134"/>
      </rPr>
      <t>过相关技术？</t>
    </r>
  </si>
  <si>
    <r>
      <rPr>
        <sz val="11"/>
        <rFont val="ＭＳ Ｐゴシック"/>
        <charset val="134"/>
      </rPr>
      <t>由于高速梯</t>
    </r>
    <r>
      <rPr>
        <sz val="11"/>
        <rFont val="宋体"/>
        <charset val="134"/>
      </rPr>
      <t>驱动软</t>
    </r>
    <r>
      <rPr>
        <sz val="11"/>
        <rFont val="ＭＳ Ｐゴシック"/>
        <charset val="134"/>
      </rPr>
      <t>件内</t>
    </r>
    <r>
      <rPr>
        <b/>
        <sz val="11"/>
        <color rgb="FFFF0000"/>
        <rFont val="ＭＳ Ｐゴシック"/>
        <charset val="134"/>
      </rPr>
      <t>未</t>
    </r>
    <r>
      <rPr>
        <b/>
        <sz val="11"/>
        <color rgb="FFFF0000"/>
        <rFont val="宋体"/>
        <charset val="134"/>
      </rPr>
      <t>开发</t>
    </r>
    <r>
      <rPr>
        <b/>
        <sz val="11"/>
        <color rgb="FFFF0000"/>
        <rFont val="ＭＳ Ｐゴシック"/>
        <charset val="134"/>
      </rPr>
      <t>弱磁控制程序</t>
    </r>
    <r>
      <rPr>
        <sz val="11"/>
        <rFont val="ＭＳ Ｐゴシック"/>
        <charset val="134"/>
      </rPr>
      <t>，因此在母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不</t>
    </r>
    <r>
      <rPr>
        <sz val="11"/>
        <rFont val="宋体"/>
        <charset val="134"/>
      </rPr>
      <t>变</t>
    </r>
    <r>
      <rPr>
        <sz val="11"/>
        <rFont val="ＭＳ Ｐゴシック"/>
        <charset val="134"/>
      </rPr>
      <t>的前提下，目前最大</t>
    </r>
    <r>
      <rPr>
        <sz val="11"/>
        <rFont val="宋体"/>
        <charset val="134"/>
      </rPr>
      <t>电压为红</t>
    </r>
    <r>
      <rPr>
        <sz val="11"/>
        <rFont val="ＭＳ Ｐゴシック"/>
        <charset val="134"/>
      </rPr>
      <t>色的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格均不可行。</t>
    </r>
    <r>
      <rPr>
        <sz val="11"/>
        <color rgb="FFFF0000"/>
        <rFont val="ＭＳ Ｐゴシック"/>
        <charset val="134"/>
      </rPr>
      <t>→目前的母</t>
    </r>
    <r>
      <rPr>
        <sz val="11"/>
        <color rgb="FFFF0000"/>
        <rFont val="宋体"/>
        <charset val="134"/>
      </rPr>
      <t>线电压为</t>
    </r>
    <r>
      <rPr>
        <sz val="11"/>
        <color rgb="FFFF0000"/>
        <rFont val="ＭＳ Ｐゴシック"/>
        <charset val="134"/>
      </rPr>
      <t>630V，</t>
    </r>
    <r>
      <rPr>
        <sz val="11"/>
        <color rgb="FFFF0000"/>
        <rFont val="宋体"/>
        <charset val="134"/>
      </rPr>
      <t>许用电压不超</t>
    </r>
    <r>
      <rPr>
        <sz val="11"/>
        <color rgb="FFFF0000"/>
        <rFont val="ＭＳ Ｐゴシック"/>
        <charset val="134"/>
      </rPr>
      <t>415V。</t>
    </r>
  </si>
  <si>
    <r>
      <rPr>
        <sz val="11"/>
        <rFont val="ＭＳ Ｐゴシック"/>
        <charset val="134"/>
      </rPr>
      <t>若母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抬升至700V，</t>
    </r>
    <r>
      <rPr>
        <sz val="11"/>
        <rFont val="宋体"/>
        <charset val="134"/>
      </rPr>
      <t>则</t>
    </r>
    <r>
      <rPr>
        <sz val="11"/>
        <rFont val="ＭＳ Ｐゴシック"/>
        <charset val="134"/>
      </rPr>
      <t>以下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格可行，但需要</t>
    </r>
    <r>
      <rPr>
        <sz val="11"/>
        <rFont val="宋体"/>
        <charset val="134"/>
      </rPr>
      <t>软</t>
    </r>
    <r>
      <rPr>
        <sz val="11"/>
        <rFont val="ＭＳ Ｐゴシック"/>
        <charset val="134"/>
      </rPr>
      <t>硬件配合修改，并做相</t>
    </r>
    <r>
      <rPr>
        <sz val="11"/>
        <rFont val="宋体"/>
        <charset val="134"/>
      </rPr>
      <t>关试验进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验证</t>
    </r>
    <r>
      <rPr>
        <sz val="11"/>
        <rFont val="ＭＳ Ｐゴシック"/>
        <charset val="134"/>
      </rPr>
      <t>。</t>
    </r>
    <r>
      <rPr>
        <sz val="11"/>
        <color rgb="FFFF0000"/>
        <rFont val="ＭＳ Ｐゴシック"/>
        <charset val="134"/>
      </rPr>
      <t>→LEHY-M-II已</t>
    </r>
    <r>
      <rPr>
        <sz val="11"/>
        <color rgb="FFFF0000"/>
        <rFont val="宋体"/>
        <charset val="134"/>
      </rPr>
      <t>经做到母线电压</t>
    </r>
    <r>
      <rPr>
        <sz val="11"/>
        <color rgb="FFFF0000"/>
        <rFont val="ＭＳ Ｐゴシック"/>
        <charset val="134"/>
      </rPr>
      <t>700V，正在</t>
    </r>
    <r>
      <rPr>
        <sz val="11"/>
        <color rgb="FFFF0000"/>
        <rFont val="宋体"/>
        <charset val="134"/>
      </rPr>
      <t>确认</t>
    </r>
    <r>
      <rPr>
        <sz val="11"/>
        <color rgb="FFFF0000"/>
        <rFont val="ＭＳ Ｐゴシック"/>
        <charset val="134"/>
      </rPr>
      <t>PML-F81母</t>
    </r>
    <r>
      <rPr>
        <sz val="11"/>
        <color rgb="FFFF0000"/>
        <rFont val="宋体"/>
        <charset val="134"/>
      </rPr>
      <t>线电压多少。</t>
    </r>
  </si>
  <si>
    <t>ZPML-G660：</t>
  </si>
  <si>
    <r>
      <rPr>
        <sz val="11"/>
        <rFont val="ＭＳ Ｐゴシック"/>
        <charset val="134"/>
      </rPr>
      <t>可行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格：</t>
    </r>
  </si>
  <si>
    <t>1800kg~2025kg/7m/s</t>
  </si>
  <si>
    <r>
      <rPr>
        <sz val="11"/>
        <rFont val="ＭＳ Ｐゴシック"/>
        <charset val="134"/>
      </rPr>
      <t>不可行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格：</t>
    </r>
  </si>
  <si>
    <t>1200kg~1800kg/8m/s</t>
  </si>
  <si>
    <t>ZPML-G960：</t>
  </si>
  <si>
    <t>1800kg~2025kg/9m/s</t>
  </si>
  <si>
    <t>1200kg~1800kg/10m/s</t>
  </si>
  <si>
    <r>
      <rPr>
        <b/>
        <sz val="11"/>
        <rFont val="ＭＳ Ｐゴシック"/>
        <charset val="134"/>
      </rPr>
      <t xml:space="preserve">20210401 mail </t>
    </r>
    <r>
      <rPr>
        <b/>
        <sz val="11"/>
        <rFont val="宋体"/>
        <charset val="134"/>
      </rPr>
      <t>刘涛</t>
    </r>
  </si>
  <si>
    <r>
      <rPr>
        <sz val="11"/>
        <rFont val="宋体"/>
        <charset val="134"/>
      </rPr>
      <t>对</t>
    </r>
    <r>
      <rPr>
        <sz val="11"/>
        <rFont val="ＭＳ Ｐゴシック"/>
        <charset val="134"/>
      </rPr>
      <t>于PM025MR/040MR曳引机，控制屏配置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1P屏；</t>
    </r>
    <r>
      <rPr>
        <sz val="11"/>
        <rFont val="宋体"/>
        <charset val="134"/>
      </rPr>
      <t>对</t>
    </r>
    <r>
      <rPr>
        <sz val="11"/>
        <rFont val="ＭＳ Ｐゴシック"/>
        <charset val="134"/>
      </rPr>
      <t>于PML-F34/F50曳引机，控制屏配置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2P屏。</t>
    </r>
  </si>
  <si>
    <r>
      <rPr>
        <sz val="11"/>
        <rFont val="宋体"/>
        <charset val="134"/>
      </rPr>
      <t>关</t>
    </r>
    <r>
      <rPr>
        <sz val="11"/>
        <rFont val="ＭＳ Ｐゴシック"/>
        <charset val="134"/>
      </rPr>
      <t>于不同</t>
    </r>
    <r>
      <rPr>
        <sz val="11"/>
        <rFont val="宋体"/>
        <charset val="134"/>
      </rPr>
      <t>规</t>
    </r>
    <r>
      <rPr>
        <sz val="11"/>
        <rFont val="ＭＳ Ｐゴシック"/>
        <charset val="134"/>
      </rPr>
      <t>格NexWay母</t>
    </r>
    <r>
      <rPr>
        <sz val="11"/>
        <rFont val="宋体"/>
        <charset val="134"/>
      </rPr>
      <t>线电压</t>
    </r>
    <r>
      <rPr>
        <sz val="11"/>
        <rFont val="ＭＳ Ｐゴシック"/>
        <charset val="134"/>
      </rPr>
      <t>的大小，</t>
    </r>
    <r>
      <rPr>
        <sz val="11"/>
        <rFont val="宋体"/>
        <charset val="134"/>
      </rPr>
      <t>暂</t>
    </r>
    <r>
      <rPr>
        <sz val="11"/>
        <rFont val="ＭＳ Ｐゴシック"/>
        <charset val="134"/>
      </rPr>
      <t>未找到相</t>
    </r>
    <r>
      <rPr>
        <sz val="11"/>
        <rFont val="宋体"/>
        <charset val="134"/>
      </rPr>
      <t>关</t>
    </r>
    <r>
      <rPr>
        <sz val="11"/>
        <rFont val="ＭＳ Ｐゴシック"/>
        <charset val="134"/>
      </rPr>
      <t>文档。</t>
    </r>
  </si>
  <si>
    <t>附件文档略有提及，供参考。</t>
  </si>
  <si>
    <r>
      <rPr>
        <sz val="11"/>
        <rFont val="ＭＳ Ｐゴシック"/>
        <charset val="134"/>
      </rPr>
      <t>文档中，</t>
    </r>
    <r>
      <rPr>
        <sz val="11"/>
        <rFont val="宋体"/>
        <charset val="134"/>
      </rPr>
      <t>对应</t>
    </r>
    <r>
      <rPr>
        <sz val="11"/>
        <rFont val="ＭＳ Ｐゴシック"/>
        <charset val="134"/>
      </rPr>
      <t>1P屏配置的NexWay（</t>
    </r>
    <r>
      <rPr>
        <sz val="11"/>
        <rFont val="宋体"/>
        <charset val="134"/>
      </rPr>
      <t>对应</t>
    </r>
    <r>
      <rPr>
        <sz val="11"/>
        <rFont val="ＭＳ Ｐゴシック"/>
        <charset val="134"/>
      </rPr>
      <t>C1板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KCD-105X，如</t>
    </r>
    <r>
      <rPr>
        <sz val="11"/>
        <rFont val="宋体"/>
        <charset val="134"/>
      </rPr>
      <t>图</t>
    </r>
    <r>
      <rPr>
        <sz val="11"/>
        <rFont val="ＭＳ Ｐゴシック"/>
        <charset val="134"/>
      </rPr>
      <t>中所示），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线电压为</t>
    </r>
    <r>
      <rPr>
        <sz val="11"/>
        <rFont val="ＭＳ Ｐゴシック"/>
        <charset val="134"/>
      </rPr>
      <t>DC700V。</t>
    </r>
  </si>
  <si>
    <r>
      <rPr>
        <sz val="11"/>
        <rFont val="宋体"/>
        <charset val="134"/>
      </rPr>
      <t>对车间</t>
    </r>
    <r>
      <rPr>
        <sz val="11"/>
        <rFont val="ＭＳ Ｐゴシック"/>
        <charset val="134"/>
      </rPr>
      <t>正在</t>
    </r>
    <r>
      <rPr>
        <sz val="11"/>
        <rFont val="宋体"/>
        <charset val="134"/>
      </rPr>
      <t>调试</t>
    </r>
    <r>
      <rPr>
        <sz val="11"/>
        <rFont val="ＭＳ Ｐゴシック"/>
        <charset val="134"/>
      </rPr>
      <t>的1P屏以及新</t>
    </r>
    <r>
      <rPr>
        <sz val="11"/>
        <rFont val="宋体"/>
        <charset val="134"/>
      </rPr>
      <t>实验</t>
    </r>
    <r>
      <rPr>
        <sz val="11"/>
        <rFont val="ＭＳ Ｐゴシック"/>
        <charset val="134"/>
      </rPr>
      <t>塔6P屏NexWay</t>
    </r>
    <r>
      <rPr>
        <sz val="11"/>
        <rFont val="宋体"/>
        <charset val="134"/>
      </rPr>
      <t>进</t>
    </r>
    <r>
      <rPr>
        <sz val="11"/>
        <rFont val="ＭＳ Ｐゴシック"/>
        <charset val="134"/>
      </rPr>
      <t>行了</t>
    </r>
    <r>
      <rPr>
        <sz val="11"/>
        <rFont val="宋体"/>
        <charset val="134"/>
      </rPr>
      <t>实测</t>
    </r>
    <r>
      <rPr>
        <sz val="11"/>
        <rFont val="ＭＳ Ｐゴシック"/>
        <charset val="134"/>
      </rPr>
      <t>，</t>
    </r>
    <r>
      <rPr>
        <sz val="11"/>
        <rFont val="宋体"/>
        <charset val="134"/>
      </rPr>
      <t>结论</t>
    </r>
    <r>
      <rPr>
        <sz val="11"/>
        <rFont val="ＭＳ Ｐゴシック"/>
        <charset val="134"/>
      </rPr>
      <t>如下：</t>
    </r>
  </si>
  <si>
    <r>
      <rPr>
        <sz val="11"/>
        <rFont val="ＭＳ Ｐゴシック"/>
        <charset val="134"/>
      </rPr>
      <t>①控制屏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1P屏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电电压</t>
    </r>
    <r>
      <rPr>
        <sz val="11"/>
        <rFont val="ＭＳ Ｐゴシック"/>
        <charset val="134"/>
      </rPr>
      <t>：DC650V；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时电压</t>
    </r>
    <r>
      <rPr>
        <sz val="11"/>
        <rFont val="ＭＳ Ｐゴシック"/>
        <charset val="134"/>
      </rPr>
      <t>：DC700V。</t>
    </r>
  </si>
  <si>
    <r>
      <rPr>
        <sz val="11"/>
        <rFont val="ＭＳ Ｐゴシック"/>
        <charset val="134"/>
      </rPr>
      <t>②控制屏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6P屏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电电压</t>
    </r>
    <r>
      <rPr>
        <sz val="11"/>
        <rFont val="ＭＳ Ｐゴシック"/>
        <charset val="134"/>
      </rPr>
      <t>：DC500V；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时电压</t>
    </r>
    <r>
      <rPr>
        <sz val="11"/>
        <rFont val="ＭＳ Ｐゴシック"/>
        <charset val="134"/>
      </rPr>
      <t>：DC630V。</t>
    </r>
  </si>
  <si>
    <r>
      <rPr>
        <sz val="11"/>
        <rFont val="ＭＳ Ｐゴシック"/>
        <charset val="134"/>
      </rPr>
      <t>由于2P屏</t>
    </r>
    <r>
      <rPr>
        <sz val="11"/>
        <rFont val="宋体"/>
        <charset val="134"/>
      </rPr>
      <t>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</t>
    </r>
    <r>
      <rPr>
        <sz val="11"/>
        <rFont val="ＭＳ Ｐゴシック"/>
        <charset val="134"/>
      </rPr>
      <t>的方式和6P屏</t>
    </r>
    <r>
      <rPr>
        <sz val="11"/>
        <rFont val="宋体"/>
        <charset val="134"/>
      </rPr>
      <t>类</t>
    </r>
    <r>
      <rPr>
        <sz val="11"/>
        <rFont val="ＭＳ Ｐゴシック"/>
        <charset val="134"/>
      </rPr>
      <t>似，推</t>
    </r>
    <r>
      <rPr>
        <sz val="11"/>
        <rFont val="宋体"/>
        <charset val="134"/>
      </rPr>
      <t>测</t>
    </r>
    <r>
      <rPr>
        <sz val="11"/>
        <rFont val="ＭＳ Ｐゴシック"/>
        <charset val="134"/>
      </rPr>
      <t>：</t>
    </r>
  </si>
  <si>
    <r>
      <rPr>
        <b/>
        <sz val="11"/>
        <rFont val="ＭＳ Ｐゴシック"/>
        <charset val="134"/>
      </rPr>
      <t>PML-F81</t>
    </r>
    <r>
      <rPr>
        <b/>
        <sz val="11"/>
        <rFont val="宋体"/>
        <charset val="134"/>
      </rPr>
      <t>购买规格书参数（</t>
    </r>
    <r>
      <rPr>
        <b/>
        <sz val="11"/>
        <rFont val="ＭＳ Ｐゴシック"/>
        <charset val="134"/>
      </rPr>
      <t>2000kg 7m/s</t>
    </r>
    <r>
      <rPr>
        <b/>
        <sz val="11"/>
        <rFont val="宋体"/>
        <charset val="134"/>
      </rPr>
      <t>）</t>
    </r>
  </si>
  <si>
    <r>
      <rPr>
        <sz val="11"/>
        <rFont val="ＭＳ Ｐゴシック"/>
        <charset val="134"/>
      </rPr>
      <t>控制屏</t>
    </r>
    <r>
      <rPr>
        <sz val="11"/>
        <rFont val="宋体"/>
        <charset val="134"/>
      </rPr>
      <t>为</t>
    </r>
    <r>
      <rPr>
        <sz val="11"/>
        <rFont val="ＭＳ Ｐゴシック"/>
        <charset val="134"/>
      </rPr>
      <t>2P屏</t>
    </r>
    <r>
      <rPr>
        <sz val="11"/>
        <rFont val="宋体"/>
        <charset val="134"/>
      </rPr>
      <t>时</t>
    </r>
    <r>
      <rPr>
        <sz val="11"/>
        <rFont val="ＭＳ Ｐゴシック"/>
        <charset val="134"/>
      </rPr>
      <t>，直流</t>
    </r>
    <r>
      <rPr>
        <sz val="11"/>
        <rFont val="宋体"/>
        <charset val="134"/>
      </rPr>
      <t>侧</t>
    </r>
    <r>
      <rPr>
        <sz val="11"/>
        <rFont val="ＭＳ Ｐゴシック"/>
        <charset val="134"/>
      </rPr>
      <t>母</t>
    </r>
    <r>
      <rPr>
        <sz val="11"/>
        <rFont val="宋体"/>
        <charset val="134"/>
      </rPr>
      <t>线预</t>
    </r>
    <r>
      <rPr>
        <sz val="11"/>
        <rFont val="ＭＳ Ｐゴシック"/>
        <charset val="134"/>
      </rPr>
      <t>充</t>
    </r>
    <r>
      <rPr>
        <sz val="11"/>
        <rFont val="宋体"/>
        <charset val="134"/>
      </rPr>
      <t>电电压</t>
    </r>
    <r>
      <rPr>
        <sz val="11"/>
        <rFont val="ＭＳ Ｐゴシック"/>
        <charset val="134"/>
      </rPr>
      <t>：DC500V；</t>
    </r>
    <r>
      <rPr>
        <sz val="11"/>
        <rFont val="宋体"/>
        <charset val="134"/>
      </rPr>
      <t>运</t>
    </r>
    <r>
      <rPr>
        <sz val="11"/>
        <rFont val="ＭＳ Ｐゴシック"/>
        <charset val="134"/>
      </rPr>
      <t>行</t>
    </r>
    <r>
      <rPr>
        <sz val="11"/>
        <rFont val="宋体"/>
        <charset val="134"/>
      </rPr>
      <t>时电压</t>
    </r>
    <r>
      <rPr>
        <sz val="11"/>
        <rFont val="ＭＳ Ｐゴシック"/>
        <charset val="134"/>
      </rPr>
      <t>：DC630V。后</t>
    </r>
    <r>
      <rPr>
        <sz val="11"/>
        <rFont val="宋体"/>
        <charset val="134"/>
      </rPr>
      <t>续</t>
    </r>
    <r>
      <rPr>
        <sz val="11"/>
        <rFont val="ＭＳ Ｐゴシック"/>
        <charset val="134"/>
      </rPr>
      <t>会找工地</t>
    </r>
    <r>
      <rPr>
        <sz val="11"/>
        <rFont val="宋体"/>
        <charset val="134"/>
      </rPr>
      <t>实测</t>
    </r>
    <r>
      <rPr>
        <sz val="11"/>
        <rFont val="ＭＳ Ｐゴシック"/>
        <charset val="134"/>
      </rPr>
      <t>一下。</t>
    </r>
    <r>
      <rPr>
        <sz val="11"/>
        <rFont val="宋体"/>
        <charset val="134"/>
      </rPr>
      <t>谢谢</t>
    </r>
    <r>
      <rPr>
        <sz val="11"/>
        <rFont val="ＭＳ Ｐゴシック"/>
        <charset val="134"/>
      </rPr>
      <t>！</t>
    </r>
  </si>
  <si>
    <r>
      <rPr>
        <b/>
        <sz val="11"/>
        <rFont val="ＭＳ Ｐゴシック"/>
        <charset val="134"/>
      </rPr>
      <t>20210406mai唐</t>
    </r>
    <r>
      <rPr>
        <b/>
        <sz val="11"/>
        <rFont val="宋体"/>
        <charset val="134"/>
      </rPr>
      <t>启峰</t>
    </r>
    <r>
      <rPr>
        <b/>
        <sz val="11"/>
        <rFont val="ＭＳ Ｐゴシック"/>
        <charset val="134"/>
      </rPr>
      <t xml:space="preserve"> </t>
    </r>
    <r>
      <rPr>
        <b/>
        <sz val="11"/>
        <rFont val="宋体"/>
        <charset val="134"/>
      </rPr>
      <t>刘玉斌</t>
    </r>
  </si>
  <si>
    <r>
      <rPr>
        <sz val="11"/>
        <rFont val="ＭＳ Ｐゴシック"/>
        <charset val="134"/>
      </rPr>
      <t>因高速梯的曳引机所需</t>
    </r>
    <r>
      <rPr>
        <sz val="11"/>
        <rFont val="宋体"/>
        <charset val="134"/>
      </rPr>
      <t>电压</t>
    </r>
    <r>
      <rPr>
        <sz val="11"/>
        <rFont val="ＭＳ Ｐゴシック"/>
        <charset val="134"/>
      </rPr>
      <t>不高，所以没做弱磁控制。</t>
    </r>
  </si>
  <si>
    <r>
      <rPr>
        <sz val="11"/>
        <rFont val="ＭＳ Ｐゴシック"/>
        <charset val="134"/>
      </rPr>
      <t>如果想</t>
    </r>
    <r>
      <rPr>
        <sz val="11"/>
        <rFont val="宋体"/>
        <charset val="134"/>
      </rPr>
      <t>挖</t>
    </r>
    <r>
      <rPr>
        <sz val="11"/>
        <rFont val="ＭＳ Ｐゴシック"/>
        <charset val="134"/>
      </rPr>
      <t>掘潜能，</t>
    </r>
    <r>
      <rPr>
        <sz val="11"/>
        <rFont val="宋体"/>
        <charset val="134"/>
      </rPr>
      <t>驱动</t>
    </r>
    <r>
      <rPr>
        <sz val="11"/>
        <rFont val="ＭＳ Ｐゴシック"/>
        <charset val="134"/>
      </rPr>
      <t>可以增加弱磁控制。但</t>
    </r>
    <r>
      <rPr>
        <sz val="11"/>
        <rFont val="宋体"/>
        <charset val="134"/>
      </rPr>
      <t>每</t>
    </r>
    <r>
      <rPr>
        <sz val="11"/>
        <rFont val="ＭＳ Ｐゴシック"/>
        <charset val="134"/>
      </rPr>
      <t>款曳引机真</t>
    </r>
    <r>
      <rPr>
        <sz val="11"/>
        <rFont val="宋体"/>
        <charset val="134"/>
      </rPr>
      <t>实</t>
    </r>
    <r>
      <rPr>
        <sz val="11"/>
        <rFont val="ＭＳ Ｐゴシック"/>
        <charset val="134"/>
      </rPr>
      <t>的弱磁能力需要曳引机科做</t>
    </r>
    <r>
      <rPr>
        <sz val="11"/>
        <rFont val="宋体"/>
        <charset val="134"/>
      </rPr>
      <t>仿</t>
    </r>
    <r>
      <rPr>
        <sz val="11"/>
        <rFont val="ＭＳ Ｐゴシック"/>
        <charset val="134"/>
      </rPr>
      <t>真</t>
    </r>
    <r>
      <rPr>
        <sz val="11"/>
        <rFont val="宋体"/>
        <charset val="134"/>
      </rPr>
      <t>计</t>
    </r>
    <r>
      <rPr>
        <sz val="11"/>
        <rFont val="ＭＳ Ｐゴシック"/>
        <charset val="134"/>
      </rPr>
      <t>算。</t>
    </r>
  </si>
  <si>
    <r>
      <rPr>
        <sz val="18"/>
        <color theme="1"/>
        <rFont val="Arial Black"/>
        <charset val="134"/>
      </rPr>
      <t>LEHY-H</t>
    </r>
    <r>
      <rPr>
        <sz val="18"/>
        <color theme="1"/>
        <rFont val="宋体"/>
        <charset val="134"/>
      </rPr>
      <t>　电梯要目表</t>
    </r>
    <r>
      <rPr>
        <sz val="18"/>
        <color theme="1"/>
        <rFont val="Arial Black"/>
        <charset val="134"/>
      </rPr>
      <t xml:space="preserve"> [GB7588-202X</t>
    </r>
    <r>
      <rPr>
        <sz val="18"/>
        <color theme="1"/>
        <rFont val="宋体"/>
        <charset val="134"/>
      </rPr>
      <t>对应</t>
    </r>
    <r>
      <rPr>
        <sz val="18"/>
        <color theme="1"/>
        <rFont val="Arial Black"/>
        <charset val="134"/>
      </rPr>
      <t>]</t>
    </r>
  </si>
  <si>
    <t>　　　　　　　  ⑤CWT Rear Drop</t>
  </si>
  <si>
    <t>750（１：１）</t>
  </si>
  <si>
    <t>1200X2</t>
  </si>
  <si>
    <t>1350X2</t>
  </si>
  <si>
    <t>1600X2</t>
  </si>
  <si>
    <t>1800X2</t>
  </si>
  <si>
    <t>ZPML-GH70</t>
  </si>
  <si>
    <t>φ1100</t>
  </si>
  <si>
    <t>sfleXφ20×5~11</t>
  </si>
  <si>
    <t>sfleXφ20×8~11</t>
  </si>
  <si>
    <t>φ16×6</t>
  </si>
  <si>
    <t>φ18×7</t>
  </si>
  <si>
    <t>φ18×8</t>
  </si>
  <si>
    <t xml:space="preserve"> GSB-1300 </t>
  </si>
  <si>
    <t>GSB-1300/GSB-1500</t>
  </si>
  <si>
    <t>GSB-1300D</t>
  </si>
  <si>
    <t>(GSC-955/GSC-1300)</t>
  </si>
  <si>
    <t>(GSC-955D/GSC-1300D)</t>
  </si>
  <si>
    <t>T140-2/BEJ
T140-1/BEJ</t>
  </si>
  <si>
    <t>T140-2/BEJ
T140-3/BEJ</t>
  </si>
  <si>
    <r>
      <rPr>
        <sz val="11"/>
        <color theme="1"/>
        <rFont val="宋体"/>
        <charset val="134"/>
      </rPr>
      <t>轿厢质量</t>
    </r>
    <r>
      <rPr>
        <sz val="11"/>
        <color theme="1"/>
        <rFont val="ＭＳ Ｐゴシック"/>
        <charset val="134"/>
      </rPr>
      <t xml:space="preserve">   Cage Mass   ［kg］</t>
    </r>
  </si>
  <si>
    <t>PET-core</t>
  </si>
  <si>
    <t>sfleX</t>
  </si>
  <si>
    <t>TR</t>
  </si>
  <si>
    <t>电机力矩</t>
  </si>
  <si>
    <t>绳安全系数</t>
  </si>
  <si>
    <r>
      <rPr>
        <sz val="11"/>
        <color theme="1"/>
        <rFont val="ＭＳ Ｐゴシック"/>
        <charset val="134"/>
      </rPr>
      <t>主</t>
    </r>
    <r>
      <rPr>
        <sz val="11"/>
        <color theme="1"/>
        <rFont val="宋体"/>
        <charset val="134"/>
      </rPr>
      <t>轴载荷</t>
    </r>
  </si>
  <si>
    <t>加速</t>
  </si>
  <si>
    <t>项目储备：C100252234</t>
  </si>
  <si>
    <t>客户梯号</t>
  </si>
  <si>
    <t>16#~20#（1台）</t>
  </si>
  <si>
    <t>21#~26#（6台）</t>
  </si>
  <si>
    <t>47#~52#（6台）</t>
  </si>
  <si>
    <t>73#（1台）</t>
  </si>
  <si>
    <t>74#（1台）</t>
  </si>
  <si>
    <t>额定载重　　　Capacity        [kg]</t>
  </si>
  <si>
    <t>待更新</t>
  </si>
  <si>
    <t>额定速度　　　Speed        [m/s]</t>
  </si>
  <si>
    <t>待开发</t>
  </si>
  <si>
    <t>提升高度　　　Travel        [m]</t>
  </si>
  <si>
    <t>修改内容</t>
  </si>
  <si>
    <t>楼层数/停站数      FLOORS/ STOPS</t>
  </si>
  <si>
    <t>28层/4站</t>
  </si>
  <si>
    <t>50层/4站</t>
  </si>
  <si>
    <t>轿厢尺寸     CarSize       [AAxBBxHC]mm</t>
  </si>
  <si>
    <t>AA 2950 x BB 1800 x HC 3200</t>
  </si>
  <si>
    <t>开门尺寸     DoorSize     [JJxHH]mm</t>
  </si>
  <si>
    <t>JJ 1100 x HH 2400</t>
  </si>
  <si>
    <t>JJ 1800 x HH 2600</t>
  </si>
  <si>
    <t>门系统　Door System</t>
  </si>
  <si>
    <t>ZLVA2K-L3N-CO-防火EI60</t>
  </si>
  <si>
    <t>ZLVA2K-L4N-2CO-防火EI60</t>
  </si>
  <si>
    <t>简易双重壁</t>
  </si>
  <si>
    <t>控制柜及附属柜</t>
  </si>
  <si>
    <t>控制柜： 
附属柜：/</t>
  </si>
  <si>
    <t>曳引轮直径  Sheave dia   ［mm］</t>
  </si>
  <si>
    <t>导向轮直径  Sheave dia   ［mm］</t>
  </si>
  <si>
    <t>曳引绳  Hoisting Ropes</t>
  </si>
  <si>
    <t>麻芯φ14×10
（X135J14EP）</t>
  </si>
  <si>
    <t>钢芯φ20×8
（P185018C000-20）</t>
  </si>
  <si>
    <t>钢芯φ20×10
（P185018C000-20）</t>
  </si>
  <si>
    <t>补偿绳 Compensating Rope</t>
  </si>
  <si>
    <t>φ16(U)×6
(X136U16AP)</t>
  </si>
  <si>
    <t>φ18(Fi)×10
(X135E18AP)</t>
  </si>
  <si>
    <t>φ18(Fi)×12
(X135E18AP)</t>
  </si>
  <si>
    <t>补偿轮 Compensating Sheave</t>
  </si>
  <si>
    <t>CG-761L</t>
  </si>
  <si>
    <t>CG-560*4W</t>
  </si>
  <si>
    <t>随行电缆 Traveling cable</t>
  </si>
  <si>
    <t>120C×1</t>
  </si>
  <si>
    <r>
      <rPr>
        <sz val="11"/>
        <rFont val="等线 Light"/>
        <charset val="134"/>
      </rPr>
      <t>120C×1</t>
    </r>
  </si>
  <si>
    <t>限速器绳 Governor Rope</t>
  </si>
  <si>
    <t>Φ10 ×2
(X135G10SP)</t>
  </si>
  <si>
    <t>Φ12×2
(X135G12SP)</t>
  </si>
  <si>
    <t>返绳轮    Suspension Sheave dia   ［mm］</t>
  </si>
  <si>
    <t>/</t>
  </si>
  <si>
    <t>上梁   Overhead Beam   ［mm］</t>
  </si>
  <si>
    <t>30c#槽钢 【300×89×11.5</t>
  </si>
  <si>
    <t>H型钢：H500x200x10x16</t>
  </si>
  <si>
    <t>立柱    Column   ［mm］</t>
  </si>
  <si>
    <t>18#槽钢【180×70×9</t>
  </si>
  <si>
    <t>组合柱：14b#槽钢 
【140×60×8.0   ×2
组合柱总宽：400</t>
  </si>
  <si>
    <t>ZDGD-1000</t>
  </si>
  <si>
    <t>ZDGC-700</t>
  </si>
  <si>
    <t>ZDGC-1000</t>
  </si>
  <si>
    <t>安全钳</t>
  </si>
  <si>
    <t>ZGSB-680</t>
  </si>
  <si>
    <t>ZGSB-1501D</t>
  </si>
  <si>
    <t>ZGSC-680</t>
  </si>
  <si>
    <t>ZGSC-1501</t>
  </si>
  <si>
    <t>ZOB-610</t>
  </si>
  <si>
    <t>ZOB-830 *2</t>
  </si>
  <si>
    <t>ZOB-1100 *2</t>
  </si>
  <si>
    <t>对重 Counter Weight</t>
  </si>
  <si>
    <t>WG1500×WW310</t>
  </si>
  <si>
    <t>WG1850×WW470</t>
  </si>
  <si>
    <t>LUR-265K ×4</t>
  </si>
  <si>
    <t>LUR-321H ×4</t>
  </si>
  <si>
    <t>LUR111M ×4</t>
  </si>
  <si>
    <t>LUR151M ×4</t>
  </si>
  <si>
    <t>导轨
Guide Rail
（Bracket span 2.5m）</t>
  </si>
  <si>
    <t>T127-2/BEJ
BG=2280</t>
  </si>
  <si>
    <t>T140-3/BEJ
BG=2280</t>
  </si>
  <si>
    <t>T140-3/BEJ
BG=3330</t>
  </si>
  <si>
    <t>Cwt</t>
  </si>
  <si>
    <t>T127-2/BEJ
WG=1500</t>
  </si>
  <si>
    <t>T140-2/BEJ
WG=1850</t>
  </si>
  <si>
    <t>Omega filler</t>
  </si>
  <si>
    <t>电机力矩  [Nm]
Tor. Of T/M</t>
  </si>
  <si>
    <t>加速/最大</t>
  </si>
  <si>
    <t>减速/最大</t>
  </si>
  <si>
    <t>ACOP用
115%SPD 空载上行时
电机力矩  [Nm]
Tor. Of T/M</t>
  </si>
  <si>
    <t>曳引机参数</t>
  </si>
  <si>
    <t>[kW]</t>
  </si>
  <si>
    <t>曳引机惯量</t>
  </si>
  <si>
    <r>
      <rPr>
        <sz val="12"/>
        <rFont val="等线 Light"/>
        <charset val="134"/>
      </rPr>
      <t>[kg*m</t>
    </r>
    <r>
      <rPr>
        <vertAlign val="superscript"/>
        <sz val="12"/>
        <rFont val="等线 Light"/>
        <charset val="134"/>
      </rPr>
      <t>2</t>
    </r>
    <r>
      <rPr>
        <sz val="12"/>
        <rFont val="等线 Light"/>
        <charset val="134"/>
      </rPr>
      <t>]</t>
    </r>
  </si>
  <si>
    <t>系统惯量</t>
  </si>
  <si>
    <t>[r/min]</t>
  </si>
  <si>
    <t>额定力矩</t>
  </si>
  <si>
    <t>[Nm]</t>
  </si>
  <si>
    <t>峰值功率</t>
  </si>
  <si>
    <t>最大力矩</t>
  </si>
  <si>
    <t>导轨支反力（CAR）</t>
  </si>
  <si>
    <t>Px[N]</t>
  </si>
  <si>
    <t>Py[N]</t>
  </si>
  <si>
    <t>Pz[N]</t>
  </si>
  <si>
    <t>导轨支反力（CWT）</t>
  </si>
  <si>
    <t>缓冲器支反力</t>
  </si>
  <si>
    <t>P car buffer[N]</t>
  </si>
  <si>
    <t>P cwt buffer[N]</t>
  </si>
  <si>
    <t>补偿轮Lockdown动作反力</t>
  </si>
  <si>
    <t>P comp left[N]</t>
  </si>
  <si>
    <t>P comp right[N]</t>
  </si>
  <si>
    <t>开发部意见</t>
  </si>
  <si>
    <t xml:space="preserve">1.监控速度3m/s；
2.RC=500；
</t>
  </si>
  <si>
    <t>1.监控速度3.5m/s；
2.RC=400；
3.PDmin=5240；
4.非标设计人员注意检讨压缩缓冲器时张紧轮和安全钳空间位置；</t>
  </si>
  <si>
    <t>1.监控速度4m/s；
2.RC=400；
3.OHmin=7430；
4.PDmin=5520；
5.非标设计人员注意检讨压缩缓冲器时张紧轮和安全钳空间位置；</t>
  </si>
  <si>
    <t>1.监控速度3.5m/s；
2.RC=500；
3.非标设计人员注意检讨压缩缓冲器时张紧轮和安全钳空间位置；</t>
  </si>
  <si>
    <t>20.Dec.2013</t>
  </si>
  <si>
    <t>Ｄ－Ａ－ＭＥＳＥ-３６５．２３</t>
  </si>
  <si>
    <r>
      <rPr>
        <b/>
        <sz val="12"/>
        <rFont val="ＭＳ Ｐゴシック"/>
        <charset val="134"/>
      </rPr>
      <t xml:space="preserve"> </t>
    </r>
    <r>
      <rPr>
        <b/>
        <u/>
        <sz val="14"/>
        <rFont val="ＭＳ Ｐゴシック"/>
        <charset val="134"/>
      </rPr>
      <t>Notes on "MAXIEZ-H</t>
    </r>
    <r>
      <rPr>
        <b/>
        <u/>
        <sz val="12"/>
        <rFont val="ＭＳ Ｐゴシック"/>
        <charset val="134"/>
      </rPr>
      <t>［For GB7588-2003］</t>
    </r>
    <r>
      <rPr>
        <b/>
        <u/>
        <sz val="14"/>
        <rFont val="ＭＳ Ｐゴシック"/>
        <charset val="134"/>
      </rPr>
      <t>"</t>
    </r>
    <r>
      <rPr>
        <b/>
        <sz val="12"/>
        <rFont val="ＭＳ Ｐゴシック"/>
        <charset val="134"/>
      </rPr>
      <t xml:space="preserve"> </t>
    </r>
    <r>
      <rPr>
        <sz val="12"/>
        <rFont val="ＭＳ Ｐゴシック"/>
        <charset val="134"/>
      </rPr>
      <t>Speed 300, 360m/min, Capacity 1200～1800kg</t>
    </r>
  </si>
  <si>
    <t>For 300m/min.・・・～1600kg → 2：1　Roping, 1600kg Over 1800kg → 1：1 Roping</t>
  </si>
  <si>
    <t>For 360m/min.・・・～1800kg → 1：1　Roping</t>
  </si>
  <si>
    <t>(1)</t>
  </si>
  <si>
    <t>For the specifications of "MAXIEZ-H", refer to S Manual.</t>
  </si>
  <si>
    <t>(2)</t>
  </si>
  <si>
    <t xml:space="preserve">For the standard dimensions (of hoistway, machine room, car, door system, etc.), </t>
  </si>
  <si>
    <t>refer to IM Manual (MESE).</t>
  </si>
  <si>
    <t>(3)</t>
  </si>
  <si>
    <t>The number of persons is calculated according to GB7588-2003. (75kg for each passenger)</t>
  </si>
  <si>
    <t>(4)</t>
  </si>
  <si>
    <t>The minimum floor to floor distance required the values as below.</t>
  </si>
  <si>
    <t>Whichever value is higher shall be taken as the minimum floor to floor distance.</t>
  </si>
  <si>
    <t>　Control System --------------　2500mm</t>
  </si>
  <si>
    <t>　Door Operator Layout --------　HH+700mm ('HH' is the entrance height.)</t>
  </si>
  <si>
    <t>(5)</t>
  </si>
  <si>
    <t>When the maximum travel exceeds the value shown in the standard duty table, consult the Engineering</t>
  </si>
  <si>
    <t>Department of MESE at once.</t>
  </si>
  <si>
    <t>(6)</t>
  </si>
  <si>
    <t>The 'one-rail two-bracket' system is applied as standard.</t>
  </si>
  <si>
    <t>(7)</t>
  </si>
  <si>
    <t>Cage Mass</t>
  </si>
  <si>
    <t xml:space="preserve">Ceiling of CB1, Painted wall, shell, door panel, centilator and operating panel are included. </t>
  </si>
  <si>
    <t>Floor finish is included for it.</t>
  </si>
  <si>
    <t>(8)</t>
  </si>
  <si>
    <t>The maximum Cage Mass is the maximum permissible mass of Cage under the special conditions</t>
  </si>
  <si>
    <t>such as using special wall, special ceiling and stone-floor. (The mass left after taking the cage mass</t>
  </si>
  <si>
    <t>from the maximum cage mass, is allowed as additional mass.)</t>
  </si>
  <si>
    <t>(9)</t>
  </si>
  <si>
    <t>The allowable maximum car dead weight includes the cage weight.</t>
  </si>
  <si>
    <t xml:space="preserve">      MITSUBISHI ELECTRIC SHANGHAI ELECTRIC ELEVATOR CO.,LTD.</t>
  </si>
  <si>
    <t>25层/8站</t>
  </si>
  <si>
    <t>AA 1900 x BB 1800 x HC 2700</t>
  </si>
  <si>
    <t>2025*2</t>
  </si>
  <si>
    <t>AA 2100 x BB 1900 x HC 2700</t>
  </si>
  <si>
    <t>82层/82站</t>
  </si>
  <si>
    <t>92层/89站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</si>
</sst>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8" formatCode="0.00_ "/>
    <numFmt numFmtId="192" formatCode="0;_䠀"/>
    <numFmt numFmtId="193" formatCode="0.0_ "/>
    <numFmt numFmtId="194" formatCode="[$-409]mmmm\ d\,\ yyyy;@"/>
    <numFmt numFmtId="195" formatCode="0.0_);[Red]\(0.0\)"/>
    <numFmt numFmtId="199" formatCode="0.0"/>
  </numFmts>
  <fonts count="67">
    <font>
      <sz val="11"/>
      <name val="ＭＳ Ｐゴシック"/>
      <charset val="128"/>
    </font>
    <font>
      <sz val="12"/>
      <name val="ＭＳ Ｐゴシック"/>
      <charset val="134"/>
    </font>
    <font>
      <b/>
      <sz val="12"/>
      <name val="ＭＳ Ｐゴシック"/>
      <charset val="134"/>
    </font>
    <font>
      <u/>
      <sz val="12"/>
      <name val="ＭＳ Ｐゴシック"/>
      <charset val="134"/>
    </font>
    <font>
      <sz val="11"/>
      <name val="明朝"/>
      <charset val="128"/>
    </font>
    <font>
      <b/>
      <sz val="12"/>
      <name val="ＤＦ特太ゴシック体"/>
      <charset val="128"/>
    </font>
    <font>
      <b/>
      <sz val="12"/>
      <name val="明朝"/>
      <charset val="128"/>
    </font>
    <font>
      <sz val="14"/>
      <name val="ＭＳ Ｐゴシック"/>
      <charset val="134"/>
    </font>
    <font>
      <sz val="14"/>
      <name val="明朝"/>
      <charset val="128"/>
    </font>
    <font>
      <sz val="11"/>
      <color rgb="FF000000"/>
      <name val="Tahoma"/>
      <charset val="134"/>
    </font>
    <font>
      <sz val="12"/>
      <name val="等线 Light"/>
      <charset val="134"/>
    </font>
    <font>
      <u/>
      <sz val="14"/>
      <name val="ＭＳ Ｐゴシック"/>
      <charset val="134"/>
    </font>
    <font>
      <sz val="11"/>
      <color rgb="FF000000"/>
      <name val="等线 Light"/>
      <charset val="134"/>
    </font>
    <font>
      <sz val="11"/>
      <name val="等线 Light"/>
      <charset val="134"/>
    </font>
    <font>
      <sz val="11"/>
      <color rgb="FFFF0000"/>
      <name val="等线 Light"/>
      <charset val="134"/>
    </font>
    <font>
      <sz val="11"/>
      <color rgb="FF000000"/>
      <name val="ＭＳ Ｐゴシック"/>
      <charset val="128"/>
    </font>
    <font>
      <sz val="11"/>
      <color rgb="FFFF0000"/>
      <name val="ＭＳ Ｐゴシック"/>
      <charset val="128"/>
    </font>
    <font>
      <sz val="11"/>
      <name val="ＭＳ Ｐゴシック"/>
      <charset val="134"/>
    </font>
    <font>
      <sz val="11"/>
      <color theme="1"/>
      <name val="ＭＳ Ｐゴシック"/>
      <charset val="134"/>
    </font>
    <font>
      <sz val="12"/>
      <color rgb="FFFF0000"/>
      <name val="等线 Light"/>
      <charset val="134"/>
    </font>
    <font>
      <b/>
      <sz val="12"/>
      <name val="等线 Light"/>
      <charset val="134"/>
    </font>
    <font>
      <b/>
      <sz val="14"/>
      <name val="等线 Light"/>
      <charset val="134"/>
    </font>
    <font>
      <strike/>
      <sz val="11"/>
      <name val="宋体"/>
      <charset val="134"/>
    </font>
    <font>
      <b/>
      <strike/>
      <sz val="1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2"/>
      <color theme="1"/>
      <name val="ＭＳ Ｐゴシック"/>
      <charset val="134"/>
    </font>
    <font>
      <sz val="13"/>
      <name val="明朝"/>
      <charset val="128"/>
    </font>
    <font>
      <sz val="14"/>
      <color theme="1"/>
      <name val="ＭＳ Ｐゴシック"/>
      <charset val="134"/>
    </font>
    <font>
      <sz val="14"/>
      <color rgb="FFFF0000"/>
      <name val="ＭＳ Ｐゴシック"/>
      <charset val="134"/>
    </font>
    <font>
      <u/>
      <sz val="14"/>
      <color theme="1"/>
      <name val="明朝"/>
      <charset val="128"/>
    </font>
    <font>
      <u/>
      <sz val="14"/>
      <name val="明朝"/>
      <charset val="128"/>
    </font>
    <font>
      <sz val="13"/>
      <color theme="1"/>
      <name val="明朝"/>
      <charset val="128"/>
    </font>
    <font>
      <u/>
      <sz val="13"/>
      <name val="明朝"/>
      <charset val="128"/>
    </font>
    <font>
      <u/>
      <sz val="13"/>
      <color theme="1"/>
      <name val="明朝"/>
      <charset val="128"/>
    </font>
    <font>
      <sz val="18"/>
      <color theme="1"/>
      <name val="Arial Black"/>
      <charset val="134"/>
    </font>
    <font>
      <sz val="16"/>
      <color theme="1"/>
      <name val="ＭＳ Ｐゴシック"/>
      <charset val="134"/>
    </font>
    <font>
      <sz val="12"/>
      <name val="明朝"/>
      <charset val="128"/>
    </font>
    <font>
      <sz val="8"/>
      <name val="明朝"/>
      <charset val="128"/>
    </font>
    <font>
      <sz val="11"/>
      <color theme="1"/>
      <name val="宋体"/>
      <charset val="134"/>
    </font>
    <font>
      <sz val="11"/>
      <color theme="1"/>
      <name val="明朝"/>
      <charset val="128"/>
    </font>
    <font>
      <sz val="14"/>
      <color theme="1"/>
      <name val="宋体"/>
      <charset val="134"/>
    </font>
    <font>
      <b/>
      <sz val="15"/>
      <name val="明朝"/>
      <charset val="128"/>
    </font>
    <font>
      <b/>
      <sz val="14"/>
      <name val="明朝"/>
      <charset val="128"/>
    </font>
    <font>
      <b/>
      <sz val="11"/>
      <name val="ＭＳ Ｐゴシック"/>
      <charset val="134"/>
    </font>
    <font>
      <sz val="10"/>
      <name val="明朝"/>
      <charset val="128"/>
    </font>
    <font>
      <sz val="20"/>
      <name val="Calibri"/>
      <charset val="134"/>
      <scheme val="minor"/>
    </font>
    <font>
      <sz val="11"/>
      <name val="Calibri"/>
      <charset val="134"/>
      <scheme val="minor"/>
    </font>
    <font>
      <b/>
      <sz val="20"/>
      <name val="Script"/>
      <charset val="255"/>
    </font>
    <font>
      <sz val="20"/>
      <name val="CMMI5"/>
      <charset val="134"/>
    </font>
    <font>
      <sz val="20"/>
      <name val="ＭＳ Ｐゴシック"/>
      <charset val="134"/>
    </font>
    <font>
      <sz val="11"/>
      <name val="宋体"/>
      <charset val="134"/>
    </font>
    <font>
      <sz val="11"/>
      <color rgb="FFFF0000"/>
      <name val="ＭＳ Ｐゴシック"/>
      <charset val="134"/>
    </font>
    <font>
      <sz val="10"/>
      <name val="ＭＳ Ｐゴシック"/>
      <charset val="134"/>
    </font>
    <font>
      <sz val="10"/>
      <color rgb="FFFF0000"/>
      <name val="ＭＳ Ｐゴシック"/>
      <charset val="134"/>
    </font>
    <font>
      <sz val="10"/>
      <color rgb="FFFF0000"/>
      <name val="宋体"/>
      <charset val="134"/>
    </font>
    <font>
      <b/>
      <sz val="11"/>
      <name val="宋体"/>
      <charset val="134"/>
    </font>
    <font>
      <sz val="9"/>
      <color theme="1"/>
      <name val="微软雅黑"/>
      <charset val="134"/>
    </font>
    <font>
      <sz val="18"/>
      <color theme="1"/>
      <name val="宋体"/>
      <charset val="134"/>
    </font>
    <font>
      <b/>
      <sz val="11"/>
      <color rgb="FFFF0000"/>
      <name val="ＭＳ Ｐゴシック"/>
      <charset val="134"/>
    </font>
    <font>
      <b/>
      <sz val="11"/>
      <color rgb="FFFF0000"/>
      <name val="宋体"/>
      <charset val="134"/>
    </font>
    <font>
      <vertAlign val="superscript"/>
      <sz val="12"/>
      <name val="等线 Light"/>
      <charset val="134"/>
    </font>
    <font>
      <sz val="10"/>
      <name val="宋体"/>
      <charset val="134"/>
    </font>
    <font>
      <b/>
      <u/>
      <sz val="14"/>
      <name val="ＭＳ Ｐゴシック"/>
      <charset val="134"/>
    </font>
    <font>
      <b/>
      <u/>
      <sz val="12"/>
      <name val="ＭＳ Ｐゴシック"/>
      <charset val="134"/>
    </font>
    <font>
      <sz val="9"/>
      <name val="宋体"/>
    </font>
    <font>
      <b/>
      <sz val="9"/>
      <name val="宋体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82909634693444"/>
        <bgColor indexed="64"/>
      </patternFill>
    </fill>
  </fills>
  <borders count="9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dashed">
        <color auto="1"/>
      </bottom>
      <diagonal/>
    </border>
    <border>
      <left/>
      <right style="medium">
        <color auto="1"/>
      </right>
      <top style="hair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hair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0" fontId="57" fillId="0" borderId="0">
      <alignment vertical="center"/>
    </xf>
    <xf numFmtId="0" fontId="4" fillId="0" borderId="0"/>
  </cellStyleXfs>
  <cellXfs count="675">
    <xf numFmtId="0" fontId="0" fillId="0" borderId="0" xfId="0"/>
    <xf numFmtId="0" fontId="1" fillId="0" borderId="0" xfId="2" applyFont="1" applyAlignment="1">
      <alignment vertical="center"/>
    </xf>
    <xf numFmtId="49" fontId="1" fillId="0" borderId="0" xfId="2" applyNumberFormat="1" applyFont="1" applyAlignment="1">
      <alignment vertical="center"/>
    </xf>
    <xf numFmtId="0" fontId="1" fillId="0" borderId="0" xfId="2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1" fillId="0" borderId="1" xfId="2" applyNumberFormat="1" applyFont="1" applyBorder="1" applyAlignment="1">
      <alignment vertical="center"/>
    </xf>
    <xf numFmtId="0" fontId="1" fillId="0" borderId="2" xfId="2" applyFont="1" applyBorder="1" applyAlignment="1">
      <alignment vertical="center"/>
    </xf>
    <xf numFmtId="49" fontId="2" fillId="0" borderId="3" xfId="2" applyNumberFormat="1" applyFont="1" applyBorder="1" applyAlignment="1">
      <alignment vertical="center"/>
    </xf>
    <xf numFmtId="0" fontId="1" fillId="0" borderId="0" xfId="2" applyFont="1" applyBorder="1" applyAlignment="1">
      <alignment vertical="center"/>
    </xf>
    <xf numFmtId="49" fontId="1" fillId="0" borderId="3" xfId="2" applyNumberFormat="1" applyFont="1" applyBorder="1" applyAlignment="1">
      <alignment vertical="center"/>
    </xf>
    <xf numFmtId="49" fontId="1" fillId="0" borderId="3" xfId="2" applyNumberFormat="1" applyFont="1" applyBorder="1" applyAlignment="1">
      <alignment horizontal="right" vertical="center"/>
    </xf>
    <xf numFmtId="0" fontId="1" fillId="0" borderId="2" xfId="2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2" applyFont="1" applyFill="1" applyBorder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0" fontId="1" fillId="0" borderId="4" xfId="2" applyFont="1" applyBorder="1" applyAlignment="1">
      <alignment vertical="center"/>
    </xf>
    <xf numFmtId="0" fontId="1" fillId="0" borderId="5" xfId="2" applyFont="1" applyBorder="1" applyAlignment="1">
      <alignment vertical="center"/>
    </xf>
    <xf numFmtId="0" fontId="1" fillId="0" borderId="0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vertical="center"/>
    </xf>
    <xf numFmtId="0" fontId="1" fillId="0" borderId="0" xfId="2" applyFont="1" applyFill="1" applyBorder="1" applyAlignment="1">
      <alignment horizontal="left" vertical="center"/>
    </xf>
    <xf numFmtId="0" fontId="1" fillId="0" borderId="0" xfId="2" applyFont="1" applyBorder="1" applyAlignment="1">
      <alignment horizontal="right" vertical="center"/>
    </xf>
    <xf numFmtId="0" fontId="5" fillId="0" borderId="0" xfId="2" applyFont="1" applyBorder="1" applyAlignment="1">
      <alignment horizontal="center" vertical="center"/>
    </xf>
    <xf numFmtId="0" fontId="1" fillId="0" borderId="5" xfId="2" applyFont="1" applyFill="1" applyBorder="1" applyAlignment="1">
      <alignment vertical="center"/>
    </xf>
    <xf numFmtId="0" fontId="1" fillId="0" borderId="0" xfId="2" applyFont="1" applyFill="1" applyAlignment="1">
      <alignment vertical="center"/>
    </xf>
    <xf numFmtId="49" fontId="1" fillId="0" borderId="6" xfId="2" applyNumberFormat="1" applyFont="1" applyBorder="1" applyAlignment="1">
      <alignment vertical="center"/>
    </xf>
    <xf numFmtId="0" fontId="1" fillId="0" borderId="7" xfId="2" applyFont="1" applyBorder="1" applyAlignment="1">
      <alignment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49" fontId="1" fillId="0" borderId="0" xfId="2" applyNumberFormat="1" applyFont="1" applyBorder="1" applyAlignment="1">
      <alignment vertical="center"/>
    </xf>
    <xf numFmtId="0" fontId="1" fillId="0" borderId="7" xfId="2" applyFont="1" applyBorder="1" applyAlignment="1">
      <alignment horizontal="left" vertical="center"/>
    </xf>
    <xf numFmtId="0" fontId="1" fillId="0" borderId="8" xfId="2" applyFont="1" applyBorder="1" applyAlignment="1">
      <alignment vertical="center"/>
    </xf>
    <xf numFmtId="0" fontId="0" fillId="2" borderId="0" xfId="0" applyFont="1" applyFill="1" applyAlignment="1"/>
    <xf numFmtId="0" fontId="0" fillId="2" borderId="0" xfId="0" applyFont="1" applyFill="1"/>
    <xf numFmtId="0" fontId="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vertical="center"/>
    </xf>
    <xf numFmtId="0" fontId="0" fillId="2" borderId="9" xfId="0" applyFont="1" applyFill="1" applyBorder="1" applyAlignment="1"/>
    <xf numFmtId="0" fontId="0" fillId="2" borderId="9" xfId="0" applyFont="1" applyFill="1" applyBorder="1" applyAlignment="1">
      <alignment vertical="top"/>
    </xf>
    <xf numFmtId="0" fontId="10" fillId="2" borderId="14" xfId="0" applyFont="1" applyFill="1" applyBorder="1" applyAlignment="1">
      <alignment horizontal="centerContinuous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4" borderId="0" xfId="0" applyFont="1" applyFill="1"/>
    <xf numFmtId="0" fontId="15" fillId="2" borderId="0" xfId="0" applyFont="1" applyFill="1"/>
    <xf numFmtId="0" fontId="0" fillId="5" borderId="0" xfId="0" applyFont="1" applyFill="1"/>
    <xf numFmtId="0" fontId="0" fillId="3" borderId="0" xfId="0" applyFont="1" applyFill="1"/>
    <xf numFmtId="0" fontId="16" fillId="2" borderId="0" xfId="0" applyFont="1" applyFill="1"/>
    <xf numFmtId="0" fontId="17" fillId="2" borderId="0" xfId="0" applyFont="1" applyFill="1"/>
    <xf numFmtId="0" fontId="17" fillId="0" borderId="0" xfId="0" applyFont="1" applyFill="1"/>
    <xf numFmtId="0" fontId="18" fillId="2" borderId="0" xfId="0" applyFont="1" applyFill="1"/>
    <xf numFmtId="0" fontId="10" fillId="2" borderId="16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vertical="center" wrapText="1"/>
    </xf>
    <xf numFmtId="0" fontId="10" fillId="2" borderId="18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0" fillId="2" borderId="23" xfId="0" applyFont="1" applyFill="1" applyBorder="1" applyAlignment="1">
      <alignment horizontal="left" vertical="center"/>
    </xf>
    <xf numFmtId="0" fontId="14" fillId="2" borderId="41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2" fillId="6" borderId="14" xfId="0" applyFont="1" applyFill="1" applyBorder="1" applyAlignment="1">
      <alignment horizontal="center" vertical="center"/>
    </xf>
    <xf numFmtId="0" fontId="22" fillId="6" borderId="26" xfId="0" applyFont="1" applyFill="1" applyBorder="1" applyAlignment="1">
      <alignment horizontal="center" vertical="center" wrapText="1"/>
    </xf>
    <xf numFmtId="0" fontId="22" fillId="6" borderId="29" xfId="0" applyFont="1" applyFill="1" applyBorder="1" applyAlignment="1">
      <alignment horizontal="center" vertical="center" wrapText="1"/>
    </xf>
    <xf numFmtId="0" fontId="22" fillId="6" borderId="43" xfId="0" applyFont="1" applyFill="1" applyBorder="1" applyAlignment="1">
      <alignment horizontal="center" vertical="center" wrapText="1"/>
    </xf>
    <xf numFmtId="0" fontId="23" fillId="6" borderId="44" xfId="0" applyFont="1" applyFill="1" applyBorder="1" applyAlignment="1">
      <alignment horizontal="center" vertical="center" wrapText="1"/>
    </xf>
    <xf numFmtId="0" fontId="22" fillId="6" borderId="45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0" fillId="2" borderId="0" xfId="0" applyFont="1" applyFill="1" applyBorder="1" applyAlignment="1">
      <alignment vertical="center"/>
    </xf>
    <xf numFmtId="49" fontId="26" fillId="2" borderId="0" xfId="0" applyNumberFormat="1" applyFont="1" applyFill="1" applyAlignment="1">
      <alignment vertical="center"/>
    </xf>
    <xf numFmtId="0" fontId="7" fillId="2" borderId="0" xfId="0" applyFont="1" applyFill="1"/>
    <xf numFmtId="0" fontId="27" fillId="2" borderId="0" xfId="0" applyFont="1" applyFill="1" applyAlignment="1">
      <alignment vertical="center"/>
    </xf>
    <xf numFmtId="194" fontId="28" fillId="2" borderId="0" xfId="0" applyNumberFormat="1" applyFont="1" applyFill="1" applyAlignment="1">
      <alignment vertical="center"/>
    </xf>
    <xf numFmtId="194" fontId="29" fillId="2" borderId="0" xfId="0" applyNumberFormat="1" applyFont="1" applyFill="1" applyAlignment="1">
      <alignment vertical="center"/>
    </xf>
    <xf numFmtId="15" fontId="30" fillId="2" borderId="0" xfId="0" applyNumberFormat="1" applyFont="1" applyFill="1"/>
    <xf numFmtId="15" fontId="31" fillId="2" borderId="0" xfId="0" applyNumberFormat="1" applyFont="1" applyFill="1"/>
    <xf numFmtId="0" fontId="28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14" fontId="18" fillId="2" borderId="0" xfId="0" applyNumberFormat="1" applyFont="1" applyFill="1"/>
    <xf numFmtId="0" fontId="3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0" fillId="2" borderId="47" xfId="0" applyFont="1" applyFill="1" applyBorder="1" applyAlignment="1">
      <alignment vertical="center"/>
    </xf>
    <xf numFmtId="0" fontId="37" fillId="2" borderId="9" xfId="0" applyFont="1" applyFill="1" applyBorder="1" applyAlignment="1">
      <alignment vertical="center"/>
    </xf>
    <xf numFmtId="0" fontId="38" fillId="2" borderId="9" xfId="0" applyFont="1" applyFill="1" applyBorder="1" applyAlignment="1">
      <alignment vertical="center"/>
    </xf>
    <xf numFmtId="0" fontId="38" fillId="2" borderId="0" xfId="0" applyFont="1" applyFill="1" applyBorder="1" applyAlignment="1">
      <alignment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vertical="center"/>
    </xf>
    <xf numFmtId="0" fontId="18" fillId="2" borderId="49" xfId="0" applyFont="1" applyFill="1" applyBorder="1" applyAlignment="1">
      <alignment vertical="center"/>
    </xf>
    <xf numFmtId="0" fontId="18" fillId="2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vertical="center"/>
    </xf>
    <xf numFmtId="0" fontId="18" fillId="2" borderId="50" xfId="0" applyFont="1" applyFill="1" applyBorder="1" applyAlignment="1">
      <alignment vertical="center"/>
    </xf>
    <xf numFmtId="0" fontId="39" fillId="2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centerContinuous" vertical="center"/>
    </xf>
    <xf numFmtId="0" fontId="18" fillId="2" borderId="15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52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vertical="center"/>
    </xf>
    <xf numFmtId="0" fontId="18" fillId="2" borderId="52" xfId="0" applyFont="1" applyFill="1" applyBorder="1" applyAlignment="1">
      <alignment vertical="center"/>
    </xf>
    <xf numFmtId="0" fontId="18" fillId="2" borderId="9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17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horizontal="left" vertical="center"/>
    </xf>
    <xf numFmtId="0" fontId="18" fillId="2" borderId="6" xfId="0" applyFont="1" applyFill="1" applyBorder="1" applyAlignment="1">
      <alignment horizontal="center" vertical="center"/>
    </xf>
    <xf numFmtId="0" fontId="40" fillId="2" borderId="0" xfId="0" applyFont="1" applyFill="1" applyBorder="1" applyAlignment="1">
      <alignment vertical="center"/>
    </xf>
    <xf numFmtId="0" fontId="28" fillId="2" borderId="23" xfId="0" applyFont="1" applyFill="1" applyBorder="1" applyAlignment="1">
      <alignment horizontal="centerContinuous" vertical="center"/>
    </xf>
    <xf numFmtId="0" fontId="28" fillId="2" borderId="14" xfId="0" applyFont="1" applyFill="1" applyBorder="1" applyAlignment="1">
      <alignment horizontal="centerContinuous" vertical="center"/>
    </xf>
    <xf numFmtId="0" fontId="32" fillId="2" borderId="0" xfId="0" applyFont="1" applyFill="1" applyBorder="1" applyAlignment="1">
      <alignment vertical="center"/>
    </xf>
    <xf numFmtId="0" fontId="41" fillId="2" borderId="1" xfId="0" applyFont="1" applyFill="1" applyBorder="1" applyAlignment="1">
      <alignment vertical="center"/>
    </xf>
    <xf numFmtId="0" fontId="28" fillId="2" borderId="2" xfId="0" applyFont="1" applyFill="1" applyBorder="1" applyAlignment="1">
      <alignment vertical="center"/>
    </xf>
    <xf numFmtId="0" fontId="28" fillId="2" borderId="6" xfId="0" applyFont="1" applyFill="1" applyBorder="1" applyAlignment="1">
      <alignment vertical="center"/>
    </xf>
    <xf numFmtId="0" fontId="28" fillId="2" borderId="7" xfId="0" applyFont="1" applyFill="1" applyBorder="1" applyAlignment="1">
      <alignment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39" fillId="2" borderId="2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Continuous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" vertical="center"/>
    </xf>
    <xf numFmtId="0" fontId="18" fillId="2" borderId="55" xfId="0" applyFont="1" applyFill="1" applyBorder="1" applyAlignment="1">
      <alignment horizontal="centerContinuous" vertical="center"/>
    </xf>
    <xf numFmtId="0" fontId="7" fillId="2" borderId="14" xfId="0" applyFont="1" applyFill="1" applyBorder="1" applyAlignment="1">
      <alignment horizontal="centerContinuous" vertical="center"/>
    </xf>
    <xf numFmtId="0" fontId="7" fillId="2" borderId="16" xfId="0" applyFont="1" applyFill="1" applyBorder="1" applyAlignment="1">
      <alignment horizontal="centerContinuous" vertical="center"/>
    </xf>
    <xf numFmtId="0" fontId="28" fillId="2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28" fillId="2" borderId="8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8" fillId="2" borderId="48" xfId="0" applyFont="1" applyFill="1" applyBorder="1" applyAlignment="1">
      <alignment vertical="center"/>
    </xf>
    <xf numFmtId="0" fontId="8" fillId="2" borderId="48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4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39" fillId="2" borderId="2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Continuous" vertical="center"/>
    </xf>
    <xf numFmtId="0" fontId="18" fillId="2" borderId="6" xfId="0" applyFont="1" applyFill="1" applyBorder="1" applyAlignment="1">
      <alignment horizontal="centerContinuous" vertical="center"/>
    </xf>
    <xf numFmtId="0" fontId="18" fillId="2" borderId="5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39" fillId="2" borderId="56" xfId="0" applyFont="1" applyFill="1" applyBorder="1" applyAlignment="1">
      <alignment horizontal="center" vertical="center"/>
    </xf>
    <xf numFmtId="0" fontId="18" fillId="2" borderId="57" xfId="0" applyFont="1" applyFill="1" applyBorder="1" applyAlignment="1">
      <alignment horizontal="centerContinuous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Continuous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horizontal="left" vertical="center" wrapText="1"/>
    </xf>
    <xf numFmtId="0" fontId="18" fillId="2" borderId="19" xfId="0" applyFont="1" applyFill="1" applyBorder="1" applyAlignment="1">
      <alignment vertical="center"/>
    </xf>
    <xf numFmtId="0" fontId="18" fillId="2" borderId="50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vertical="center"/>
    </xf>
    <xf numFmtId="0" fontId="0" fillId="2" borderId="62" xfId="0" applyFont="1" applyFill="1" applyBorder="1" applyAlignment="1">
      <alignment vertical="center"/>
    </xf>
    <xf numFmtId="0" fontId="0" fillId="2" borderId="62" xfId="0" applyFont="1" applyFill="1" applyBorder="1" applyAlignment="1"/>
    <xf numFmtId="0" fontId="6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4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centerContinuous" vertical="center"/>
    </xf>
    <xf numFmtId="192" fontId="18" fillId="2" borderId="22" xfId="0" applyNumberFormat="1" applyFont="1" applyFill="1" applyBorder="1" applyAlignment="1">
      <alignment horizontal="center" vertical="center"/>
    </xf>
    <xf numFmtId="0" fontId="18" fillId="2" borderId="63" xfId="0" applyFont="1" applyFill="1" applyBorder="1" applyAlignment="1">
      <alignment horizontal="center" vertical="center"/>
    </xf>
    <xf numFmtId="0" fontId="18" fillId="2" borderId="64" xfId="0" applyFont="1" applyFill="1" applyBorder="1" applyAlignment="1">
      <alignment horizontal="center" vertical="center"/>
    </xf>
    <xf numFmtId="0" fontId="18" fillId="2" borderId="65" xfId="0" applyFont="1" applyFill="1" applyBorder="1" applyAlignment="1">
      <alignment horizontal="center" vertical="center"/>
    </xf>
    <xf numFmtId="0" fontId="18" fillId="2" borderId="66" xfId="0" applyFont="1" applyFill="1" applyBorder="1" applyAlignment="1">
      <alignment horizontal="center" vertical="center" wrapText="1"/>
    </xf>
    <xf numFmtId="0" fontId="18" fillId="2" borderId="67" xfId="0" applyFont="1" applyFill="1" applyBorder="1" applyAlignment="1">
      <alignment horizontal="center" vertical="center" wrapText="1"/>
    </xf>
    <xf numFmtId="0" fontId="18" fillId="2" borderId="68" xfId="0" applyFont="1" applyFill="1" applyBorder="1" applyAlignment="1">
      <alignment horizontal="center" vertical="center" wrapText="1"/>
    </xf>
    <xf numFmtId="0" fontId="18" fillId="2" borderId="69" xfId="0" applyFont="1" applyFill="1" applyBorder="1" applyAlignment="1">
      <alignment horizontal="center" vertical="center" wrapText="1"/>
    </xf>
    <xf numFmtId="0" fontId="18" fillId="2" borderId="70" xfId="0" applyFont="1" applyFill="1" applyBorder="1" applyAlignment="1">
      <alignment horizontal="center" vertical="center" wrapText="1"/>
    </xf>
    <xf numFmtId="0" fontId="45" fillId="2" borderId="62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47" fillId="2" borderId="0" xfId="0" applyFont="1" applyFill="1" applyBorder="1" applyAlignment="1">
      <alignment horizontal="center" vertical="center"/>
    </xf>
    <xf numFmtId="0" fontId="48" fillId="2" borderId="0" xfId="0" applyFont="1" applyFill="1" applyBorder="1" applyAlignment="1">
      <alignment horizontal="center"/>
    </xf>
    <xf numFmtId="0" fontId="18" fillId="2" borderId="68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Continuous" vertical="center"/>
    </xf>
    <xf numFmtId="0" fontId="49" fillId="2" borderId="7" xfId="0" applyFont="1" applyFill="1" applyBorder="1" applyAlignment="1">
      <alignment horizontal="centerContinuous" vertical="center"/>
    </xf>
    <xf numFmtId="0" fontId="50" fillId="2" borderId="7" xfId="0" applyFont="1" applyFill="1" applyBorder="1" applyAlignment="1">
      <alignment horizontal="centerContinuous" vertical="center"/>
    </xf>
    <xf numFmtId="192" fontId="18" fillId="2" borderId="23" xfId="0" applyNumberFormat="1" applyFont="1" applyFill="1" applyBorder="1" applyAlignment="1">
      <alignment horizontal="center" vertical="center"/>
    </xf>
    <xf numFmtId="192" fontId="18" fillId="2" borderId="53" xfId="0" applyNumberFormat="1" applyFont="1" applyFill="1" applyBorder="1" applyAlignment="1">
      <alignment horizontal="center" vertical="center"/>
    </xf>
    <xf numFmtId="0" fontId="18" fillId="2" borderId="66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192" fontId="18" fillId="2" borderId="56" xfId="0" applyNumberFormat="1" applyFont="1" applyFill="1" applyBorder="1" applyAlignment="1">
      <alignment horizontal="center" vertical="center"/>
    </xf>
    <xf numFmtId="192" fontId="18" fillId="2" borderId="16" xfId="0" applyNumberFormat="1" applyFont="1" applyFill="1" applyBorder="1" applyAlignment="1">
      <alignment horizontal="center" vertical="center"/>
    </xf>
    <xf numFmtId="0" fontId="18" fillId="2" borderId="71" xfId="0" applyFont="1" applyFill="1" applyBorder="1" applyAlignment="1">
      <alignment horizontal="center" vertical="center"/>
    </xf>
    <xf numFmtId="0" fontId="18" fillId="2" borderId="72" xfId="0" applyFont="1" applyFill="1" applyBorder="1" applyAlignment="1">
      <alignment horizontal="center" vertical="center"/>
    </xf>
    <xf numFmtId="0" fontId="18" fillId="2" borderId="73" xfId="0" applyFont="1" applyFill="1" applyBorder="1" applyAlignment="1">
      <alignment horizontal="center" vertical="center"/>
    </xf>
    <xf numFmtId="0" fontId="18" fillId="2" borderId="71" xfId="0" applyFont="1" applyFill="1" applyBorder="1" applyAlignment="1">
      <alignment horizontal="center" vertical="center" wrapText="1"/>
    </xf>
    <xf numFmtId="0" fontId="39" fillId="2" borderId="70" xfId="0" applyFont="1" applyFill="1" applyBorder="1" applyAlignment="1">
      <alignment horizontal="center" vertical="center" wrapText="1"/>
    </xf>
    <xf numFmtId="0" fontId="18" fillId="2" borderId="74" xfId="0" applyFont="1" applyFill="1" applyBorder="1" applyAlignment="1">
      <alignment horizontal="center" vertical="center" wrapText="1"/>
    </xf>
    <xf numFmtId="0" fontId="18" fillId="2" borderId="75" xfId="0" applyFont="1" applyFill="1" applyBorder="1" applyAlignment="1">
      <alignment horizontal="center" vertical="center" wrapText="1"/>
    </xf>
    <xf numFmtId="0" fontId="18" fillId="2" borderId="31" xfId="0" applyFont="1" applyFill="1" applyBorder="1" applyAlignment="1">
      <alignment horizontal="center" vertical="center" wrapText="1"/>
    </xf>
    <xf numFmtId="0" fontId="0" fillId="2" borderId="76" xfId="0" applyFill="1" applyBorder="1" applyAlignment="1">
      <alignment horizontal="left" vertical="center"/>
    </xf>
    <xf numFmtId="0" fontId="0" fillId="2" borderId="77" xfId="0" applyFont="1" applyFill="1" applyBorder="1" applyAlignment="1">
      <alignment horizontal="center"/>
    </xf>
    <xf numFmtId="0" fontId="44" fillId="0" borderId="0" xfId="0" applyFont="1"/>
    <xf numFmtId="0" fontId="51" fillId="0" borderId="0" xfId="0" applyFont="1"/>
    <xf numFmtId="0" fontId="52" fillId="0" borderId="0" xfId="0" applyFont="1"/>
    <xf numFmtId="0" fontId="0" fillId="2" borderId="1" xfId="0" applyFill="1" applyBorder="1"/>
    <xf numFmtId="0" fontId="0" fillId="2" borderId="54" xfId="0" applyFill="1" applyBorder="1"/>
    <xf numFmtId="0" fontId="0" fillId="2" borderId="78" xfId="0" applyFill="1" applyBorder="1"/>
    <xf numFmtId="0" fontId="0" fillId="2" borderId="55" xfId="0" applyFill="1" applyBorder="1"/>
    <xf numFmtId="188" fontId="0" fillId="0" borderId="0" xfId="0" applyNumberFormat="1"/>
    <xf numFmtId="0" fontId="53" fillId="0" borderId="0" xfId="0" applyFont="1"/>
    <xf numFmtId="0" fontId="0" fillId="2" borderId="2" xfId="0" applyFill="1" applyBorder="1"/>
    <xf numFmtId="0" fontId="0" fillId="2" borderId="22" xfId="0" applyFill="1" applyBorder="1" applyAlignment="1">
      <alignment horizontal="center"/>
    </xf>
    <xf numFmtId="0" fontId="0" fillId="2" borderId="22" xfId="0" applyFill="1" applyBorder="1"/>
    <xf numFmtId="0" fontId="0" fillId="2" borderId="23" xfId="0" applyFill="1" applyBorder="1"/>
    <xf numFmtId="0" fontId="53" fillId="2" borderId="22" xfId="0" applyFont="1" applyFill="1" applyBorder="1" applyAlignment="1">
      <alignment horizontal="center"/>
    </xf>
    <xf numFmtId="49" fontId="53" fillId="2" borderId="22" xfId="0" applyNumberFormat="1" applyFont="1" applyFill="1" applyBorder="1" applyAlignment="1">
      <alignment horizontal="center"/>
    </xf>
    <xf numFmtId="0" fontId="54" fillId="0" borderId="22" xfId="0" applyFont="1" applyFill="1" applyBorder="1" applyAlignment="1">
      <alignment horizontal="center"/>
    </xf>
    <xf numFmtId="0" fontId="55" fillId="0" borderId="22" xfId="0" applyFont="1" applyFill="1" applyBorder="1" applyAlignment="1">
      <alignment horizontal="center"/>
    </xf>
    <xf numFmtId="0" fontId="56" fillId="2" borderId="0" xfId="0" applyFont="1" applyFill="1"/>
    <xf numFmtId="0" fontId="56" fillId="2" borderId="22" xfId="0" applyFont="1" applyFill="1" applyBorder="1"/>
    <xf numFmtId="0" fontId="51" fillId="2" borderId="54" xfId="0" applyFont="1" applyFill="1" applyBorder="1"/>
    <xf numFmtId="0" fontId="0" fillId="2" borderId="0" xfId="0" applyFill="1"/>
    <xf numFmtId="0" fontId="44" fillId="2" borderId="0" xfId="0" applyFont="1" applyFill="1"/>
    <xf numFmtId="0" fontId="44" fillId="2" borderId="22" xfId="0" applyFont="1" applyFill="1" applyBorder="1"/>
    <xf numFmtId="0" fontId="0" fillId="2" borderId="79" xfId="0" applyFill="1" applyBorder="1"/>
    <xf numFmtId="0" fontId="0" fillId="2" borderId="80" xfId="0" applyFill="1" applyBorder="1"/>
    <xf numFmtId="0" fontId="0" fillId="2" borderId="81" xfId="0" applyFill="1" applyBorder="1"/>
    <xf numFmtId="0" fontId="51" fillId="2" borderId="79" xfId="0" applyFont="1" applyFill="1" applyBorder="1"/>
    <xf numFmtId="0" fontId="51" fillId="2" borderId="81" xfId="0" applyFont="1" applyFill="1" applyBorder="1"/>
    <xf numFmtId="0" fontId="18" fillId="2" borderId="49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 wrapText="1"/>
    </xf>
    <xf numFmtId="0" fontId="18" fillId="2" borderId="84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center" vertical="center"/>
    </xf>
    <xf numFmtId="0" fontId="18" fillId="2" borderId="8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9" fillId="2" borderId="20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9" fillId="2" borderId="54" xfId="0" applyFont="1" applyFill="1" applyBorder="1" applyAlignment="1">
      <alignment horizontal="center" vertical="center" wrapText="1"/>
    </xf>
    <xf numFmtId="0" fontId="18" fillId="2" borderId="83" xfId="0" applyFont="1" applyFill="1" applyBorder="1" applyAlignment="1">
      <alignment horizontal="center" vertical="center" wrapText="1"/>
    </xf>
    <xf numFmtId="0" fontId="18" fillId="2" borderId="86" xfId="0" applyFont="1" applyFill="1" applyBorder="1" applyAlignment="1">
      <alignment horizontal="center" vertical="center" wrapText="1"/>
    </xf>
    <xf numFmtId="0" fontId="18" fillId="2" borderId="87" xfId="0" applyFont="1" applyFill="1" applyBorder="1" applyAlignment="1">
      <alignment horizontal="center" vertical="center" wrapText="1"/>
    </xf>
    <xf numFmtId="0" fontId="18" fillId="2" borderId="88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52" fillId="2" borderId="22" xfId="0" applyFont="1" applyFill="1" applyBorder="1" applyAlignment="1">
      <alignment horizontal="center" vertical="center" wrapText="1"/>
    </xf>
    <xf numFmtId="0" fontId="18" fillId="2" borderId="57" xfId="0" applyFont="1" applyFill="1" applyBorder="1" applyAlignment="1">
      <alignment horizontal="center" vertical="center"/>
    </xf>
    <xf numFmtId="0" fontId="18" fillId="2" borderId="58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51" xfId="0" applyFont="1" applyFill="1" applyBorder="1" applyAlignment="1">
      <alignment horizontal="center" vertical="center" wrapText="1"/>
    </xf>
    <xf numFmtId="0" fontId="18" fillId="2" borderId="89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39" fillId="2" borderId="12" xfId="0" applyFont="1" applyFill="1" applyBorder="1" applyAlignment="1">
      <alignment horizontal="center" vertical="center" wrapText="1"/>
    </xf>
    <xf numFmtId="0" fontId="39" fillId="2" borderId="49" xfId="0" applyFont="1" applyFill="1" applyBorder="1" applyAlignment="1">
      <alignment horizontal="center" vertical="center" wrapText="1"/>
    </xf>
    <xf numFmtId="0" fontId="52" fillId="2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50" xfId="0" applyFont="1" applyFill="1" applyBorder="1" applyAlignment="1">
      <alignment horizontal="center" vertical="center" wrapText="1"/>
    </xf>
    <xf numFmtId="0" fontId="39" fillId="2" borderId="74" xfId="0" applyFont="1" applyFill="1" applyBorder="1" applyAlignment="1">
      <alignment horizontal="center" vertical="center" wrapText="1"/>
    </xf>
    <xf numFmtId="0" fontId="39" fillId="2" borderId="16" xfId="0" applyFont="1" applyFill="1" applyBorder="1" applyAlignment="1">
      <alignment horizontal="center" vertical="center" wrapText="1"/>
    </xf>
    <xf numFmtId="0" fontId="39" fillId="2" borderId="50" xfId="0" applyFont="1" applyFill="1" applyBorder="1" applyAlignment="1">
      <alignment horizontal="center" vertical="center" wrapText="1"/>
    </xf>
    <xf numFmtId="0" fontId="39" fillId="2" borderId="75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Font="1" applyFill="1"/>
    <xf numFmtId="49" fontId="26" fillId="0" borderId="0" xfId="0" applyNumberFormat="1" applyFont="1" applyAlignment="1">
      <alignment vertical="center"/>
    </xf>
    <xf numFmtId="0" fontId="7" fillId="0" borderId="0" xfId="0" applyFont="1" applyFill="1"/>
    <xf numFmtId="0" fontId="18" fillId="0" borderId="0" xfId="0" applyFont="1" applyFill="1"/>
    <xf numFmtId="0" fontId="27" fillId="0" borderId="0" xfId="0" applyFont="1" applyFill="1" applyAlignment="1">
      <alignment vertical="center"/>
    </xf>
    <xf numFmtId="194" fontId="28" fillId="0" borderId="0" xfId="0" applyNumberFormat="1" applyFont="1" applyFill="1" applyAlignment="1">
      <alignment vertical="center"/>
    </xf>
    <xf numFmtId="194" fontId="29" fillId="0" borderId="0" xfId="0" applyNumberFormat="1" applyFont="1" applyFill="1" applyAlignment="1">
      <alignment vertical="center"/>
    </xf>
    <xf numFmtId="15" fontId="30" fillId="0" borderId="0" xfId="0" applyNumberFormat="1" applyFont="1" applyFill="1"/>
    <xf numFmtId="15" fontId="31" fillId="0" borderId="0" xfId="0" applyNumberFormat="1" applyFont="1" applyFill="1"/>
    <xf numFmtId="0" fontId="28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14" fontId="18" fillId="0" borderId="0" xfId="0" applyNumberFormat="1" applyFont="1" applyFill="1"/>
    <xf numFmtId="0" fontId="3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0" fillId="0" borderId="47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37" fillId="0" borderId="9" xfId="0" applyFont="1" applyFill="1" applyBorder="1" applyAlignment="1">
      <alignment vertical="center"/>
    </xf>
    <xf numFmtId="0" fontId="38" fillId="0" borderId="9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left" vertical="center"/>
    </xf>
    <xf numFmtId="0" fontId="18" fillId="0" borderId="11" xfId="0" applyFont="1" applyFill="1" applyBorder="1" applyAlignment="1">
      <alignment vertical="center"/>
    </xf>
    <xf numFmtId="0" fontId="18" fillId="0" borderId="49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50" xfId="0" applyFont="1" applyFill="1" applyBorder="1" applyAlignment="1">
      <alignment vertical="center"/>
    </xf>
    <xf numFmtId="0" fontId="39" fillId="0" borderId="13" xfId="0" applyFont="1" applyFill="1" applyBorder="1" applyAlignment="1">
      <alignment horizontal="left" vertical="center"/>
    </xf>
    <xf numFmtId="0" fontId="0" fillId="0" borderId="9" xfId="0" applyFont="1" applyFill="1" applyBorder="1" applyAlignment="1"/>
    <xf numFmtId="0" fontId="0" fillId="0" borderId="9" xfId="0" applyFont="1" applyFill="1" applyBorder="1" applyAlignment="1">
      <alignment vertical="top"/>
    </xf>
    <xf numFmtId="0" fontId="18" fillId="0" borderId="14" xfId="0" applyFont="1" applyFill="1" applyBorder="1" applyAlignment="1">
      <alignment horizontal="centerContinuous" vertical="center"/>
    </xf>
    <xf numFmtId="0" fontId="18" fillId="0" borderId="15" xfId="0" applyFont="1" applyFill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vertical="center"/>
    </xf>
    <xf numFmtId="0" fontId="18" fillId="0" borderId="52" xfId="0" applyFont="1" applyFill="1" applyBorder="1" applyAlignment="1">
      <alignment vertical="center"/>
    </xf>
    <xf numFmtId="0" fontId="18" fillId="0" borderId="9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horizontal="left" vertical="center"/>
    </xf>
    <xf numFmtId="0" fontId="39" fillId="0" borderId="9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91" xfId="0" applyFont="1" applyFill="1" applyBorder="1" applyAlignment="1">
      <alignment horizontal="center" vertical="center"/>
    </xf>
    <xf numFmtId="0" fontId="39" fillId="0" borderId="22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horizontal="center" vertical="center"/>
    </xf>
    <xf numFmtId="0" fontId="18" fillId="0" borderId="54" xfId="0" applyFont="1" applyFill="1" applyBorder="1" applyAlignment="1">
      <alignment horizontal="centerContinuous" vertical="center"/>
    </xf>
    <xf numFmtId="0" fontId="18" fillId="0" borderId="55" xfId="0" applyFont="1" applyFill="1" applyBorder="1" applyAlignment="1">
      <alignment horizontal="center" vertical="center"/>
    </xf>
    <xf numFmtId="0" fontId="18" fillId="0" borderId="55" xfId="0" applyFont="1" applyFill="1" applyBorder="1" applyAlignment="1">
      <alignment horizontal="centerContinuous" vertical="center"/>
    </xf>
    <xf numFmtId="0" fontId="17" fillId="0" borderId="53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48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8" fillId="0" borderId="9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8" fillId="0" borderId="48" xfId="0" applyFont="1" applyFill="1" applyBorder="1" applyAlignment="1">
      <alignment vertical="center"/>
    </xf>
    <xf numFmtId="0" fontId="4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8" fillId="0" borderId="56" xfId="0" applyFont="1" applyFill="1" applyBorder="1" applyAlignment="1">
      <alignment horizontal="center" vertical="center"/>
    </xf>
    <xf numFmtId="0" fontId="39" fillId="0" borderId="56" xfId="0" applyFont="1" applyFill="1" applyBorder="1" applyAlignment="1">
      <alignment horizontal="center" vertical="center"/>
    </xf>
    <xf numFmtId="0" fontId="18" fillId="0" borderId="57" xfId="0" applyFont="1" applyFill="1" applyBorder="1" applyAlignment="1">
      <alignment horizontal="centerContinuous" vertical="center"/>
    </xf>
    <xf numFmtId="0" fontId="18" fillId="0" borderId="58" xfId="0" applyFont="1" applyFill="1" applyBorder="1" applyAlignment="1">
      <alignment horizontal="centerContinuous" vertical="center"/>
    </xf>
    <xf numFmtId="0" fontId="11" fillId="0" borderId="0" xfId="0" applyFont="1" applyFill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 wrapText="1"/>
    </xf>
    <xf numFmtId="0" fontId="18" fillId="0" borderId="84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vertical="center"/>
    </xf>
    <xf numFmtId="0" fontId="0" fillId="0" borderId="62" xfId="0" applyFont="1" applyFill="1" applyBorder="1" applyAlignment="1">
      <alignment vertical="center"/>
    </xf>
    <xf numFmtId="0" fontId="0" fillId="0" borderId="62" xfId="0" applyFont="1" applyFill="1" applyBorder="1" applyAlignment="1"/>
    <xf numFmtId="0" fontId="4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Continuous" vertical="center"/>
    </xf>
    <xf numFmtId="0" fontId="18" fillId="0" borderId="66" xfId="0" applyFont="1" applyFill="1" applyBorder="1" applyAlignment="1">
      <alignment horizontal="center" vertical="center"/>
    </xf>
    <xf numFmtId="0" fontId="18" fillId="0" borderId="68" xfId="0" applyFont="1" applyFill="1" applyBorder="1" applyAlignment="1">
      <alignment horizontal="center"/>
    </xf>
    <xf numFmtId="0" fontId="18" fillId="0" borderId="64" xfId="0" applyFont="1" applyFill="1" applyBorder="1" applyAlignment="1">
      <alignment horizontal="center" vertical="center"/>
    </xf>
    <xf numFmtId="0" fontId="18" fillId="0" borderId="65" xfId="0" applyFont="1" applyFill="1" applyBorder="1" applyAlignment="1">
      <alignment horizontal="center" vertical="center"/>
    </xf>
    <xf numFmtId="0" fontId="18" fillId="0" borderId="68" xfId="0" applyFont="1" applyFill="1" applyBorder="1" applyAlignment="1">
      <alignment horizontal="center" vertical="center"/>
    </xf>
    <xf numFmtId="0" fontId="18" fillId="0" borderId="83" xfId="0" applyFont="1" applyFill="1" applyBorder="1" applyAlignment="1">
      <alignment horizontal="center" vertical="center"/>
    </xf>
    <xf numFmtId="0" fontId="39" fillId="0" borderId="86" xfId="0" applyFont="1" applyFill="1" applyBorder="1" applyAlignment="1">
      <alignment horizontal="center" vertical="center" wrapText="1"/>
    </xf>
    <xf numFmtId="0" fontId="18" fillId="0" borderId="66" xfId="0" applyFont="1" applyFill="1" applyBorder="1" applyAlignment="1">
      <alignment horizontal="center" vertical="center" wrapText="1"/>
    </xf>
    <xf numFmtId="0" fontId="18" fillId="0" borderId="67" xfId="0" applyFont="1" applyFill="1" applyBorder="1" applyAlignment="1">
      <alignment horizontal="center" vertical="center"/>
    </xf>
    <xf numFmtId="0" fontId="18" fillId="0" borderId="69" xfId="0" applyFont="1" applyFill="1" applyBorder="1" applyAlignment="1">
      <alignment horizontal="center" vertical="center"/>
    </xf>
    <xf numFmtId="0" fontId="18" fillId="0" borderId="70" xfId="0" applyFont="1" applyFill="1" applyBorder="1" applyAlignment="1">
      <alignment horizontal="center" vertical="center" wrapText="1"/>
    </xf>
    <xf numFmtId="0" fontId="18" fillId="0" borderId="75" xfId="0" applyFont="1" applyFill="1" applyBorder="1" applyAlignment="1">
      <alignment horizontal="center" vertical="center" wrapText="1"/>
    </xf>
    <xf numFmtId="0" fontId="18" fillId="0" borderId="87" xfId="0" applyFont="1" applyFill="1" applyBorder="1" applyAlignment="1">
      <alignment horizontal="center" vertical="center"/>
    </xf>
    <xf numFmtId="0" fontId="18" fillId="0" borderId="88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45" fillId="0" borderId="6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48" fillId="0" borderId="0" xfId="0" applyFont="1" applyFill="1" applyBorder="1" applyAlignment="1">
      <alignment horizontal="center"/>
    </xf>
    <xf numFmtId="0" fontId="18" fillId="0" borderId="54" xfId="0" applyFont="1" applyFill="1" applyBorder="1" applyAlignment="1">
      <alignment horizontal="center" vertical="center" wrapText="1"/>
    </xf>
    <xf numFmtId="0" fontId="18" fillId="0" borderId="86" xfId="0" applyFont="1" applyFill="1" applyBorder="1" applyAlignment="1">
      <alignment horizontal="center" vertical="center"/>
    </xf>
    <xf numFmtId="0" fontId="18" fillId="0" borderId="68" xfId="0" applyFont="1" applyFill="1" applyBorder="1" applyAlignment="1">
      <alignment horizontal="center" vertical="center" wrapText="1"/>
    </xf>
    <xf numFmtId="0" fontId="18" fillId="0" borderId="70" xfId="0" applyFont="1" applyFill="1" applyBorder="1" applyAlignment="1">
      <alignment horizontal="center" vertical="center"/>
    </xf>
    <xf numFmtId="0" fontId="18" fillId="0" borderId="88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18" fillId="0" borderId="71" xfId="0" applyFont="1" applyFill="1" applyBorder="1" applyAlignment="1">
      <alignment horizontal="center"/>
    </xf>
    <xf numFmtId="0" fontId="18" fillId="0" borderId="72" xfId="0" applyFont="1" applyFill="1" applyBorder="1" applyAlignment="1">
      <alignment horizontal="center" vertical="center"/>
    </xf>
    <xf numFmtId="0" fontId="18" fillId="0" borderId="73" xfId="0" applyFont="1" applyFill="1" applyBorder="1" applyAlignment="1">
      <alignment horizontal="center" vertical="center"/>
    </xf>
    <xf numFmtId="0" fontId="18" fillId="0" borderId="57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horizontal="center" vertical="center"/>
    </xf>
    <xf numFmtId="0" fontId="18" fillId="0" borderId="57" xfId="0" applyFont="1" applyFill="1" applyBorder="1" applyAlignment="1">
      <alignment horizontal="center" vertical="center" wrapText="1"/>
    </xf>
    <xf numFmtId="0" fontId="18" fillId="0" borderId="86" xfId="0" applyFont="1" applyFill="1" applyBorder="1" applyAlignment="1">
      <alignment horizontal="center" vertical="center" wrapText="1"/>
    </xf>
    <xf numFmtId="0" fontId="39" fillId="0" borderId="90" xfId="0" applyFont="1" applyFill="1" applyBorder="1" applyAlignment="1">
      <alignment horizontal="center" vertical="center" wrapText="1"/>
    </xf>
    <xf numFmtId="0" fontId="18" fillId="0" borderId="89" xfId="0" applyFont="1" applyFill="1" applyBorder="1" applyAlignment="1">
      <alignment horizontal="center" vertical="center" wrapText="1"/>
    </xf>
    <xf numFmtId="0" fontId="18" fillId="0" borderId="71" xfId="0" applyFont="1" applyFill="1" applyBorder="1" applyAlignment="1">
      <alignment horizontal="center" vertical="center" wrapText="1"/>
    </xf>
    <xf numFmtId="0" fontId="39" fillId="0" borderId="70" xfId="0" applyFont="1" applyFill="1" applyBorder="1" applyAlignment="1">
      <alignment horizontal="center" vertical="center" wrapText="1"/>
    </xf>
    <xf numFmtId="0" fontId="39" fillId="0" borderId="74" xfId="0" applyFont="1" applyFill="1" applyBorder="1" applyAlignment="1">
      <alignment horizontal="center" vertical="center" wrapText="1"/>
    </xf>
    <xf numFmtId="0" fontId="39" fillId="0" borderId="88" xfId="0" applyFont="1" applyFill="1" applyBorder="1" applyAlignment="1">
      <alignment horizontal="center" vertical="center" wrapText="1"/>
    </xf>
    <xf numFmtId="0" fontId="39" fillId="0" borderId="93" xfId="0" applyFont="1" applyFill="1" applyBorder="1" applyAlignment="1">
      <alignment horizontal="center" vertical="center" wrapText="1"/>
    </xf>
    <xf numFmtId="0" fontId="39" fillId="0" borderId="22" xfId="0" applyFont="1" applyFill="1" applyBorder="1" applyAlignment="1">
      <alignment horizontal="center" vertical="center" wrapText="1"/>
    </xf>
    <xf numFmtId="0" fontId="39" fillId="0" borderId="56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51" fillId="0" borderId="86" xfId="0" applyFont="1" applyFill="1" applyBorder="1" applyAlignment="1">
      <alignment horizontal="center" vertical="center" wrapText="1"/>
    </xf>
    <xf numFmtId="0" fontId="51" fillId="0" borderId="90" xfId="0" applyFont="1" applyFill="1" applyBorder="1" applyAlignment="1">
      <alignment horizontal="center" vertical="center" wrapText="1"/>
    </xf>
    <xf numFmtId="0" fontId="18" fillId="0" borderId="67" xfId="0" applyFont="1" applyFill="1" applyBorder="1" applyAlignment="1">
      <alignment horizontal="center" vertical="center" wrapText="1"/>
    </xf>
    <xf numFmtId="0" fontId="25" fillId="0" borderId="22" xfId="0" applyFont="1" applyFill="1" applyBorder="1" applyAlignment="1">
      <alignment horizontal="center" vertical="center" wrapText="1"/>
    </xf>
    <xf numFmtId="0" fontId="25" fillId="0" borderId="56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centerContinuous" vertical="center"/>
    </xf>
    <xf numFmtId="0" fontId="0" fillId="0" borderId="48" xfId="0" applyFont="1" applyBorder="1" applyAlignment="1">
      <alignment horizontal="center"/>
    </xf>
    <xf numFmtId="0" fontId="52" fillId="0" borderId="22" xfId="0" applyFont="1" applyFill="1" applyBorder="1" applyAlignment="1">
      <alignment horizontal="center" vertical="center" wrapText="1"/>
    </xf>
    <xf numFmtId="0" fontId="0" fillId="0" borderId="48" xfId="0" applyFont="1" applyFill="1" applyBorder="1"/>
    <xf numFmtId="0" fontId="0" fillId="0" borderId="48" xfId="0" applyFill="1" applyBorder="1" applyAlignment="1">
      <alignment horizontal="left" vertical="center"/>
    </xf>
    <xf numFmtId="0" fontId="18" fillId="0" borderId="74" xfId="0" applyFont="1" applyFill="1" applyBorder="1" applyAlignment="1">
      <alignment horizontal="center" vertical="center" wrapText="1"/>
    </xf>
    <xf numFmtId="0" fontId="18" fillId="0" borderId="93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center" vertical="center" wrapText="1"/>
    </xf>
    <xf numFmtId="0" fontId="52" fillId="0" borderId="56" xfId="0" applyFont="1" applyFill="1" applyBorder="1" applyAlignment="1">
      <alignment horizontal="center" vertical="center" wrapText="1"/>
    </xf>
    <xf numFmtId="0" fontId="52" fillId="0" borderId="16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0" fillId="0" borderId="76" xfId="0" applyFill="1" applyBorder="1" applyAlignment="1">
      <alignment horizontal="left" vertical="center"/>
    </xf>
    <xf numFmtId="0" fontId="18" fillId="0" borderId="51" xfId="0" applyFont="1" applyFill="1" applyBorder="1" applyAlignment="1">
      <alignment horizontal="center" vertical="center" wrapText="1"/>
    </xf>
    <xf numFmtId="0" fontId="18" fillId="0" borderId="31" xfId="0" applyFont="1" applyFill="1" applyBorder="1" applyAlignment="1">
      <alignment horizontal="center" vertical="center" wrapText="1"/>
    </xf>
    <xf numFmtId="0" fontId="39" fillId="0" borderId="49" xfId="0" applyFont="1" applyFill="1" applyBorder="1" applyAlignment="1">
      <alignment horizontal="center" vertical="center" wrapText="1"/>
    </xf>
    <xf numFmtId="0" fontId="25" fillId="0" borderId="50" xfId="0" applyFont="1" applyFill="1" applyBorder="1" applyAlignment="1">
      <alignment horizontal="center" vertical="center" wrapText="1"/>
    </xf>
    <xf numFmtId="0" fontId="0" fillId="0" borderId="77" xfId="0" applyFont="1" applyBorder="1" applyAlignment="1">
      <alignment horizontal="center"/>
    </xf>
    <xf numFmtId="0" fontId="39" fillId="0" borderId="6" xfId="0" quotePrefix="1" applyFont="1" applyFill="1" applyBorder="1" applyAlignment="1">
      <alignment horizontal="center" vertical="center"/>
    </xf>
    <xf numFmtId="0" fontId="39" fillId="0" borderId="22" xfId="0" quotePrefix="1" applyFont="1" applyFill="1" applyBorder="1" applyAlignment="1">
      <alignment horizontal="center" vertical="center"/>
    </xf>
    <xf numFmtId="0" fontId="18" fillId="0" borderId="8" xfId="0" quotePrefix="1" applyFont="1" applyFill="1" applyBorder="1" applyAlignment="1">
      <alignment horizontal="center" vertical="center"/>
    </xf>
    <xf numFmtId="0" fontId="18" fillId="0" borderId="6" xfId="0" quotePrefix="1" applyFont="1" applyFill="1" applyBorder="1" applyAlignment="1">
      <alignment horizontal="center" vertical="center"/>
    </xf>
    <xf numFmtId="0" fontId="18" fillId="0" borderId="23" xfId="0" quotePrefix="1" applyFont="1" applyFill="1" applyBorder="1" applyAlignment="1">
      <alignment horizontal="center" vertical="center"/>
    </xf>
    <xf numFmtId="0" fontId="39" fillId="2" borderId="6" xfId="0" quotePrefix="1" applyFont="1" applyFill="1" applyBorder="1" applyAlignment="1">
      <alignment horizontal="center" vertical="center"/>
    </xf>
    <xf numFmtId="0" fontId="39" fillId="2" borderId="22" xfId="0" quotePrefix="1" applyFont="1" applyFill="1" applyBorder="1" applyAlignment="1">
      <alignment horizontal="center" vertical="center"/>
    </xf>
    <xf numFmtId="0" fontId="18" fillId="2" borderId="8" xfId="0" quotePrefix="1" applyFont="1" applyFill="1" applyBorder="1" applyAlignment="1">
      <alignment horizontal="center" vertical="center"/>
    </xf>
    <xf numFmtId="0" fontId="18" fillId="2" borderId="6" xfId="0" quotePrefix="1" applyFont="1" applyFill="1" applyBorder="1" applyAlignment="1">
      <alignment horizontal="center" vertical="center"/>
    </xf>
    <xf numFmtId="0" fontId="18" fillId="2" borderId="23" xfId="0" quotePrefix="1" applyFont="1" applyFill="1" applyBorder="1" applyAlignment="1">
      <alignment horizontal="center" vertical="center"/>
    </xf>
    <xf numFmtId="0" fontId="0" fillId="2" borderId="80" xfId="0" quotePrefix="1" applyFill="1" applyBorder="1"/>
    <xf numFmtId="0" fontId="10" fillId="2" borderId="6" xfId="0" quotePrefix="1" applyFont="1" applyFill="1" applyBorder="1" applyAlignment="1">
      <alignment horizontal="center" vertical="center"/>
    </xf>
    <xf numFmtId="0" fontId="10" fillId="2" borderId="7" xfId="0" quotePrefix="1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7" fillId="8" borderId="50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50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50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18" fillId="0" borderId="56" xfId="0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 wrapText="1"/>
    </xf>
    <xf numFmtId="0" fontId="18" fillId="0" borderId="56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7" fillId="0" borderId="56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5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195" fontId="18" fillId="0" borderId="53" xfId="0" applyNumberFormat="1" applyFont="1" applyFill="1" applyBorder="1" applyAlignment="1">
      <alignment horizontal="center" vertical="center"/>
    </xf>
    <xf numFmtId="195" fontId="18" fillId="0" borderId="22" xfId="0" applyNumberFormat="1" applyFont="1" applyFill="1" applyBorder="1" applyAlignment="1">
      <alignment horizontal="center" vertical="center"/>
    </xf>
    <xf numFmtId="195" fontId="18" fillId="0" borderId="56" xfId="0" applyNumberFormat="1" applyFont="1" applyFill="1" applyBorder="1" applyAlignment="1">
      <alignment horizontal="center" vertical="center"/>
    </xf>
    <xf numFmtId="195" fontId="18" fillId="0" borderId="16" xfId="0" applyNumberFormat="1" applyFont="1" applyFill="1" applyBorder="1" applyAlignment="1">
      <alignment horizontal="center" vertical="center"/>
    </xf>
    <xf numFmtId="193" fontId="18" fillId="0" borderId="53" xfId="0" applyNumberFormat="1" applyFont="1" applyFill="1" applyBorder="1" applyAlignment="1">
      <alignment horizontal="center" vertical="center"/>
    </xf>
    <xf numFmtId="193" fontId="18" fillId="0" borderId="22" xfId="0" applyNumberFormat="1" applyFont="1" applyFill="1" applyBorder="1" applyAlignment="1">
      <alignment horizontal="center" vertical="center"/>
    </xf>
    <xf numFmtId="193" fontId="18" fillId="0" borderId="56" xfId="0" applyNumberFormat="1" applyFont="1" applyFill="1" applyBorder="1" applyAlignment="1">
      <alignment horizontal="center" vertical="center"/>
    </xf>
    <xf numFmtId="193" fontId="18" fillId="0" borderId="16" xfId="0" applyNumberFormat="1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8" fillId="2" borderId="6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51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5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18" fillId="0" borderId="82" xfId="0" applyFont="1" applyFill="1" applyBorder="1" applyAlignment="1">
      <alignment horizontal="center" vertical="center"/>
    </xf>
    <xf numFmtId="0" fontId="39" fillId="0" borderId="25" xfId="0" applyFont="1" applyFill="1" applyBorder="1" applyAlignment="1">
      <alignment horizontal="center" vertical="center" wrapText="1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/>
    </xf>
    <xf numFmtId="0" fontId="39" fillId="2" borderId="25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61" xfId="0" applyFont="1" applyFill="1" applyBorder="1" applyAlignment="1">
      <alignment horizontal="center" vertical="center"/>
    </xf>
    <xf numFmtId="0" fontId="46" fillId="0" borderId="7" xfId="0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18" fillId="0" borderId="20" xfId="0" applyFont="1" applyFill="1" applyBorder="1" applyAlignment="1">
      <alignment vertical="center" wrapText="1"/>
    </xf>
    <xf numFmtId="0" fontId="18" fillId="0" borderId="18" xfId="0" applyFont="1" applyFill="1" applyBorder="1" applyAlignment="1">
      <alignment vertical="center"/>
    </xf>
    <xf numFmtId="0" fontId="18" fillId="0" borderId="17" xfId="0" applyFont="1" applyFill="1" applyBorder="1" applyAlignment="1">
      <alignment vertical="center"/>
    </xf>
    <xf numFmtId="0" fontId="18" fillId="0" borderId="20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27" xfId="0" applyFont="1" applyFill="1" applyBorder="1" applyAlignment="1">
      <alignment horizontal="left" vertical="center" wrapText="1"/>
    </xf>
    <xf numFmtId="0" fontId="36" fillId="0" borderId="0" xfId="0" applyFont="1" applyAlignment="1">
      <alignment vertical="center"/>
    </xf>
    <xf numFmtId="0" fontId="35" fillId="0" borderId="48" xfId="0" applyFont="1" applyFill="1" applyBorder="1" applyAlignment="1">
      <alignment vertical="center" shrinkToFit="1"/>
    </xf>
    <xf numFmtId="0" fontId="18" fillId="0" borderId="48" xfId="0" applyFont="1" applyBorder="1" applyAlignment="1">
      <alignment shrinkToFit="1"/>
    </xf>
    <xf numFmtId="0" fontId="18" fillId="0" borderId="0" xfId="0" applyFont="1" applyAlignment="1">
      <alignment shrinkToFit="1"/>
    </xf>
    <xf numFmtId="0" fontId="18" fillId="0" borderId="15" xfId="0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51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center"/>
    </xf>
    <xf numFmtId="0" fontId="18" fillId="0" borderId="52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/>
    </xf>
    <xf numFmtId="0" fontId="0" fillId="2" borderId="49" xfId="0" applyFont="1" applyFill="1" applyBorder="1" applyAlignment="1">
      <alignment horizont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56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6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56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50" xfId="0" applyFont="1" applyFill="1" applyBorder="1" applyAlignment="1">
      <alignment horizontal="center" vertical="center" wrapText="1"/>
    </xf>
    <xf numFmtId="195" fontId="18" fillId="2" borderId="53" xfId="0" applyNumberFormat="1" applyFont="1" applyFill="1" applyBorder="1" applyAlignment="1">
      <alignment horizontal="center" vertical="center"/>
    </xf>
    <xf numFmtId="195" fontId="18" fillId="2" borderId="22" xfId="0" applyNumberFormat="1" applyFont="1" applyFill="1" applyBorder="1" applyAlignment="1">
      <alignment horizontal="center" vertical="center"/>
    </xf>
    <xf numFmtId="195" fontId="18" fillId="2" borderId="16" xfId="0" applyNumberFormat="1" applyFont="1" applyFill="1" applyBorder="1" applyAlignment="1">
      <alignment horizontal="center" vertical="center"/>
    </xf>
    <xf numFmtId="195" fontId="18" fillId="2" borderId="56" xfId="0" applyNumberFormat="1" applyFont="1" applyFill="1" applyBorder="1" applyAlignment="1">
      <alignment horizontal="center" vertical="center"/>
    </xf>
    <xf numFmtId="193" fontId="18" fillId="2" borderId="53" xfId="0" applyNumberFormat="1" applyFont="1" applyFill="1" applyBorder="1" applyAlignment="1">
      <alignment horizontal="center" vertical="center"/>
    </xf>
    <xf numFmtId="193" fontId="18" fillId="2" borderId="22" xfId="0" applyNumberFormat="1" applyFont="1" applyFill="1" applyBorder="1" applyAlignment="1">
      <alignment horizontal="center" vertical="center"/>
    </xf>
    <xf numFmtId="193" fontId="18" fillId="2" borderId="16" xfId="0" applyNumberFormat="1" applyFont="1" applyFill="1" applyBorder="1" applyAlignment="1">
      <alignment horizontal="center" vertical="center"/>
    </xf>
    <xf numFmtId="193" fontId="18" fillId="2" borderId="56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center" vertical="center"/>
    </xf>
    <xf numFmtId="0" fontId="18" fillId="2" borderId="62" xfId="0" applyFont="1" applyFill="1" applyBorder="1" applyAlignment="1">
      <alignment horizontal="center" vertical="center"/>
    </xf>
    <xf numFmtId="0" fontId="18" fillId="2" borderId="82" xfId="0" applyFont="1" applyFill="1" applyBorder="1" applyAlignment="1">
      <alignment horizontal="center" vertical="center"/>
    </xf>
    <xf numFmtId="0" fontId="46" fillId="2" borderId="7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vertical="center" wrapText="1"/>
    </xf>
    <xf numFmtId="0" fontId="18" fillId="2" borderId="18" xfId="0" applyFont="1" applyFill="1" applyBorder="1" applyAlignment="1">
      <alignment vertical="center"/>
    </xf>
    <xf numFmtId="0" fontId="18" fillId="2" borderId="17" xfId="0" applyFont="1" applyFill="1" applyBorder="1" applyAlignment="1">
      <alignment vertical="center"/>
    </xf>
    <xf numFmtId="0" fontId="18" fillId="2" borderId="20" xfId="0" applyFont="1" applyFill="1" applyBorder="1" applyAlignment="1">
      <alignment horizontal="left" vertical="center" wrapText="1"/>
    </xf>
    <xf numFmtId="0" fontId="18" fillId="2" borderId="83" xfId="0" applyFont="1" applyFill="1" applyBorder="1" applyAlignment="1">
      <alignment horizontal="left" vertical="center" wrapText="1"/>
    </xf>
    <xf numFmtId="0" fontId="35" fillId="2" borderId="48" xfId="0" applyFont="1" applyFill="1" applyBorder="1" applyAlignment="1">
      <alignment vertical="center" shrinkToFit="1"/>
    </xf>
    <xf numFmtId="0" fontId="18" fillId="2" borderId="48" xfId="0" applyFont="1" applyFill="1" applyBorder="1" applyAlignment="1">
      <alignment shrinkToFit="1"/>
    </xf>
    <xf numFmtId="0" fontId="18" fillId="2" borderId="0" xfId="0" applyFont="1" applyFill="1" applyAlignment="1">
      <alignment shrinkToFit="1"/>
    </xf>
    <xf numFmtId="0" fontId="36" fillId="2" borderId="0" xfId="0" applyFont="1" applyFill="1" applyAlignment="1">
      <alignment vertical="center"/>
    </xf>
    <xf numFmtId="0" fontId="18" fillId="2" borderId="15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5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52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95" fontId="18" fillId="2" borderId="23" xfId="0" applyNumberFormat="1" applyFont="1" applyFill="1" applyBorder="1" applyAlignment="1">
      <alignment horizontal="center" vertical="center"/>
    </xf>
    <xf numFmtId="193" fontId="18" fillId="2" borderId="23" xfId="0" applyNumberFormat="1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99" fontId="12" fillId="2" borderId="21" xfId="0" applyNumberFormat="1" applyFont="1" applyFill="1" applyBorder="1" applyAlignment="1">
      <alignment horizontal="center" vertical="center"/>
    </xf>
    <xf numFmtId="199" fontId="13" fillId="2" borderId="21" xfId="0" applyNumberFormat="1" applyFont="1" applyFill="1" applyBorder="1" applyAlignment="1">
      <alignment horizontal="center" vertical="center"/>
    </xf>
    <xf numFmtId="199" fontId="14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199" fontId="13" fillId="2" borderId="22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199" fontId="13" fillId="0" borderId="22" xfId="0" applyNumberFormat="1" applyFont="1" applyFill="1" applyBorder="1" applyAlignment="1">
      <alignment horizontal="center" vertical="center"/>
    </xf>
    <xf numFmtId="199" fontId="12" fillId="0" borderId="22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36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199" fontId="13" fillId="0" borderId="22" xfId="0" applyNumberFormat="1" applyFont="1" applyFill="1" applyBorder="1" applyAlignment="1">
      <alignment horizontal="center" vertical="center" wrapText="1"/>
    </xf>
    <xf numFmtId="1" fontId="22" fillId="7" borderId="22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/>
    </xf>
    <xf numFmtId="0" fontId="24" fillId="2" borderId="42" xfId="0" applyFont="1" applyFill="1" applyBorder="1" applyAlignment="1">
      <alignment horizontal="left" vertical="center" wrapText="1"/>
    </xf>
    <xf numFmtId="0" fontId="24" fillId="2" borderId="42" xfId="0" applyFont="1" applyFill="1" applyBorder="1" applyAlignment="1">
      <alignment horizontal="left" vertical="center"/>
    </xf>
    <xf numFmtId="0" fontId="25" fillId="2" borderId="42" xfId="0" applyFont="1" applyFill="1" applyBorder="1" applyAlignment="1">
      <alignment horizontal="left" vertical="center" wrapText="1"/>
    </xf>
    <xf numFmtId="0" fontId="25" fillId="2" borderId="42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/>
    </xf>
    <xf numFmtId="0" fontId="10" fillId="2" borderId="15" xfId="0" applyFont="1" applyFill="1" applyBorder="1" applyAlignment="1">
      <alignment horizontal="left" vertical="center" wrapText="1"/>
    </xf>
    <xf numFmtId="0" fontId="10" fillId="2" borderId="27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40" xfId="0" applyFont="1" applyFill="1" applyBorder="1" applyAlignment="1">
      <alignment horizontal="left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199" fontId="13" fillId="3" borderId="22" xfId="0" applyNumberFormat="1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</cellXfs>
  <cellStyles count="3">
    <cellStyle name="Обычный" xfId="0" builtinId="0"/>
    <cellStyle name="常规 2" xfId="1"/>
    <cellStyle name="標準 2" xfId="2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495300</xdr:colOff>
      <xdr:row>1</xdr:row>
      <xdr:rowOff>85725</xdr:rowOff>
    </xdr:from>
    <xdr:to>
      <xdr:col>36</xdr:col>
      <xdr:colOff>933450</xdr:colOff>
      <xdr:row>3</xdr:row>
      <xdr:rowOff>104775</xdr:rowOff>
    </xdr:to>
    <xdr:grpSp>
      <xdr:nvGrpSpPr>
        <xdr:cNvPr id="3" name="Group 77"/>
        <xdr:cNvGrpSpPr/>
      </xdr:nvGrpSpPr>
      <xdr:grpSpPr>
        <a:xfrm>
          <a:off x="28977590" y="276225"/>
          <a:ext cx="379730" cy="428625"/>
          <a:chOff x="10470" y="570"/>
          <a:chExt cx="695" cy="700"/>
        </a:xfrm>
      </xdr:grpSpPr>
      <xdr:sp macro="" textlink="">
        <xdr:nvSpPr>
          <xdr:cNvPr id="4" name="Text Box 78"/>
          <xdr:cNvSpPr txBox="1">
            <a:spLocks noChangeArrowheads="1"/>
          </xdr:cNvSpPr>
        </xdr:nvSpPr>
        <xdr:spPr>
          <a:xfrm>
            <a:off x="10591" y="679"/>
            <a:ext cx="559" cy="576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</a:ln>
        </xdr:spPr>
        <xdr:txBody>
          <a:bodyPr vertOverflow="clip" wrap="square" lIns="5040" tIns="3600" rIns="91440" bIns="45720" anchor="t" upright="1"/>
          <a:lstStyle/>
          <a:p>
            <a:pPr algn="l" rtl="0">
              <a:defRPr sz="1000"/>
            </a:pPr>
            <a:r>
              <a:rPr lang="ja-JP" altLang="en-US" sz="2000" b="1" i="0" strike="noStrike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秘</a:t>
            </a:r>
            <a:endParaRPr lang="ja-JP" altLang="en-US" sz="2000" b="1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 macro="" textlink="">
        <xdr:nvSpPr>
          <xdr:cNvPr id="5" name="Oval 79"/>
          <xdr:cNvSpPr>
            <a:spLocks noChangeArrowheads="1"/>
          </xdr:cNvSpPr>
        </xdr:nvSpPr>
        <xdr:spPr>
          <a:xfrm>
            <a:off x="10470" y="570"/>
            <a:ext cx="695" cy="700"/>
          </a:xfrm>
          <a:prstGeom prst="ellipse">
            <a:avLst/>
          </a:prstGeom>
          <a:noFill/>
          <a:ln w="19050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137584</xdr:colOff>
      <xdr:row>55</xdr:row>
      <xdr:rowOff>43616</xdr:rowOff>
    </xdr:from>
    <xdr:to>
      <xdr:col>1</xdr:col>
      <xdr:colOff>317500</xdr:colOff>
      <xdr:row>55</xdr:row>
      <xdr:rowOff>201724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78765" y="15358745"/>
          <a:ext cx="180340" cy="1581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495300</xdr:colOff>
      <xdr:row>1</xdr:row>
      <xdr:rowOff>85725</xdr:rowOff>
    </xdr:from>
    <xdr:to>
      <xdr:col>27</xdr:col>
      <xdr:colOff>0</xdr:colOff>
      <xdr:row>3</xdr:row>
      <xdr:rowOff>104775</xdr:rowOff>
    </xdr:to>
    <xdr:grpSp>
      <xdr:nvGrpSpPr>
        <xdr:cNvPr id="3" name="Group 77"/>
        <xdr:cNvGrpSpPr/>
      </xdr:nvGrpSpPr>
      <xdr:grpSpPr>
        <a:xfrm>
          <a:off x="17863185" y="276225"/>
          <a:ext cx="0" cy="428625"/>
          <a:chOff x="10470" y="570"/>
          <a:chExt cx="695" cy="700"/>
        </a:xfrm>
      </xdr:grpSpPr>
      <xdr:sp macro="" textlink="">
        <xdr:nvSpPr>
          <xdr:cNvPr id="4" name="Text Box 78"/>
          <xdr:cNvSpPr txBox="1">
            <a:spLocks noChangeArrowheads="1"/>
          </xdr:cNvSpPr>
        </xdr:nvSpPr>
        <xdr:spPr>
          <a:xfrm>
            <a:off x="10591" y="679"/>
            <a:ext cx="559" cy="576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</a:ln>
        </xdr:spPr>
        <xdr:txBody>
          <a:bodyPr vertOverflow="clip" wrap="square" lIns="5040" tIns="3600" rIns="91440" bIns="45720" anchor="t" upright="1"/>
          <a:lstStyle/>
          <a:p>
            <a:pPr algn="l" rtl="0">
              <a:defRPr sz="1000"/>
            </a:pPr>
            <a:r>
              <a:rPr lang="ja-JP" altLang="en-US" sz="2000" b="1" i="0" strike="noStrike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秘</a:t>
            </a:r>
            <a:endParaRPr lang="ja-JP" altLang="en-US" sz="2000" b="1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 macro="" textlink="">
        <xdr:nvSpPr>
          <xdr:cNvPr id="5" name="Oval 79"/>
          <xdr:cNvSpPr>
            <a:spLocks noChangeArrowheads="1"/>
          </xdr:cNvSpPr>
        </xdr:nvSpPr>
        <xdr:spPr>
          <a:xfrm>
            <a:off x="10470" y="570"/>
            <a:ext cx="695" cy="700"/>
          </a:xfrm>
          <a:prstGeom prst="ellipse">
            <a:avLst/>
          </a:prstGeom>
          <a:noFill/>
          <a:ln w="19050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150658</xdr:colOff>
      <xdr:row>55</xdr:row>
      <xdr:rowOff>53577</xdr:rowOff>
    </xdr:from>
    <xdr:to>
      <xdr:col>1</xdr:col>
      <xdr:colOff>330574</xdr:colOff>
      <xdr:row>55</xdr:row>
      <xdr:rowOff>211685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92100" y="15276195"/>
          <a:ext cx="179705" cy="1581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8</xdr:row>
      <xdr:rowOff>0</xdr:rowOff>
    </xdr:from>
    <xdr:to>
      <xdr:col>16</xdr:col>
      <xdr:colOff>285750</xdr:colOff>
      <xdr:row>23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970" y="1447800"/>
          <a:ext cx="8724900" cy="2876550"/>
        </a:xfrm>
        <a:prstGeom prst="rect">
          <a:avLst/>
        </a:prstGeom>
      </xdr:spPr>
    </xdr:pic>
    <xdr:clientData/>
  </xdr:twoCellAnchor>
  <xdr:twoCellAnchor>
    <xdr:from>
      <xdr:col>5</xdr:col>
      <xdr:colOff>504824</xdr:colOff>
      <xdr:row>21</xdr:row>
      <xdr:rowOff>66675</xdr:rowOff>
    </xdr:from>
    <xdr:to>
      <xdr:col>8</xdr:col>
      <xdr:colOff>571499</xdr:colOff>
      <xdr:row>22</xdr:row>
      <xdr:rowOff>114301</xdr:rowOff>
    </xdr:to>
    <xdr:sp macro="" textlink="">
      <xdr:nvSpPr>
        <xdr:cNvPr id="5" name="矩形 4"/>
        <xdr:cNvSpPr/>
      </xdr:nvSpPr>
      <xdr:spPr>
        <a:xfrm>
          <a:off x="3463290" y="3867150"/>
          <a:ext cx="1842135" cy="22860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428625</xdr:colOff>
      <xdr:row>22</xdr:row>
      <xdr:rowOff>104775</xdr:rowOff>
    </xdr:from>
    <xdr:to>
      <xdr:col>7</xdr:col>
      <xdr:colOff>628650</xdr:colOff>
      <xdr:row>25</xdr:row>
      <xdr:rowOff>104775</xdr:rowOff>
    </xdr:to>
    <xdr:cxnSp macro="">
      <xdr:nvCxnSpPr>
        <xdr:cNvPr id="7" name="肘形连接符 6"/>
        <xdr:cNvCxnSpPr/>
      </xdr:nvCxnSpPr>
      <xdr:spPr>
        <a:xfrm>
          <a:off x="3979545" y="4086225"/>
          <a:ext cx="755015" cy="542925"/>
        </a:xfrm>
        <a:prstGeom prst="bentConnector3">
          <a:avLst/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</xdr:col>
      <xdr:colOff>361950</xdr:colOff>
      <xdr:row>28</xdr:row>
      <xdr:rowOff>76200</xdr:rowOff>
    </xdr:from>
    <xdr:to>
      <xdr:col>5</xdr:col>
      <xdr:colOff>676275</xdr:colOff>
      <xdr:row>29</xdr:row>
      <xdr:rowOff>38100</xdr:rowOff>
    </xdr:to>
    <xdr:cxnSp macro="">
      <xdr:nvCxnSpPr>
        <xdr:cNvPr id="9" name="肘形连接符 8"/>
        <xdr:cNvCxnSpPr/>
      </xdr:nvCxnSpPr>
      <xdr:spPr>
        <a:xfrm flipV="1">
          <a:off x="3321050" y="5143500"/>
          <a:ext cx="229870" cy="142875"/>
        </a:xfrm>
        <a:prstGeom prst="bentConnector3">
          <a:avLst/>
        </a:prstGeom>
        <a:solidFill>
          <a:srgbClr val="FFFFFF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18</xdr:col>
      <xdr:colOff>19049</xdr:colOff>
      <xdr:row>57</xdr:row>
      <xdr:rowOff>85724</xdr:rowOff>
    </xdr:from>
    <xdr:to>
      <xdr:col>26</xdr:col>
      <xdr:colOff>333375</xdr:colOff>
      <xdr:row>73</xdr:row>
      <xdr:rowOff>38099</xdr:rowOff>
    </xdr:to>
    <xdr:pic>
      <xdr:nvPicPr>
        <xdr:cNvPr id="10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46130" y="10400665"/>
          <a:ext cx="5424170" cy="284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28575</xdr:colOff>
      <xdr:row>24</xdr:row>
      <xdr:rowOff>142875</xdr:rowOff>
    </xdr:from>
    <xdr:to>
      <xdr:col>26</xdr:col>
      <xdr:colOff>238125</xdr:colOff>
      <xdr:row>54</xdr:row>
      <xdr:rowOff>36878</xdr:rowOff>
    </xdr:to>
    <xdr:pic>
      <xdr:nvPicPr>
        <xdr:cNvPr id="11" name="图片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56290" y="4486275"/>
          <a:ext cx="5318760" cy="5323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304800</xdr:colOff>
      <xdr:row>1</xdr:row>
      <xdr:rowOff>85725</xdr:rowOff>
    </xdr:from>
    <xdr:to>
      <xdr:col>42</xdr:col>
      <xdr:colOff>742950</xdr:colOff>
      <xdr:row>3</xdr:row>
      <xdr:rowOff>104775</xdr:rowOff>
    </xdr:to>
    <xdr:grpSp>
      <xdr:nvGrpSpPr>
        <xdr:cNvPr id="3" name="Group 77"/>
        <xdr:cNvGrpSpPr/>
      </xdr:nvGrpSpPr>
      <xdr:grpSpPr>
        <a:xfrm>
          <a:off x="37079555" y="276225"/>
          <a:ext cx="395605" cy="428625"/>
          <a:chOff x="10470" y="570"/>
          <a:chExt cx="695" cy="700"/>
        </a:xfrm>
      </xdr:grpSpPr>
      <xdr:sp macro="" textlink="">
        <xdr:nvSpPr>
          <xdr:cNvPr id="4" name="Text Box 78"/>
          <xdr:cNvSpPr txBox="1">
            <a:spLocks noChangeArrowheads="1"/>
          </xdr:cNvSpPr>
        </xdr:nvSpPr>
        <xdr:spPr>
          <a:xfrm>
            <a:off x="10591" y="679"/>
            <a:ext cx="559" cy="576"/>
          </a:xfrm>
          <a:prstGeom prst="rect">
            <a:avLst/>
          </a:prstGeom>
          <a:noFill/>
          <a:ln w="9525">
            <a:solidFill>
              <a:srgbClr val="FFFFFF"/>
            </a:solidFill>
            <a:miter lim="800000"/>
          </a:ln>
        </xdr:spPr>
        <xdr:txBody>
          <a:bodyPr vertOverflow="clip" wrap="square" lIns="5040" tIns="3600" rIns="91440" bIns="45720" anchor="t" upright="1"/>
          <a:lstStyle/>
          <a:p>
            <a:pPr algn="l" rtl="0">
              <a:defRPr sz="1000"/>
            </a:pPr>
            <a:r>
              <a:rPr lang="ja-JP" altLang="en-US" sz="2000" b="1" i="0" strike="noStrike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秘</a:t>
            </a:r>
            <a:endParaRPr lang="ja-JP" altLang="en-US" sz="2000" b="1" i="0" strike="noStrike">
              <a:solidFill>
                <a:srgbClr val="FF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ja-JP" altLang="en-US" sz="105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 macro="" textlink="">
        <xdr:nvSpPr>
          <xdr:cNvPr id="5" name="Oval 79"/>
          <xdr:cNvSpPr>
            <a:spLocks noChangeArrowheads="1"/>
          </xdr:cNvSpPr>
        </xdr:nvSpPr>
        <xdr:spPr>
          <a:xfrm>
            <a:off x="10470" y="570"/>
            <a:ext cx="695" cy="700"/>
          </a:xfrm>
          <a:prstGeom prst="ellipse">
            <a:avLst/>
          </a:prstGeom>
          <a:noFill/>
          <a:ln w="19050">
            <a:solidFill>
              <a:srgbClr val="FF0000"/>
            </a:solidFill>
            <a:round/>
          </a:ln>
        </xdr:spPr>
      </xdr:sp>
    </xdr:grpSp>
    <xdr:clientData/>
  </xdr:twoCellAnchor>
  <xdr:twoCellAnchor editAs="oneCell">
    <xdr:from>
      <xdr:col>1</xdr:col>
      <xdr:colOff>153459</xdr:colOff>
      <xdr:row>53</xdr:row>
      <xdr:rowOff>36208</xdr:rowOff>
    </xdr:from>
    <xdr:to>
      <xdr:col>1</xdr:col>
      <xdr:colOff>333375</xdr:colOff>
      <xdr:row>53</xdr:row>
      <xdr:rowOff>194316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94640" y="14396720"/>
          <a:ext cx="180340" cy="158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114803</xdr:colOff>
      <xdr:row>59</xdr:row>
      <xdr:rowOff>43385</xdr:rowOff>
    </xdr:from>
    <xdr:to>
      <xdr:col>1</xdr:col>
      <xdr:colOff>280530</xdr:colOff>
      <xdr:row>59</xdr:row>
      <xdr:rowOff>200905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rcRect l="23903" t="41885" r="66547" b="42622"/>
        <a:stretch>
          <a:fillRect/>
        </a:stretch>
      </xdr:blipFill>
      <xdr:spPr>
        <a:xfrm>
          <a:off x="255905" y="23557230"/>
          <a:ext cx="165735" cy="157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75</xdr:row>
      <xdr:rowOff>95250</xdr:rowOff>
    </xdr:from>
    <xdr:to>
      <xdr:col>9</xdr:col>
      <xdr:colOff>361950</xdr:colOff>
      <xdr:row>75</xdr:row>
      <xdr:rowOff>95250</xdr:rowOff>
    </xdr:to>
    <xdr:grpSp>
      <xdr:nvGrpSpPr>
        <xdr:cNvPr id="4637" name="Group 9"/>
        <xdr:cNvGrpSpPr/>
      </xdr:nvGrpSpPr>
      <xdr:grpSpPr>
        <a:xfrm>
          <a:off x="798195" y="13828395"/>
          <a:ext cx="4341495" cy="0"/>
          <a:chOff x="914400" y="13173075"/>
          <a:chExt cx="4914900" cy="0"/>
        </a:xfrm>
      </xdr:grpSpPr>
      <xdr:sp macro="" textlink="">
        <xdr:nvSpPr>
          <xdr:cNvPr id="4639" name="Line 2"/>
          <xdr:cNvSpPr>
            <a:spLocks noChangeShapeType="1"/>
          </xdr:cNvSpPr>
        </xdr:nvSpPr>
        <xdr:spPr>
          <a:xfrm>
            <a:off x="30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4640" name="Line 3"/>
          <xdr:cNvSpPr>
            <a:spLocks noChangeShapeType="1"/>
          </xdr:cNvSpPr>
        </xdr:nvSpPr>
        <xdr:spPr>
          <a:xfrm>
            <a:off x="236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4641" name="Line 4"/>
          <xdr:cNvSpPr>
            <a:spLocks noChangeShapeType="1"/>
          </xdr:cNvSpPr>
        </xdr:nvSpPr>
        <xdr:spPr>
          <a:xfrm>
            <a:off x="435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  <xdr:sp macro="" textlink="">
        <xdr:nvSpPr>
          <xdr:cNvPr id="4642" name="Line 5"/>
          <xdr:cNvSpPr>
            <a:spLocks noChangeShapeType="1"/>
          </xdr:cNvSpPr>
        </xdr:nvSpPr>
        <xdr:spPr>
          <a:xfrm>
            <a:off x="641" y="1285"/>
            <a:ext cx="1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</a:ln>
        </xdr:spPr>
      </xdr:sp>
    </xdr:grpSp>
    <xdr:clientData/>
  </xdr:twoCellAnchor>
  <xdr:twoCellAnchor>
    <xdr:from>
      <xdr:col>2</xdr:col>
      <xdr:colOff>161925</xdr:colOff>
      <xdr:row>71</xdr:row>
      <xdr:rowOff>57150</xdr:rowOff>
    </xdr:from>
    <xdr:to>
      <xdr:col>2</xdr:col>
      <xdr:colOff>314325</xdr:colOff>
      <xdr:row>71</xdr:row>
      <xdr:rowOff>200025</xdr:rowOff>
    </xdr:to>
    <xdr:pic>
      <xdr:nvPicPr>
        <xdr:cNvPr id="463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12495" y="12999720"/>
          <a:ext cx="15240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K65"/>
  <sheetViews>
    <sheetView showGridLines="0" view="pageBreakPreview" topLeftCell="A10" zoomScale="70" zoomScaleNormal="85" workbookViewId="0">
      <pane xSplit="4" topLeftCell="K1" activePane="topRight" state="frozen"/>
      <selection pane="topRight" activeCell="AI35" sqref="AI35:AK35"/>
    </sheetView>
  </sheetViews>
  <sheetFormatPr defaultColWidth="9" defaultRowHeight="13.5" outlineLevelCol="1"/>
  <cols>
    <col min="1" max="1" width="2.125" style="289" customWidth="1"/>
    <col min="2" max="2" width="23.625" style="289" customWidth="1"/>
    <col min="3" max="3" width="7.625" style="289" customWidth="1"/>
    <col min="4" max="4" width="11.125" style="289" customWidth="1"/>
    <col min="5" max="10" width="11.125" style="289" hidden="1" customWidth="1" outlineLevel="1"/>
    <col min="11" max="11" width="16.625" style="289" customWidth="1" collapsed="1"/>
    <col min="12" max="13" width="14.625" style="289" customWidth="1"/>
    <col min="14" max="14" width="16.625" style="289" customWidth="1"/>
    <col min="15" max="16" width="14.625" style="289" customWidth="1"/>
    <col min="17" max="17" width="16.625" style="289" customWidth="1"/>
    <col min="18" max="22" width="14.625" style="289" customWidth="1"/>
    <col min="23" max="23" width="16.625" style="289" customWidth="1"/>
    <col min="24" max="25" width="13.125" style="289" customWidth="1"/>
    <col min="26" max="26" width="16.625" style="289" customWidth="1"/>
    <col min="27" max="28" width="13.125" style="289" customWidth="1"/>
    <col min="29" max="29" width="16.625" style="289" customWidth="1"/>
    <col min="30" max="31" width="13.125" style="289" customWidth="1"/>
    <col min="32" max="32" width="16.5" style="289" customWidth="1"/>
    <col min="33" max="34" width="13.125" style="289" customWidth="1"/>
    <col min="35" max="35" width="16.625" style="289" customWidth="1"/>
    <col min="36" max="37" width="13.125" style="289" customWidth="1"/>
    <col min="38" max="16384" width="9" style="289"/>
  </cols>
  <sheetData>
    <row r="1" spans="1:37" ht="15" customHeight="1">
      <c r="B1" s="290" t="s">
        <v>0</v>
      </c>
      <c r="C1" s="291"/>
      <c r="D1" s="292"/>
      <c r="E1" s="292"/>
      <c r="F1" s="292"/>
      <c r="G1" s="292"/>
      <c r="H1" s="292"/>
      <c r="I1" s="292"/>
      <c r="J1" s="292"/>
      <c r="K1" s="340"/>
      <c r="L1" s="340"/>
      <c r="M1" s="125" t="s">
        <v>1</v>
      </c>
      <c r="N1" s="126"/>
      <c r="O1" s="126"/>
      <c r="P1" s="126"/>
      <c r="Q1" s="144"/>
      <c r="R1" s="145"/>
      <c r="S1" s="347"/>
      <c r="T1" s="348"/>
      <c r="U1" s="348"/>
      <c r="V1" s="348"/>
      <c r="W1" s="348"/>
      <c r="X1" s="356"/>
      <c r="Y1" s="348"/>
      <c r="Z1" s="348"/>
      <c r="AC1" s="348"/>
      <c r="AD1" s="356"/>
      <c r="AE1" s="348"/>
      <c r="AF1" s="348"/>
      <c r="AG1" s="348"/>
      <c r="AH1" s="348"/>
      <c r="AI1" s="348"/>
      <c r="AJ1" s="356" t="s">
        <v>2</v>
      </c>
      <c r="AK1" s="348"/>
    </row>
    <row r="2" spans="1:37" ht="15" customHeight="1">
      <c r="A2" s="293"/>
      <c r="B2" s="294"/>
      <c r="C2" s="295"/>
      <c r="D2" s="296"/>
      <c r="E2" s="296"/>
      <c r="F2" s="296"/>
      <c r="G2" s="296"/>
      <c r="H2" s="296"/>
      <c r="I2" s="296"/>
      <c r="J2" s="296"/>
      <c r="K2" s="341"/>
      <c r="L2" s="341"/>
      <c r="M2" s="128" t="s">
        <v>3</v>
      </c>
      <c r="N2" s="129" t="s">
        <v>4</v>
      </c>
      <c r="O2" s="146"/>
      <c r="P2" s="128" t="s">
        <v>5</v>
      </c>
      <c r="Q2" s="147"/>
      <c r="R2" s="148"/>
      <c r="S2" s="347"/>
      <c r="T2" s="348"/>
      <c r="U2" s="348"/>
      <c r="V2" s="348"/>
      <c r="W2" s="348"/>
      <c r="X2" s="356"/>
      <c r="Y2" s="348"/>
      <c r="Z2" s="348"/>
      <c r="AC2" s="348"/>
      <c r="AD2" s="356"/>
      <c r="AE2" s="348"/>
      <c r="AF2" s="348"/>
      <c r="AG2" s="348"/>
      <c r="AH2" s="348"/>
      <c r="AI2" s="348"/>
      <c r="AJ2" s="356" t="s">
        <v>6</v>
      </c>
      <c r="AK2" s="348"/>
    </row>
    <row r="3" spans="1:37" ht="17.25">
      <c r="A3" s="297"/>
      <c r="B3" s="298"/>
      <c r="C3" s="299"/>
      <c r="D3" s="300"/>
      <c r="E3" s="300"/>
      <c r="F3" s="300"/>
      <c r="G3" s="300"/>
      <c r="H3" s="300"/>
      <c r="I3" s="300"/>
      <c r="J3" s="300"/>
      <c r="K3" s="341"/>
      <c r="L3" s="341"/>
      <c r="M3" s="130" t="s">
        <v>7</v>
      </c>
      <c r="N3" s="131" t="s">
        <v>8</v>
      </c>
      <c r="O3" s="149"/>
      <c r="P3" s="130" t="s">
        <v>9</v>
      </c>
      <c r="Q3" s="150"/>
      <c r="R3" s="151"/>
      <c r="S3" s="347"/>
      <c r="T3" s="348"/>
      <c r="U3" s="348"/>
      <c r="V3" s="348"/>
      <c r="W3" s="348"/>
      <c r="X3" s="348"/>
      <c r="Y3" s="348"/>
      <c r="Z3" s="348"/>
      <c r="AC3" s="348"/>
      <c r="AD3" s="348"/>
      <c r="AE3" s="348"/>
      <c r="AF3" s="348"/>
      <c r="AG3" s="348"/>
      <c r="AH3" s="348"/>
      <c r="AI3" s="348"/>
      <c r="AJ3" s="348"/>
      <c r="AK3" s="348"/>
    </row>
    <row r="4" spans="1:37" ht="15" customHeight="1">
      <c r="A4" s="301"/>
      <c r="B4" s="302"/>
      <c r="C4" s="303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3"/>
      <c r="R4" s="293"/>
      <c r="S4" s="293"/>
      <c r="T4" s="293"/>
      <c r="U4" s="293"/>
      <c r="V4" s="293"/>
      <c r="W4" s="293"/>
      <c r="X4" s="293"/>
      <c r="Y4" s="293"/>
      <c r="Z4" s="293"/>
      <c r="AC4" s="293"/>
      <c r="AD4" s="293"/>
      <c r="AE4" s="293"/>
      <c r="AF4" s="293"/>
      <c r="AG4" s="293"/>
      <c r="AH4" s="293"/>
      <c r="AI4" s="293"/>
      <c r="AJ4" s="293"/>
      <c r="AK4" s="293"/>
    </row>
    <row r="5" spans="1:37" ht="13.5" customHeight="1">
      <c r="A5" s="304"/>
      <c r="B5" s="524" t="s">
        <v>10</v>
      </c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525"/>
      <c r="N5" s="525"/>
      <c r="O5" s="343" t="s">
        <v>11</v>
      </c>
      <c r="P5" s="343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</row>
    <row r="6" spans="1:37" ht="18" customHeight="1">
      <c r="A6" s="305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344" t="s">
        <v>12</v>
      </c>
      <c r="P6" s="344"/>
      <c r="Q6" s="350"/>
      <c r="R6" s="350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8"/>
      <c r="AK6" s="348"/>
    </row>
    <row r="7" spans="1:37" ht="18.75" customHeight="1">
      <c r="A7" s="305"/>
      <c r="B7" s="523" t="s">
        <v>13</v>
      </c>
      <c r="C7" s="523"/>
      <c r="D7" s="523"/>
      <c r="E7" s="523"/>
      <c r="F7" s="523"/>
      <c r="G7" s="523"/>
      <c r="H7" s="523"/>
      <c r="I7" s="523"/>
      <c r="J7" s="523"/>
      <c r="K7" s="523"/>
      <c r="L7" s="523"/>
      <c r="M7" s="523"/>
      <c r="N7" s="523"/>
      <c r="O7" s="345" t="s">
        <v>14</v>
      </c>
      <c r="P7" s="344"/>
      <c r="Q7" s="350"/>
      <c r="R7" s="350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8"/>
      <c r="AK7" s="348"/>
    </row>
    <row r="8" spans="1:37" ht="14.25">
      <c r="A8" s="306"/>
      <c r="B8" s="523"/>
      <c r="C8" s="523"/>
      <c r="D8" s="523"/>
      <c r="E8" s="523"/>
      <c r="F8" s="523"/>
      <c r="G8" s="523"/>
      <c r="H8" s="523"/>
      <c r="I8" s="523"/>
      <c r="J8" s="523"/>
      <c r="K8" s="523"/>
      <c r="L8" s="523"/>
      <c r="M8" s="523"/>
      <c r="N8" s="523"/>
      <c r="O8" s="344"/>
      <c r="P8" s="292"/>
      <c r="Q8" s="351"/>
      <c r="R8" s="351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8"/>
      <c r="AK8" s="348"/>
    </row>
    <row r="9" spans="1:37" ht="8.1" customHeight="1">
      <c r="A9" s="307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</row>
    <row r="10" spans="1:37" ht="18" customHeight="1">
      <c r="A10" s="305"/>
      <c r="B10" s="309" t="s">
        <v>15</v>
      </c>
      <c r="C10" s="310"/>
      <c r="D10" s="311"/>
      <c r="E10" s="457" t="s">
        <v>16</v>
      </c>
      <c r="F10" s="458"/>
      <c r="G10" s="458"/>
      <c r="H10" s="458"/>
      <c r="I10" s="458"/>
      <c r="J10" s="459"/>
      <c r="K10" s="460" t="s">
        <v>17</v>
      </c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2"/>
      <c r="W10" s="463" t="s">
        <v>18</v>
      </c>
      <c r="X10" s="464"/>
      <c r="Y10" s="464"/>
      <c r="Z10" s="464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5"/>
    </row>
    <row r="11" spans="1:37" ht="18" customHeight="1">
      <c r="A11" s="305"/>
      <c r="B11" s="181" t="s">
        <v>19</v>
      </c>
      <c r="C11" s="312"/>
      <c r="D11" s="313"/>
      <c r="E11" s="312"/>
      <c r="F11" s="312"/>
      <c r="G11" s="312"/>
      <c r="H11" s="312"/>
      <c r="I11" s="312"/>
      <c r="J11" s="312"/>
      <c r="K11" s="464" t="s">
        <v>20</v>
      </c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4"/>
      <c r="AB11" s="464"/>
      <c r="AC11" s="464"/>
      <c r="AD11" s="464"/>
      <c r="AE11" s="464"/>
      <c r="AF11" s="464"/>
      <c r="AG11" s="464"/>
      <c r="AH11" s="464"/>
      <c r="AI11" s="464"/>
      <c r="AJ11" s="464"/>
      <c r="AK11" s="465"/>
    </row>
    <row r="12" spans="1:37" ht="18" customHeight="1">
      <c r="A12" s="305"/>
      <c r="B12" s="181" t="s">
        <v>21</v>
      </c>
      <c r="C12" s="312"/>
      <c r="D12" s="313"/>
      <c r="E12" s="312"/>
      <c r="F12" s="312"/>
      <c r="G12" s="312"/>
      <c r="H12" s="312"/>
      <c r="I12" s="312"/>
      <c r="J12" s="312"/>
      <c r="K12" s="464" t="s">
        <v>22</v>
      </c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464"/>
      <c r="AB12" s="464"/>
      <c r="AC12" s="464"/>
      <c r="AD12" s="464"/>
      <c r="AE12" s="464"/>
      <c r="AF12" s="464"/>
      <c r="AG12" s="464"/>
      <c r="AH12" s="464"/>
      <c r="AI12" s="464"/>
      <c r="AJ12" s="464"/>
      <c r="AK12" s="465"/>
    </row>
    <row r="13" spans="1:37" ht="18" customHeight="1">
      <c r="A13" s="305"/>
      <c r="B13" s="181" t="s">
        <v>23</v>
      </c>
      <c r="C13" s="312"/>
      <c r="D13" s="313"/>
      <c r="E13" s="312"/>
      <c r="F13" s="312"/>
      <c r="G13" s="312"/>
      <c r="H13" s="312"/>
      <c r="I13" s="312"/>
      <c r="J13" s="312"/>
      <c r="K13" s="464" t="s">
        <v>24</v>
      </c>
      <c r="L13" s="464"/>
      <c r="M13" s="464"/>
      <c r="N13" s="464"/>
      <c r="O13" s="464"/>
      <c r="P13" s="464"/>
      <c r="Q13" s="464"/>
      <c r="R13" s="464"/>
      <c r="S13" s="464"/>
      <c r="T13" s="464"/>
      <c r="U13" s="464"/>
      <c r="V13" s="464"/>
      <c r="W13" s="464"/>
      <c r="X13" s="464"/>
      <c r="Y13" s="464"/>
      <c r="Z13" s="464"/>
      <c r="AA13" s="464"/>
      <c r="AB13" s="464"/>
      <c r="AC13" s="464"/>
      <c r="AD13" s="464"/>
      <c r="AE13" s="464"/>
      <c r="AF13" s="464"/>
      <c r="AG13" s="464"/>
      <c r="AH13" s="464"/>
      <c r="AI13" s="464"/>
      <c r="AJ13" s="464"/>
      <c r="AK13" s="465"/>
    </row>
    <row r="14" spans="1:37" ht="18" customHeight="1">
      <c r="A14" s="305"/>
      <c r="B14" s="181" t="s">
        <v>25</v>
      </c>
      <c r="C14" s="312"/>
      <c r="D14" s="313"/>
      <c r="E14" s="466">
        <v>1350</v>
      </c>
      <c r="F14" s="467"/>
      <c r="G14" s="468"/>
      <c r="H14" s="466">
        <v>1600</v>
      </c>
      <c r="I14" s="467"/>
      <c r="J14" s="468"/>
      <c r="K14" s="466">
        <v>2250</v>
      </c>
      <c r="L14" s="467"/>
      <c r="M14" s="468"/>
      <c r="N14" s="467">
        <v>2500</v>
      </c>
      <c r="O14" s="467"/>
      <c r="P14" s="468"/>
      <c r="Q14" s="467">
        <v>3000</v>
      </c>
      <c r="R14" s="467"/>
      <c r="S14" s="469"/>
      <c r="T14" s="467">
        <v>4000</v>
      </c>
      <c r="U14" s="467"/>
      <c r="V14" s="469"/>
      <c r="W14" s="470">
        <v>1200</v>
      </c>
      <c r="X14" s="467"/>
      <c r="Y14" s="467"/>
      <c r="Z14" s="467">
        <v>1350</v>
      </c>
      <c r="AA14" s="467"/>
      <c r="AB14" s="467"/>
      <c r="AC14" s="467">
        <v>1600</v>
      </c>
      <c r="AD14" s="467"/>
      <c r="AE14" s="467"/>
      <c r="AF14" s="471">
        <v>1800</v>
      </c>
      <c r="AG14" s="471"/>
      <c r="AH14" s="471"/>
      <c r="AI14" s="467">
        <v>2025</v>
      </c>
      <c r="AJ14" s="467"/>
      <c r="AK14" s="472"/>
    </row>
    <row r="15" spans="1:37" ht="18" customHeight="1">
      <c r="A15" s="305"/>
      <c r="B15" s="181" t="s">
        <v>26</v>
      </c>
      <c r="C15" s="312"/>
      <c r="D15" s="313"/>
      <c r="E15" s="330"/>
      <c r="F15" s="329"/>
      <c r="G15" s="329">
        <v>470</v>
      </c>
      <c r="H15" s="330"/>
      <c r="I15" s="329"/>
      <c r="J15" s="329">
        <v>450</v>
      </c>
      <c r="K15" s="330"/>
      <c r="L15" s="329">
        <v>360</v>
      </c>
      <c r="M15" s="329">
        <v>360</v>
      </c>
      <c r="N15" s="346"/>
      <c r="O15" s="329">
        <v>350</v>
      </c>
      <c r="P15" s="329">
        <v>350</v>
      </c>
      <c r="Q15" s="346"/>
      <c r="R15" s="329">
        <v>350</v>
      </c>
      <c r="S15" s="352">
        <v>350</v>
      </c>
      <c r="T15" s="346"/>
      <c r="U15" s="329">
        <v>350</v>
      </c>
      <c r="V15" s="352">
        <v>350</v>
      </c>
      <c r="W15" s="357">
        <v>350</v>
      </c>
      <c r="X15" s="329">
        <v>350</v>
      </c>
      <c r="Y15" s="329">
        <v>350</v>
      </c>
      <c r="Z15" s="329">
        <v>350</v>
      </c>
      <c r="AA15" s="329">
        <v>350</v>
      </c>
      <c r="AB15" s="329">
        <v>350</v>
      </c>
      <c r="AC15" s="329">
        <v>350</v>
      </c>
      <c r="AD15" s="329">
        <v>350</v>
      </c>
      <c r="AE15" s="329">
        <v>350</v>
      </c>
      <c r="AF15" s="329">
        <v>330</v>
      </c>
      <c r="AG15" s="329">
        <v>350</v>
      </c>
      <c r="AH15" s="329">
        <v>350</v>
      </c>
      <c r="AI15" s="329">
        <v>300</v>
      </c>
      <c r="AJ15" s="329">
        <v>350</v>
      </c>
      <c r="AK15" s="352">
        <v>350</v>
      </c>
    </row>
    <row r="16" spans="1:37" ht="18" customHeight="1">
      <c r="A16" s="305"/>
      <c r="B16" s="314" t="s">
        <v>27</v>
      </c>
      <c r="C16" s="312"/>
      <c r="D16" s="313"/>
      <c r="E16" s="330"/>
      <c r="F16" s="331"/>
      <c r="G16" s="331" t="s">
        <v>28</v>
      </c>
      <c r="H16" s="330"/>
      <c r="I16" s="331"/>
      <c r="J16" s="331" t="s">
        <v>28</v>
      </c>
      <c r="K16" s="330"/>
      <c r="L16" s="331" t="s">
        <v>29</v>
      </c>
      <c r="M16" s="331" t="s">
        <v>28</v>
      </c>
      <c r="N16" s="346"/>
      <c r="O16" s="331" t="s">
        <v>29</v>
      </c>
      <c r="P16" s="331" t="s">
        <v>28</v>
      </c>
      <c r="Q16" s="346"/>
      <c r="R16" s="331" t="s">
        <v>29</v>
      </c>
      <c r="S16" s="353" t="s">
        <v>28</v>
      </c>
      <c r="T16" s="346"/>
      <c r="U16" s="331" t="s">
        <v>29</v>
      </c>
      <c r="V16" s="353" t="s">
        <v>28</v>
      </c>
      <c r="W16" s="357" t="s">
        <v>30</v>
      </c>
      <c r="X16" s="331" t="s">
        <v>29</v>
      </c>
      <c r="Y16" s="331" t="s">
        <v>28</v>
      </c>
      <c r="Z16" s="329" t="s">
        <v>30</v>
      </c>
      <c r="AA16" s="331" t="s">
        <v>29</v>
      </c>
      <c r="AB16" s="331" t="s">
        <v>28</v>
      </c>
      <c r="AC16" s="329" t="s">
        <v>30</v>
      </c>
      <c r="AD16" s="331" t="s">
        <v>29</v>
      </c>
      <c r="AE16" s="331" t="s">
        <v>28</v>
      </c>
      <c r="AF16" s="329" t="s">
        <v>30</v>
      </c>
      <c r="AG16" s="331" t="s">
        <v>29</v>
      </c>
      <c r="AH16" s="331" t="s">
        <v>28</v>
      </c>
      <c r="AI16" s="329" t="s">
        <v>30</v>
      </c>
      <c r="AJ16" s="331" t="s">
        <v>29</v>
      </c>
      <c r="AK16" s="353" t="s">
        <v>28</v>
      </c>
    </row>
    <row r="17" spans="1:37" ht="30" customHeight="1">
      <c r="A17" s="315"/>
      <c r="B17" s="181" t="s">
        <v>31</v>
      </c>
      <c r="C17" s="312"/>
      <c r="D17" s="313"/>
      <c r="E17" s="473" t="s">
        <v>32</v>
      </c>
      <c r="F17" s="474"/>
      <c r="G17" s="474"/>
      <c r="H17" s="473" t="s">
        <v>32</v>
      </c>
      <c r="I17" s="474"/>
      <c r="J17" s="474"/>
      <c r="K17" s="473" t="s">
        <v>33</v>
      </c>
      <c r="L17" s="474"/>
      <c r="M17" s="474"/>
      <c r="N17" s="474" t="s">
        <v>33</v>
      </c>
      <c r="O17" s="474"/>
      <c r="P17" s="474"/>
      <c r="Q17" s="474" t="s">
        <v>33</v>
      </c>
      <c r="R17" s="474"/>
      <c r="S17" s="475"/>
      <c r="T17" s="474" t="s">
        <v>33</v>
      </c>
      <c r="U17" s="474"/>
      <c r="V17" s="475"/>
      <c r="W17" s="476" t="s">
        <v>33</v>
      </c>
      <c r="X17" s="474"/>
      <c r="Y17" s="474"/>
      <c r="Z17" s="476" t="s">
        <v>33</v>
      </c>
      <c r="AA17" s="474"/>
      <c r="AB17" s="474"/>
      <c r="AC17" s="476" t="s">
        <v>33</v>
      </c>
      <c r="AD17" s="474"/>
      <c r="AE17" s="474"/>
      <c r="AF17" s="474" t="s">
        <v>33</v>
      </c>
      <c r="AG17" s="474"/>
      <c r="AH17" s="474"/>
      <c r="AI17" s="474" t="s">
        <v>33</v>
      </c>
      <c r="AJ17" s="474"/>
      <c r="AK17" s="475"/>
    </row>
    <row r="18" spans="1:37" ht="18" customHeight="1">
      <c r="A18" s="316"/>
      <c r="B18" s="181" t="s">
        <v>34</v>
      </c>
      <c r="C18" s="317"/>
      <c r="D18" s="313"/>
      <c r="E18" s="466" t="s">
        <v>35</v>
      </c>
      <c r="F18" s="467"/>
      <c r="G18" s="467"/>
      <c r="H18" s="466" t="s">
        <v>35</v>
      </c>
      <c r="I18" s="467"/>
      <c r="J18" s="467"/>
      <c r="K18" s="466" t="s">
        <v>35</v>
      </c>
      <c r="L18" s="467"/>
      <c r="M18" s="467"/>
      <c r="N18" s="467" t="s">
        <v>35</v>
      </c>
      <c r="O18" s="467"/>
      <c r="P18" s="467"/>
      <c r="Q18" s="467" t="s">
        <v>35</v>
      </c>
      <c r="R18" s="467"/>
      <c r="S18" s="472"/>
      <c r="T18" s="467" t="s">
        <v>36</v>
      </c>
      <c r="U18" s="467"/>
      <c r="V18" s="472"/>
      <c r="W18" s="476" t="s">
        <v>36</v>
      </c>
      <c r="X18" s="474"/>
      <c r="Y18" s="474"/>
      <c r="Z18" s="476" t="s">
        <v>36</v>
      </c>
      <c r="AA18" s="474"/>
      <c r="AB18" s="474"/>
      <c r="AC18" s="476" t="s">
        <v>36</v>
      </c>
      <c r="AD18" s="474"/>
      <c r="AE18" s="474"/>
      <c r="AF18" s="474" t="s">
        <v>36</v>
      </c>
      <c r="AG18" s="474"/>
      <c r="AH18" s="474"/>
      <c r="AI18" s="474" t="s">
        <v>36</v>
      </c>
      <c r="AJ18" s="474"/>
      <c r="AK18" s="475"/>
    </row>
    <row r="19" spans="1:37" ht="42.75" customHeight="1">
      <c r="A19" s="315"/>
      <c r="B19" s="181" t="s">
        <v>37</v>
      </c>
      <c r="C19" s="312"/>
      <c r="D19" s="313"/>
      <c r="E19" s="328"/>
      <c r="F19" s="467" t="s">
        <v>38</v>
      </c>
      <c r="G19" s="467"/>
      <c r="H19" s="328"/>
      <c r="I19" s="467" t="s">
        <v>38</v>
      </c>
      <c r="J19" s="467"/>
      <c r="K19" s="328"/>
      <c r="L19" s="467" t="s">
        <v>39</v>
      </c>
      <c r="M19" s="467"/>
      <c r="N19" s="329"/>
      <c r="O19" s="467" t="s">
        <v>39</v>
      </c>
      <c r="P19" s="467"/>
      <c r="Q19" s="332"/>
      <c r="R19" s="467" t="s">
        <v>39</v>
      </c>
      <c r="S19" s="472"/>
      <c r="T19" s="332"/>
      <c r="U19" s="467" t="s">
        <v>40</v>
      </c>
      <c r="V19" s="472"/>
      <c r="W19" s="464" t="s">
        <v>41</v>
      </c>
      <c r="X19" s="464"/>
      <c r="Y19" s="470"/>
      <c r="Z19" s="464" t="s">
        <v>42</v>
      </c>
      <c r="AA19" s="464"/>
      <c r="AB19" s="470"/>
      <c r="AC19" s="464" t="s">
        <v>43</v>
      </c>
      <c r="AD19" s="464"/>
      <c r="AE19" s="470"/>
      <c r="AF19" s="467" t="s">
        <v>40</v>
      </c>
      <c r="AG19" s="467"/>
      <c r="AH19" s="467"/>
      <c r="AI19" s="467" t="s">
        <v>40</v>
      </c>
      <c r="AJ19" s="467"/>
      <c r="AK19" s="472"/>
    </row>
    <row r="20" spans="1:37" ht="18" customHeight="1">
      <c r="A20" s="315"/>
      <c r="B20" s="181" t="s">
        <v>44</v>
      </c>
      <c r="C20" s="312"/>
      <c r="D20" s="313"/>
      <c r="E20" s="328"/>
      <c r="F20" s="467" t="s">
        <v>45</v>
      </c>
      <c r="G20" s="467"/>
      <c r="H20" s="328"/>
      <c r="I20" s="467" t="s">
        <v>45</v>
      </c>
      <c r="J20" s="467"/>
      <c r="K20" s="328"/>
      <c r="L20" s="467" t="s">
        <v>46</v>
      </c>
      <c r="M20" s="467"/>
      <c r="N20" s="329"/>
      <c r="O20" s="467" t="s">
        <v>46</v>
      </c>
      <c r="P20" s="467"/>
      <c r="Q20" s="329"/>
      <c r="R20" s="467" t="s">
        <v>46</v>
      </c>
      <c r="S20" s="472"/>
      <c r="T20" s="329"/>
      <c r="U20" s="467" t="s">
        <v>47</v>
      </c>
      <c r="V20" s="472"/>
      <c r="W20" s="470" t="s">
        <v>48</v>
      </c>
      <c r="X20" s="467"/>
      <c r="Y20" s="467"/>
      <c r="Z20" s="470" t="s">
        <v>48</v>
      </c>
      <c r="AA20" s="467"/>
      <c r="AB20" s="467"/>
      <c r="AC20" s="470" t="s">
        <v>49</v>
      </c>
      <c r="AD20" s="467"/>
      <c r="AE20" s="467"/>
      <c r="AF20" s="467" t="s">
        <v>49</v>
      </c>
      <c r="AG20" s="467"/>
      <c r="AH20" s="467"/>
      <c r="AI20" s="467" t="s">
        <v>49</v>
      </c>
      <c r="AJ20" s="467"/>
      <c r="AK20" s="472"/>
    </row>
    <row r="21" spans="1:37" ht="18" customHeight="1">
      <c r="A21" s="305"/>
      <c r="B21" s="527" t="s">
        <v>50</v>
      </c>
      <c r="C21" s="528"/>
      <c r="D21" s="529"/>
      <c r="E21" s="333"/>
      <c r="F21" s="334" t="s">
        <v>51</v>
      </c>
      <c r="G21" s="335" t="s">
        <v>51</v>
      </c>
      <c r="H21" s="333"/>
      <c r="I21" s="334" t="s">
        <v>51</v>
      </c>
      <c r="J21" s="335" t="s">
        <v>51</v>
      </c>
      <c r="K21" s="333"/>
      <c r="L21" s="334" t="s">
        <v>51</v>
      </c>
      <c r="M21" s="335" t="s">
        <v>51</v>
      </c>
      <c r="N21" s="334"/>
      <c r="O21" s="334" t="s">
        <v>51</v>
      </c>
      <c r="P21" s="335" t="s">
        <v>51</v>
      </c>
      <c r="Q21" s="334"/>
      <c r="R21" s="334" t="s">
        <v>51</v>
      </c>
      <c r="S21" s="354" t="s">
        <v>51</v>
      </c>
      <c r="T21" s="334"/>
      <c r="U21" s="334" t="s">
        <v>51</v>
      </c>
      <c r="V21" s="354" t="s">
        <v>51</v>
      </c>
      <c r="W21" s="359" t="s">
        <v>51</v>
      </c>
      <c r="X21" s="334" t="s">
        <v>51</v>
      </c>
      <c r="Y21" s="335" t="s">
        <v>51</v>
      </c>
      <c r="Z21" s="334" t="s">
        <v>51</v>
      </c>
      <c r="AA21" s="334" t="s">
        <v>51</v>
      </c>
      <c r="AB21" s="335" t="s">
        <v>51</v>
      </c>
      <c r="AC21" s="334" t="s">
        <v>51</v>
      </c>
      <c r="AD21" s="334" t="s">
        <v>51</v>
      </c>
      <c r="AE21" s="335" t="s">
        <v>51</v>
      </c>
      <c r="AF21" s="334" t="s">
        <v>51</v>
      </c>
      <c r="AG21" s="334" t="s">
        <v>51</v>
      </c>
      <c r="AH21" s="335" t="s">
        <v>51</v>
      </c>
      <c r="AI21" s="334" t="s">
        <v>51</v>
      </c>
      <c r="AJ21" s="334" t="s">
        <v>51</v>
      </c>
      <c r="AK21" s="354" t="s">
        <v>51</v>
      </c>
    </row>
    <row r="22" spans="1:37" ht="18" customHeight="1">
      <c r="A22" s="305"/>
      <c r="B22" s="530"/>
      <c r="C22" s="531"/>
      <c r="D22" s="532"/>
      <c r="E22" s="256"/>
      <c r="F22" s="336" t="s">
        <v>51</v>
      </c>
      <c r="G22" s="337" t="s">
        <v>51</v>
      </c>
      <c r="H22" s="256"/>
      <c r="I22" s="336" t="s">
        <v>51</v>
      </c>
      <c r="J22" s="337" t="s">
        <v>51</v>
      </c>
      <c r="K22" s="256"/>
      <c r="L22" s="336" t="s">
        <v>51</v>
      </c>
      <c r="M22" s="337" t="s">
        <v>51</v>
      </c>
      <c r="N22" s="336"/>
      <c r="O22" s="336" t="s">
        <v>51</v>
      </c>
      <c r="P22" s="337" t="s">
        <v>51</v>
      </c>
      <c r="Q22" s="336"/>
      <c r="R22" s="336" t="s">
        <v>51</v>
      </c>
      <c r="S22" s="355" t="s">
        <v>51</v>
      </c>
      <c r="T22" s="336"/>
      <c r="U22" s="336" t="s">
        <v>51</v>
      </c>
      <c r="V22" s="355" t="s">
        <v>51</v>
      </c>
      <c r="W22" s="360" t="s">
        <v>51</v>
      </c>
      <c r="X22" s="336" t="s">
        <v>51</v>
      </c>
      <c r="Y22" s="337" t="s">
        <v>51</v>
      </c>
      <c r="Z22" s="336" t="s">
        <v>51</v>
      </c>
      <c r="AA22" s="336" t="s">
        <v>51</v>
      </c>
      <c r="AB22" s="337" t="s">
        <v>51</v>
      </c>
      <c r="AC22" s="336" t="s">
        <v>51</v>
      </c>
      <c r="AD22" s="336" t="s">
        <v>51</v>
      </c>
      <c r="AE22" s="337" t="s">
        <v>51</v>
      </c>
      <c r="AF22" s="336" t="s">
        <v>51</v>
      </c>
      <c r="AG22" s="336" t="s">
        <v>51</v>
      </c>
      <c r="AH22" s="337" t="s">
        <v>51</v>
      </c>
      <c r="AI22" s="336" t="s">
        <v>51</v>
      </c>
      <c r="AJ22" s="336" t="s">
        <v>51</v>
      </c>
      <c r="AK22" s="355" t="s">
        <v>51</v>
      </c>
    </row>
    <row r="23" spans="1:37" ht="18" customHeight="1">
      <c r="A23" s="305"/>
      <c r="B23" s="318" t="s">
        <v>52</v>
      </c>
      <c r="C23" s="320"/>
      <c r="D23" s="321"/>
      <c r="E23" s="328"/>
      <c r="F23" s="467" t="s">
        <v>53</v>
      </c>
      <c r="G23" s="467"/>
      <c r="H23" s="328"/>
      <c r="I23" s="467" t="s">
        <v>53</v>
      </c>
      <c r="J23" s="467"/>
      <c r="K23" s="328"/>
      <c r="L23" s="467" t="s">
        <v>53</v>
      </c>
      <c r="M23" s="467"/>
      <c r="N23" s="329"/>
      <c r="O23" s="467" t="s">
        <v>53</v>
      </c>
      <c r="P23" s="467"/>
      <c r="Q23" s="329"/>
      <c r="R23" s="467" t="s">
        <v>53</v>
      </c>
      <c r="S23" s="472"/>
      <c r="T23" s="329"/>
      <c r="U23" s="467" t="s">
        <v>53</v>
      </c>
      <c r="V23" s="472"/>
      <c r="W23" s="357" t="s">
        <v>54</v>
      </c>
      <c r="X23" s="467" t="s">
        <v>53</v>
      </c>
      <c r="Y23" s="467"/>
      <c r="Z23" s="329" t="s">
        <v>54</v>
      </c>
      <c r="AA23" s="467" t="s">
        <v>53</v>
      </c>
      <c r="AB23" s="467"/>
      <c r="AC23" s="329" t="s">
        <v>54</v>
      </c>
      <c r="AD23" s="467" t="s">
        <v>53</v>
      </c>
      <c r="AE23" s="467"/>
      <c r="AF23" s="329" t="s">
        <v>54</v>
      </c>
      <c r="AG23" s="467" t="s">
        <v>53</v>
      </c>
      <c r="AH23" s="467"/>
      <c r="AI23" s="329" t="s">
        <v>54</v>
      </c>
      <c r="AJ23" s="467" t="s">
        <v>53</v>
      </c>
      <c r="AK23" s="472"/>
    </row>
    <row r="24" spans="1:37" ht="18" customHeight="1">
      <c r="A24" s="305"/>
      <c r="B24" s="181" t="s">
        <v>55</v>
      </c>
      <c r="C24" s="312"/>
      <c r="D24" s="313"/>
      <c r="E24" s="466" t="s">
        <v>56</v>
      </c>
      <c r="F24" s="467"/>
      <c r="G24" s="467"/>
      <c r="H24" s="466" t="s">
        <v>56</v>
      </c>
      <c r="I24" s="467"/>
      <c r="J24" s="467"/>
      <c r="K24" s="466" t="s">
        <v>56</v>
      </c>
      <c r="L24" s="467"/>
      <c r="M24" s="467"/>
      <c r="N24" s="467" t="s">
        <v>56</v>
      </c>
      <c r="O24" s="467"/>
      <c r="P24" s="467"/>
      <c r="Q24" s="471" t="s">
        <v>56</v>
      </c>
      <c r="R24" s="471"/>
      <c r="S24" s="477"/>
      <c r="T24" s="471" t="s">
        <v>56</v>
      </c>
      <c r="U24" s="471"/>
      <c r="V24" s="477"/>
      <c r="W24" s="470" t="s">
        <v>57</v>
      </c>
      <c r="X24" s="467"/>
      <c r="Y24" s="467"/>
      <c r="Z24" s="467" t="s">
        <v>57</v>
      </c>
      <c r="AA24" s="467"/>
      <c r="AB24" s="467"/>
      <c r="AC24" s="467" t="s">
        <v>57</v>
      </c>
      <c r="AD24" s="467"/>
      <c r="AE24" s="467"/>
      <c r="AF24" s="467" t="s">
        <v>57</v>
      </c>
      <c r="AG24" s="467"/>
      <c r="AH24" s="467"/>
      <c r="AI24" s="467" t="s">
        <v>57</v>
      </c>
      <c r="AJ24" s="467"/>
      <c r="AK24" s="472"/>
    </row>
    <row r="25" spans="1:37" ht="18" customHeight="1">
      <c r="A25" s="305"/>
      <c r="B25" s="322" t="s">
        <v>58</v>
      </c>
      <c r="C25" s="444" t="s">
        <v>59</v>
      </c>
      <c r="D25" s="319" t="s">
        <v>60</v>
      </c>
      <c r="E25" s="466" t="s">
        <v>61</v>
      </c>
      <c r="F25" s="468"/>
      <c r="G25" s="468"/>
      <c r="H25" s="466" t="s">
        <v>61</v>
      </c>
      <c r="I25" s="468"/>
      <c r="J25" s="468"/>
      <c r="K25" s="466" t="s">
        <v>61</v>
      </c>
      <c r="L25" s="468"/>
      <c r="M25" s="468"/>
      <c r="N25" s="467" t="s">
        <v>61</v>
      </c>
      <c r="O25" s="468"/>
      <c r="P25" s="468"/>
      <c r="Q25" s="467" t="s">
        <v>61</v>
      </c>
      <c r="R25" s="468"/>
      <c r="S25" s="469"/>
      <c r="T25" s="467" t="s">
        <v>61</v>
      </c>
      <c r="U25" s="468"/>
      <c r="V25" s="469"/>
      <c r="W25" s="470" t="s">
        <v>62</v>
      </c>
      <c r="X25" s="468"/>
      <c r="Y25" s="468"/>
      <c r="Z25" s="467" t="s">
        <v>62</v>
      </c>
      <c r="AA25" s="468"/>
      <c r="AB25" s="468"/>
      <c r="AC25" s="467" t="s">
        <v>62</v>
      </c>
      <c r="AD25" s="468"/>
      <c r="AE25" s="468"/>
      <c r="AF25" s="467" t="s">
        <v>62</v>
      </c>
      <c r="AG25" s="468"/>
      <c r="AH25" s="468"/>
      <c r="AI25" s="467" t="s">
        <v>62</v>
      </c>
      <c r="AJ25" s="468"/>
      <c r="AK25" s="469"/>
    </row>
    <row r="26" spans="1:37" ht="18" customHeight="1">
      <c r="A26" s="305"/>
      <c r="B26" s="323" t="s">
        <v>63</v>
      </c>
      <c r="C26" s="444" t="s">
        <v>64</v>
      </c>
      <c r="D26" s="319" t="s">
        <v>65</v>
      </c>
      <c r="E26" s="466" t="s">
        <v>66</v>
      </c>
      <c r="F26" s="468"/>
      <c r="G26" s="468"/>
      <c r="H26" s="466" t="s">
        <v>66</v>
      </c>
      <c r="I26" s="468"/>
      <c r="J26" s="468"/>
      <c r="K26" s="466" t="s">
        <v>66</v>
      </c>
      <c r="L26" s="468"/>
      <c r="M26" s="468"/>
      <c r="N26" s="467" t="s">
        <v>66</v>
      </c>
      <c r="O26" s="468"/>
      <c r="P26" s="468"/>
      <c r="Q26" s="467" t="s">
        <v>66</v>
      </c>
      <c r="R26" s="468"/>
      <c r="S26" s="469"/>
      <c r="T26" s="467" t="s">
        <v>66</v>
      </c>
      <c r="U26" s="468"/>
      <c r="V26" s="469"/>
      <c r="W26" s="470" t="s">
        <v>67</v>
      </c>
      <c r="X26" s="468"/>
      <c r="Y26" s="468"/>
      <c r="Z26" s="467" t="s">
        <v>67</v>
      </c>
      <c r="AA26" s="468"/>
      <c r="AB26" s="468"/>
      <c r="AC26" s="467" t="s">
        <v>67</v>
      </c>
      <c r="AD26" s="468"/>
      <c r="AE26" s="468"/>
      <c r="AF26" s="467" t="s">
        <v>67</v>
      </c>
      <c r="AG26" s="468"/>
      <c r="AH26" s="468"/>
      <c r="AI26" s="467" t="s">
        <v>67</v>
      </c>
      <c r="AJ26" s="468"/>
      <c r="AK26" s="469"/>
    </row>
    <row r="27" spans="1:37" ht="33.75" customHeight="1">
      <c r="A27" s="305"/>
      <c r="B27" s="324" t="s">
        <v>68</v>
      </c>
      <c r="C27" s="444" t="s">
        <v>59</v>
      </c>
      <c r="D27" s="319" t="s">
        <v>60</v>
      </c>
      <c r="E27" s="328"/>
      <c r="F27" s="474" t="s">
        <v>69</v>
      </c>
      <c r="G27" s="467"/>
      <c r="H27" s="328"/>
      <c r="I27" s="474" t="s">
        <v>69</v>
      </c>
      <c r="J27" s="467"/>
      <c r="K27" s="328"/>
      <c r="L27" s="474" t="s">
        <v>70</v>
      </c>
      <c r="M27" s="467"/>
      <c r="N27" s="329"/>
      <c r="O27" s="474" t="s">
        <v>70</v>
      </c>
      <c r="P27" s="467"/>
      <c r="Q27" s="329"/>
      <c r="R27" s="474" t="s">
        <v>71</v>
      </c>
      <c r="S27" s="472"/>
      <c r="T27" s="329"/>
      <c r="U27" s="474" t="s">
        <v>71</v>
      </c>
      <c r="V27" s="472"/>
      <c r="W27" s="478" t="s">
        <v>72</v>
      </c>
      <c r="X27" s="478"/>
      <c r="Y27" s="479"/>
      <c r="Z27" s="480" t="s">
        <v>73</v>
      </c>
      <c r="AA27" s="478"/>
      <c r="AB27" s="479"/>
      <c r="AC27" s="471" t="s">
        <v>73</v>
      </c>
      <c r="AD27" s="471"/>
      <c r="AE27" s="471"/>
      <c r="AF27" s="471" t="s">
        <v>73</v>
      </c>
      <c r="AG27" s="471"/>
      <c r="AH27" s="471"/>
      <c r="AI27" s="471" t="s">
        <v>73</v>
      </c>
      <c r="AJ27" s="471"/>
      <c r="AK27" s="477"/>
    </row>
    <row r="28" spans="1:37" ht="18" customHeight="1">
      <c r="A28" s="305"/>
      <c r="B28" s="325" t="s">
        <v>74</v>
      </c>
      <c r="C28" s="444" t="s">
        <v>64</v>
      </c>
      <c r="D28" s="319" t="s">
        <v>65</v>
      </c>
      <c r="E28" s="466" t="s">
        <v>75</v>
      </c>
      <c r="F28" s="467"/>
      <c r="G28" s="467"/>
      <c r="H28" s="466" t="s">
        <v>75</v>
      </c>
      <c r="I28" s="467"/>
      <c r="J28" s="467"/>
      <c r="K28" s="466" t="s">
        <v>75</v>
      </c>
      <c r="L28" s="467"/>
      <c r="M28" s="467"/>
      <c r="N28" s="467" t="s">
        <v>75</v>
      </c>
      <c r="O28" s="467"/>
      <c r="P28" s="467"/>
      <c r="Q28" s="467" t="s">
        <v>75</v>
      </c>
      <c r="R28" s="467"/>
      <c r="S28" s="472"/>
      <c r="T28" s="467" t="s">
        <v>75</v>
      </c>
      <c r="U28" s="467"/>
      <c r="V28" s="472"/>
      <c r="W28" s="470" t="s">
        <v>76</v>
      </c>
      <c r="X28" s="467"/>
      <c r="Y28" s="467"/>
      <c r="Z28" s="467" t="s">
        <v>76</v>
      </c>
      <c r="AA28" s="467"/>
      <c r="AB28" s="467"/>
      <c r="AC28" s="467" t="s">
        <v>76</v>
      </c>
      <c r="AD28" s="467"/>
      <c r="AE28" s="467"/>
      <c r="AF28" s="467" t="s">
        <v>76</v>
      </c>
      <c r="AG28" s="467"/>
      <c r="AH28" s="467"/>
      <c r="AI28" s="467" t="s">
        <v>76</v>
      </c>
      <c r="AJ28" s="467"/>
      <c r="AK28" s="472"/>
    </row>
    <row r="29" spans="1:37" ht="18" customHeight="1">
      <c r="A29" s="305"/>
      <c r="B29" s="326" t="s">
        <v>77</v>
      </c>
      <c r="C29" s="444" t="s">
        <v>59</v>
      </c>
      <c r="D29" s="319" t="s">
        <v>60</v>
      </c>
      <c r="E29" s="466" t="s">
        <v>78</v>
      </c>
      <c r="F29" s="467"/>
      <c r="G29" s="467"/>
      <c r="H29" s="466" t="s">
        <v>78</v>
      </c>
      <c r="I29" s="467"/>
      <c r="J29" s="467"/>
      <c r="K29" s="466" t="s">
        <v>79</v>
      </c>
      <c r="L29" s="467"/>
      <c r="M29" s="467"/>
      <c r="N29" s="467" t="s">
        <v>79</v>
      </c>
      <c r="O29" s="467"/>
      <c r="P29" s="467"/>
      <c r="Q29" s="467" t="s">
        <v>80</v>
      </c>
      <c r="R29" s="467"/>
      <c r="S29" s="472"/>
      <c r="T29" s="467" t="s">
        <v>78</v>
      </c>
      <c r="U29" s="467"/>
      <c r="V29" s="472"/>
      <c r="W29" s="470" t="s">
        <v>81</v>
      </c>
      <c r="X29" s="467"/>
      <c r="Y29" s="467"/>
      <c r="Z29" s="467" t="s">
        <v>81</v>
      </c>
      <c r="AA29" s="467"/>
      <c r="AB29" s="467"/>
      <c r="AC29" s="467" t="s">
        <v>81</v>
      </c>
      <c r="AD29" s="467"/>
      <c r="AE29" s="467"/>
      <c r="AF29" s="467" t="s">
        <v>81</v>
      </c>
      <c r="AG29" s="467"/>
      <c r="AH29" s="467"/>
      <c r="AI29" s="467" t="s">
        <v>81</v>
      </c>
      <c r="AJ29" s="467"/>
      <c r="AK29" s="472"/>
    </row>
    <row r="30" spans="1:37" ht="18" customHeight="1">
      <c r="A30" s="305"/>
      <c r="B30" s="175" t="s">
        <v>82</v>
      </c>
      <c r="C30" s="444" t="s">
        <v>64</v>
      </c>
      <c r="D30" s="319" t="s">
        <v>65</v>
      </c>
      <c r="E30" s="466" t="s">
        <v>78</v>
      </c>
      <c r="F30" s="467"/>
      <c r="G30" s="467"/>
      <c r="H30" s="466" t="s">
        <v>78</v>
      </c>
      <c r="I30" s="467"/>
      <c r="J30" s="467"/>
      <c r="K30" s="466" t="s">
        <v>79</v>
      </c>
      <c r="L30" s="467"/>
      <c r="M30" s="467"/>
      <c r="N30" s="467" t="s">
        <v>79</v>
      </c>
      <c r="O30" s="467"/>
      <c r="P30" s="467"/>
      <c r="Q30" s="467" t="s">
        <v>80</v>
      </c>
      <c r="R30" s="467"/>
      <c r="S30" s="472"/>
      <c r="T30" s="467" t="s">
        <v>78</v>
      </c>
      <c r="U30" s="467"/>
      <c r="V30" s="472"/>
      <c r="W30" s="470" t="s">
        <v>81</v>
      </c>
      <c r="X30" s="467"/>
      <c r="Y30" s="467"/>
      <c r="Z30" s="467" t="s">
        <v>81</v>
      </c>
      <c r="AA30" s="467"/>
      <c r="AB30" s="467"/>
      <c r="AC30" s="467" t="s">
        <v>81</v>
      </c>
      <c r="AD30" s="467"/>
      <c r="AE30" s="467"/>
      <c r="AF30" s="467" t="s">
        <v>81</v>
      </c>
      <c r="AG30" s="467"/>
      <c r="AH30" s="467"/>
      <c r="AI30" s="467" t="s">
        <v>81</v>
      </c>
      <c r="AJ30" s="467"/>
      <c r="AK30" s="472"/>
    </row>
    <row r="31" spans="1:37" ht="18" customHeight="1">
      <c r="A31" s="315"/>
      <c r="B31" s="326" t="s">
        <v>83</v>
      </c>
      <c r="C31" s="327" t="s">
        <v>84</v>
      </c>
      <c r="D31" s="319" t="s">
        <v>85</v>
      </c>
      <c r="E31" s="338"/>
      <c r="F31" s="471" t="s">
        <v>86</v>
      </c>
      <c r="G31" s="471"/>
      <c r="H31" s="338"/>
      <c r="I31" s="471" t="s">
        <v>86</v>
      </c>
      <c r="J31" s="471"/>
      <c r="K31" s="338"/>
      <c r="L31" s="471" t="s">
        <v>86</v>
      </c>
      <c r="M31" s="471"/>
      <c r="N31" s="339"/>
      <c r="O31" s="471" t="s">
        <v>86</v>
      </c>
      <c r="P31" s="471"/>
      <c r="Q31" s="339"/>
      <c r="R31" s="471" t="s">
        <v>87</v>
      </c>
      <c r="S31" s="477"/>
      <c r="T31" s="339"/>
      <c r="U31" s="471" t="s">
        <v>87</v>
      </c>
      <c r="V31" s="477"/>
      <c r="W31" s="479" t="s">
        <v>88</v>
      </c>
      <c r="X31" s="471"/>
      <c r="Y31" s="471"/>
      <c r="Z31" s="467" t="s">
        <v>88</v>
      </c>
      <c r="AA31" s="467"/>
      <c r="AB31" s="467"/>
      <c r="AC31" s="467" t="s">
        <v>88</v>
      </c>
      <c r="AD31" s="467"/>
      <c r="AE31" s="467"/>
      <c r="AF31" s="467" t="s">
        <v>88</v>
      </c>
      <c r="AG31" s="467"/>
      <c r="AH31" s="467"/>
      <c r="AI31" s="467" t="s">
        <v>88</v>
      </c>
      <c r="AJ31" s="467"/>
      <c r="AK31" s="472"/>
    </row>
    <row r="32" spans="1:37" ht="18" customHeight="1">
      <c r="A32" s="316"/>
      <c r="B32" s="175" t="s">
        <v>89</v>
      </c>
      <c r="C32" s="327" t="s">
        <v>90</v>
      </c>
      <c r="D32" s="319" t="s">
        <v>91</v>
      </c>
      <c r="E32" s="338"/>
      <c r="F32" s="471" t="s">
        <v>88</v>
      </c>
      <c r="G32" s="471"/>
      <c r="H32" s="338"/>
      <c r="I32" s="471" t="s">
        <v>88</v>
      </c>
      <c r="J32" s="471"/>
      <c r="K32" s="338"/>
      <c r="L32" s="471" t="s">
        <v>88</v>
      </c>
      <c r="M32" s="471"/>
      <c r="N32" s="339"/>
      <c r="O32" s="471" t="s">
        <v>88</v>
      </c>
      <c r="P32" s="471"/>
      <c r="Q32" s="339"/>
      <c r="R32" s="471" t="s">
        <v>87</v>
      </c>
      <c r="S32" s="477"/>
      <c r="T32" s="339"/>
      <c r="U32" s="471" t="s">
        <v>87</v>
      </c>
      <c r="V32" s="477"/>
      <c r="W32" s="479" t="s">
        <v>88</v>
      </c>
      <c r="X32" s="471"/>
      <c r="Y32" s="471"/>
      <c r="Z32" s="467" t="s">
        <v>88</v>
      </c>
      <c r="AA32" s="467"/>
      <c r="AB32" s="467"/>
      <c r="AC32" s="467" t="s">
        <v>88</v>
      </c>
      <c r="AD32" s="467"/>
      <c r="AE32" s="467"/>
      <c r="AF32" s="467" t="s">
        <v>88</v>
      </c>
      <c r="AG32" s="467"/>
      <c r="AH32" s="467"/>
      <c r="AI32" s="467" t="s">
        <v>88</v>
      </c>
      <c r="AJ32" s="467"/>
      <c r="AK32" s="472"/>
    </row>
    <row r="33" spans="1:37" ht="18" customHeight="1">
      <c r="A33" s="315"/>
      <c r="B33" s="326" t="s">
        <v>92</v>
      </c>
      <c r="C33" s="444" t="s">
        <v>59</v>
      </c>
      <c r="D33" s="319" t="s">
        <v>60</v>
      </c>
      <c r="E33" s="481" t="s">
        <v>93</v>
      </c>
      <c r="F33" s="471"/>
      <c r="G33" s="471"/>
      <c r="H33" s="481" t="s">
        <v>93</v>
      </c>
      <c r="I33" s="471"/>
      <c r="J33" s="471"/>
      <c r="K33" s="481" t="s">
        <v>93</v>
      </c>
      <c r="L33" s="471"/>
      <c r="M33" s="471"/>
      <c r="N33" s="471" t="s">
        <v>93</v>
      </c>
      <c r="O33" s="471"/>
      <c r="P33" s="471"/>
      <c r="Q33" s="471" t="s">
        <v>93</v>
      </c>
      <c r="R33" s="471"/>
      <c r="S33" s="477"/>
      <c r="T33" s="471" t="s">
        <v>93</v>
      </c>
      <c r="U33" s="471"/>
      <c r="V33" s="477"/>
      <c r="W33" s="479" t="s">
        <v>94</v>
      </c>
      <c r="X33" s="471"/>
      <c r="Y33" s="471"/>
      <c r="Z33" s="471" t="s">
        <v>94</v>
      </c>
      <c r="AA33" s="471"/>
      <c r="AB33" s="471"/>
      <c r="AC33" s="471" t="s">
        <v>94</v>
      </c>
      <c r="AD33" s="471"/>
      <c r="AE33" s="471"/>
      <c r="AF33" s="471" t="s">
        <v>94</v>
      </c>
      <c r="AG33" s="471"/>
      <c r="AH33" s="471"/>
      <c r="AI33" s="471" t="s">
        <v>94</v>
      </c>
      <c r="AJ33" s="471"/>
      <c r="AK33" s="477"/>
    </row>
    <row r="34" spans="1:37" ht="18" customHeight="1">
      <c r="A34" s="316"/>
      <c r="B34" s="175" t="s">
        <v>95</v>
      </c>
      <c r="C34" s="444" t="s">
        <v>64</v>
      </c>
      <c r="D34" s="319" t="s">
        <v>65</v>
      </c>
      <c r="E34" s="466" t="s">
        <v>96</v>
      </c>
      <c r="F34" s="467"/>
      <c r="G34" s="467"/>
      <c r="H34" s="466" t="s">
        <v>96</v>
      </c>
      <c r="I34" s="467"/>
      <c r="J34" s="467"/>
      <c r="K34" s="466" t="s">
        <v>96</v>
      </c>
      <c r="L34" s="467"/>
      <c r="M34" s="467"/>
      <c r="N34" s="467" t="s">
        <v>96</v>
      </c>
      <c r="O34" s="467"/>
      <c r="P34" s="467"/>
      <c r="Q34" s="467" t="s">
        <v>96</v>
      </c>
      <c r="R34" s="467"/>
      <c r="S34" s="472"/>
      <c r="T34" s="467" t="s">
        <v>96</v>
      </c>
      <c r="U34" s="467"/>
      <c r="V34" s="472"/>
      <c r="W34" s="470" t="s">
        <v>97</v>
      </c>
      <c r="X34" s="467"/>
      <c r="Y34" s="467"/>
      <c r="Z34" s="467" t="s">
        <v>97</v>
      </c>
      <c r="AA34" s="467"/>
      <c r="AB34" s="467"/>
      <c r="AC34" s="467" t="s">
        <v>97</v>
      </c>
      <c r="AD34" s="467"/>
      <c r="AE34" s="467"/>
      <c r="AF34" s="467" t="s">
        <v>97</v>
      </c>
      <c r="AG34" s="467"/>
      <c r="AH34" s="467"/>
      <c r="AI34" s="467" t="s">
        <v>97</v>
      </c>
      <c r="AJ34" s="467"/>
      <c r="AK34" s="472"/>
    </row>
    <row r="35" spans="1:37" ht="36" customHeight="1">
      <c r="A35" s="315"/>
      <c r="B35" s="512" t="s">
        <v>98</v>
      </c>
      <c r="C35" s="444" t="s">
        <v>59</v>
      </c>
      <c r="D35" s="319" t="s">
        <v>60</v>
      </c>
      <c r="E35" s="473" t="s">
        <v>99</v>
      </c>
      <c r="F35" s="474"/>
      <c r="G35" s="474"/>
      <c r="H35" s="473" t="s">
        <v>99</v>
      </c>
      <c r="I35" s="474"/>
      <c r="J35" s="474"/>
      <c r="K35" s="473" t="s">
        <v>99</v>
      </c>
      <c r="L35" s="474"/>
      <c r="M35" s="474"/>
      <c r="N35" s="474" t="s">
        <v>99</v>
      </c>
      <c r="O35" s="474"/>
      <c r="P35" s="474"/>
      <c r="Q35" s="474" t="s">
        <v>100</v>
      </c>
      <c r="R35" s="474"/>
      <c r="S35" s="475"/>
      <c r="T35" s="474" t="s">
        <v>101</v>
      </c>
      <c r="U35" s="474"/>
      <c r="V35" s="475"/>
      <c r="W35" s="482" t="s">
        <v>99</v>
      </c>
      <c r="X35" s="482"/>
      <c r="Y35" s="476"/>
      <c r="Z35" s="483" t="s">
        <v>99</v>
      </c>
      <c r="AA35" s="482"/>
      <c r="AB35" s="476"/>
      <c r="AC35" s="474" t="s">
        <v>99</v>
      </c>
      <c r="AD35" s="474"/>
      <c r="AE35" s="474"/>
      <c r="AF35" s="474" t="s">
        <v>99</v>
      </c>
      <c r="AG35" s="474"/>
      <c r="AH35" s="474"/>
      <c r="AI35" s="474" t="s">
        <v>99</v>
      </c>
      <c r="AJ35" s="474"/>
      <c r="AK35" s="475"/>
    </row>
    <row r="36" spans="1:37" ht="36" customHeight="1">
      <c r="A36" s="316"/>
      <c r="B36" s="513"/>
      <c r="C36" s="445" t="s">
        <v>64</v>
      </c>
      <c r="D36" s="362" t="s">
        <v>102</v>
      </c>
      <c r="E36" s="473" t="s">
        <v>103</v>
      </c>
      <c r="F36" s="467"/>
      <c r="G36" s="467"/>
      <c r="H36" s="473" t="s">
        <v>103</v>
      </c>
      <c r="I36" s="467"/>
      <c r="J36" s="467"/>
      <c r="K36" s="473" t="s">
        <v>103</v>
      </c>
      <c r="L36" s="467"/>
      <c r="M36" s="467"/>
      <c r="N36" s="474" t="s">
        <v>103</v>
      </c>
      <c r="O36" s="467"/>
      <c r="P36" s="467"/>
      <c r="Q36" s="474" t="s">
        <v>104</v>
      </c>
      <c r="R36" s="467"/>
      <c r="S36" s="472"/>
      <c r="T36" s="474" t="s">
        <v>104</v>
      </c>
      <c r="U36" s="467"/>
      <c r="V36" s="472"/>
      <c r="W36" s="476" t="s">
        <v>103</v>
      </c>
      <c r="X36" s="467"/>
      <c r="Y36" s="467"/>
      <c r="Z36" s="483" t="s">
        <v>103</v>
      </c>
      <c r="AA36" s="482"/>
      <c r="AB36" s="476"/>
      <c r="AC36" s="474" t="s">
        <v>103</v>
      </c>
      <c r="AD36" s="474"/>
      <c r="AE36" s="474"/>
      <c r="AF36" s="474" t="s">
        <v>103</v>
      </c>
      <c r="AG36" s="474"/>
      <c r="AH36" s="474"/>
      <c r="AI36" s="474" t="s">
        <v>103</v>
      </c>
      <c r="AJ36" s="474"/>
      <c r="AK36" s="475"/>
    </row>
    <row r="37" spans="1:37" ht="36" customHeight="1">
      <c r="A37" s="315"/>
      <c r="B37" s="514"/>
      <c r="C37" s="446" t="s">
        <v>105</v>
      </c>
      <c r="D37" s="362" t="s">
        <v>106</v>
      </c>
      <c r="E37" s="473" t="s">
        <v>107</v>
      </c>
      <c r="F37" s="467"/>
      <c r="G37" s="467"/>
      <c r="H37" s="473" t="s">
        <v>107</v>
      </c>
      <c r="I37" s="467"/>
      <c r="J37" s="467"/>
      <c r="K37" s="473" t="s">
        <v>107</v>
      </c>
      <c r="L37" s="467"/>
      <c r="M37" s="467"/>
      <c r="N37" s="474" t="s">
        <v>107</v>
      </c>
      <c r="O37" s="474"/>
      <c r="P37" s="474"/>
      <c r="Q37" s="474" t="s">
        <v>104</v>
      </c>
      <c r="R37" s="467"/>
      <c r="S37" s="472"/>
      <c r="T37" s="474" t="s">
        <v>104</v>
      </c>
      <c r="U37" s="467"/>
      <c r="V37" s="472"/>
      <c r="W37" s="476" t="s">
        <v>107</v>
      </c>
      <c r="X37" s="474"/>
      <c r="Y37" s="474"/>
      <c r="Z37" s="474" t="s">
        <v>107</v>
      </c>
      <c r="AA37" s="467"/>
      <c r="AB37" s="467"/>
      <c r="AC37" s="474" t="s">
        <v>107</v>
      </c>
      <c r="AD37" s="467"/>
      <c r="AE37" s="467"/>
      <c r="AF37" s="474" t="s">
        <v>107</v>
      </c>
      <c r="AG37" s="467"/>
      <c r="AH37" s="467"/>
      <c r="AI37" s="474" t="s">
        <v>107</v>
      </c>
      <c r="AJ37" s="467"/>
      <c r="AK37" s="472"/>
    </row>
    <row r="38" spans="1:37" ht="18" customHeight="1">
      <c r="A38" s="316"/>
      <c r="B38" s="363" t="s">
        <v>108</v>
      </c>
      <c r="C38" s="447" t="s">
        <v>109</v>
      </c>
      <c r="D38" s="319" t="s">
        <v>110</v>
      </c>
      <c r="E38" s="484">
        <v>2.5</v>
      </c>
      <c r="F38" s="485"/>
      <c r="G38" s="485"/>
      <c r="H38" s="484">
        <v>2.5</v>
      </c>
      <c r="I38" s="485"/>
      <c r="J38" s="485"/>
      <c r="K38" s="484">
        <v>2.5</v>
      </c>
      <c r="L38" s="485"/>
      <c r="M38" s="485"/>
      <c r="N38" s="485">
        <v>2.5</v>
      </c>
      <c r="O38" s="485"/>
      <c r="P38" s="485"/>
      <c r="Q38" s="485">
        <v>2.5</v>
      </c>
      <c r="R38" s="485"/>
      <c r="S38" s="486"/>
      <c r="T38" s="485">
        <v>2.5</v>
      </c>
      <c r="U38" s="485"/>
      <c r="V38" s="486"/>
      <c r="W38" s="487">
        <v>2.5</v>
      </c>
      <c r="X38" s="485"/>
      <c r="Y38" s="485"/>
      <c r="Z38" s="485">
        <v>2.5</v>
      </c>
      <c r="AA38" s="485"/>
      <c r="AB38" s="485"/>
      <c r="AC38" s="485">
        <v>2.5</v>
      </c>
      <c r="AD38" s="485"/>
      <c r="AE38" s="485"/>
      <c r="AF38" s="485">
        <v>2.5</v>
      </c>
      <c r="AG38" s="485"/>
      <c r="AH38" s="485"/>
      <c r="AI38" s="485">
        <v>2.5</v>
      </c>
      <c r="AJ38" s="485"/>
      <c r="AK38" s="486"/>
    </row>
    <row r="39" spans="1:37" ht="18" customHeight="1">
      <c r="A39" s="305"/>
      <c r="B39" s="364" t="s">
        <v>111</v>
      </c>
      <c r="C39" s="448" t="s">
        <v>112</v>
      </c>
      <c r="D39" s="366" t="s">
        <v>113</v>
      </c>
      <c r="E39" s="488">
        <v>2.5</v>
      </c>
      <c r="F39" s="489"/>
      <c r="G39" s="489"/>
      <c r="H39" s="488">
        <v>2.5</v>
      </c>
      <c r="I39" s="489"/>
      <c r="J39" s="489"/>
      <c r="K39" s="488">
        <v>2.5</v>
      </c>
      <c r="L39" s="489"/>
      <c r="M39" s="489"/>
      <c r="N39" s="489">
        <v>2.5</v>
      </c>
      <c r="O39" s="489"/>
      <c r="P39" s="489"/>
      <c r="Q39" s="489">
        <v>2.5</v>
      </c>
      <c r="R39" s="489"/>
      <c r="S39" s="490"/>
      <c r="T39" s="489">
        <v>2.5</v>
      </c>
      <c r="U39" s="489"/>
      <c r="V39" s="490"/>
      <c r="W39" s="491">
        <v>2.5</v>
      </c>
      <c r="X39" s="489"/>
      <c r="Y39" s="489"/>
      <c r="Z39" s="489">
        <v>2.5</v>
      </c>
      <c r="AA39" s="489"/>
      <c r="AB39" s="489"/>
      <c r="AC39" s="489">
        <v>2.5</v>
      </c>
      <c r="AD39" s="489"/>
      <c r="AE39" s="489"/>
      <c r="AF39" s="489">
        <v>2.5</v>
      </c>
      <c r="AG39" s="489"/>
      <c r="AH39" s="489"/>
      <c r="AI39" s="489">
        <v>2.5</v>
      </c>
      <c r="AJ39" s="489"/>
      <c r="AK39" s="490"/>
    </row>
    <row r="40" spans="1:37" ht="18" customHeight="1">
      <c r="A40" s="305"/>
      <c r="B40" s="175" t="s">
        <v>114</v>
      </c>
      <c r="C40" s="367"/>
      <c r="D40" s="319"/>
      <c r="E40" s="328"/>
      <c r="F40" s="329"/>
      <c r="G40" s="329"/>
      <c r="H40" s="328"/>
      <c r="I40" s="329"/>
      <c r="J40" s="329"/>
      <c r="K40" s="328"/>
      <c r="L40" s="329">
        <v>780</v>
      </c>
      <c r="M40" s="329">
        <v>700</v>
      </c>
      <c r="N40" s="329"/>
      <c r="O40" s="329">
        <v>780</v>
      </c>
      <c r="P40" s="329">
        <v>700</v>
      </c>
      <c r="Q40" s="329"/>
      <c r="R40" s="329">
        <v>780</v>
      </c>
      <c r="S40" s="352">
        <v>700</v>
      </c>
      <c r="T40" s="357"/>
      <c r="U40" s="329">
        <v>780</v>
      </c>
      <c r="V40" s="329">
        <v>700</v>
      </c>
      <c r="W40" s="133">
        <f>Y40*1.8</f>
        <v>900</v>
      </c>
      <c r="X40" s="134">
        <f>Y40*1.1</f>
        <v>550</v>
      </c>
      <c r="Y40" s="134">
        <v>500</v>
      </c>
      <c r="Z40" s="134">
        <f>AB40*1.8</f>
        <v>990</v>
      </c>
      <c r="AA40" s="134">
        <f>AB40*1.1</f>
        <v>605</v>
      </c>
      <c r="AB40" s="191">
        <v>550</v>
      </c>
      <c r="AC40" s="134">
        <f>AE40*1.8</f>
        <v>1080</v>
      </c>
      <c r="AD40" s="134">
        <f>AE40*1.1</f>
        <v>660</v>
      </c>
      <c r="AE40" s="191">
        <v>600</v>
      </c>
      <c r="AF40" s="134">
        <f>AH40*1.8</f>
        <v>1170</v>
      </c>
      <c r="AG40" s="134">
        <f>AH40*1.1</f>
        <v>715.00000000000011</v>
      </c>
      <c r="AH40" s="191">
        <v>650</v>
      </c>
      <c r="AI40" s="165">
        <f>AK40*1.8</f>
        <v>1260</v>
      </c>
      <c r="AJ40" s="134">
        <f>AK40*1.1</f>
        <v>770.00000000000011</v>
      </c>
      <c r="AK40" s="215">
        <v>700</v>
      </c>
    </row>
    <row r="41" spans="1:37" ht="18" customHeight="1">
      <c r="A41" s="305"/>
      <c r="B41" s="515" t="s">
        <v>115</v>
      </c>
      <c r="C41" s="492" t="s">
        <v>116</v>
      </c>
      <c r="D41" s="493"/>
      <c r="E41" s="380"/>
      <c r="F41" s="381" t="s">
        <v>57</v>
      </c>
      <c r="G41" s="381" t="s">
        <v>57</v>
      </c>
      <c r="H41" s="380"/>
      <c r="I41" s="381" t="s">
        <v>57</v>
      </c>
      <c r="J41" s="381" t="s">
        <v>57</v>
      </c>
      <c r="K41" s="380"/>
      <c r="L41" s="381">
        <v>300</v>
      </c>
      <c r="M41" s="381">
        <v>300</v>
      </c>
      <c r="N41" s="384"/>
      <c r="O41" s="381">
        <v>300</v>
      </c>
      <c r="P41" s="381">
        <v>300</v>
      </c>
      <c r="Q41" s="384"/>
      <c r="R41" s="381">
        <v>300</v>
      </c>
      <c r="S41" s="404">
        <v>300</v>
      </c>
      <c r="T41" s="388"/>
      <c r="U41" s="381">
        <v>300</v>
      </c>
      <c r="V41" s="381">
        <v>300</v>
      </c>
      <c r="W41" s="192">
        <v>300</v>
      </c>
      <c r="X41" s="178">
        <v>300</v>
      </c>
      <c r="Y41" s="204">
        <v>300</v>
      </c>
      <c r="Z41" s="178">
        <v>300</v>
      </c>
      <c r="AA41" s="178">
        <v>300</v>
      </c>
      <c r="AB41" s="204">
        <v>300</v>
      </c>
      <c r="AC41" s="204">
        <v>300</v>
      </c>
      <c r="AD41" s="204">
        <v>300</v>
      </c>
      <c r="AE41" s="204">
        <v>300</v>
      </c>
      <c r="AF41" s="204">
        <v>300</v>
      </c>
      <c r="AG41" s="204">
        <v>300</v>
      </c>
      <c r="AH41" s="204">
        <v>300</v>
      </c>
      <c r="AI41" s="179">
        <v>300</v>
      </c>
      <c r="AJ41" s="178">
        <v>300</v>
      </c>
      <c r="AK41" s="217">
        <v>300</v>
      </c>
    </row>
    <row r="42" spans="1:37" ht="18" customHeight="1">
      <c r="A42" s="305"/>
      <c r="B42" s="516"/>
      <c r="C42" s="494" t="s">
        <v>117</v>
      </c>
      <c r="D42" s="495"/>
      <c r="E42" s="382"/>
      <c r="F42" s="383" t="s">
        <v>51</v>
      </c>
      <c r="G42" s="383" t="s">
        <v>51</v>
      </c>
      <c r="H42" s="382"/>
      <c r="I42" s="383" t="s">
        <v>51</v>
      </c>
      <c r="J42" s="383" t="s">
        <v>51</v>
      </c>
      <c r="K42" s="382"/>
      <c r="L42" s="383">
        <f>L40+L41</f>
        <v>1080</v>
      </c>
      <c r="M42" s="383">
        <f>M40+M41</f>
        <v>1000</v>
      </c>
      <c r="N42" s="383"/>
      <c r="O42" s="383">
        <f>O40+O41</f>
        <v>1080</v>
      </c>
      <c r="P42" s="383">
        <f>P40+P41</f>
        <v>1000</v>
      </c>
      <c r="Q42" s="383"/>
      <c r="R42" s="383">
        <f>R40+R41</f>
        <v>1080</v>
      </c>
      <c r="S42" s="405">
        <f>S40+S41</f>
        <v>1000</v>
      </c>
      <c r="T42" s="406"/>
      <c r="U42" s="383">
        <f>U40+U41</f>
        <v>1080</v>
      </c>
      <c r="V42" s="383">
        <f>V40+V41</f>
        <v>1000</v>
      </c>
      <c r="W42" s="193">
        <f>W40+W41</f>
        <v>1200</v>
      </c>
      <c r="X42" s="194">
        <f>X40+X41</f>
        <v>850</v>
      </c>
      <c r="Y42" s="194">
        <f>Y40+Y41</f>
        <v>800</v>
      </c>
      <c r="Z42" s="194">
        <f t="shared" ref="Z42:AK42" si="0">Z40+Z41</f>
        <v>1290</v>
      </c>
      <c r="AA42" s="194">
        <f t="shared" si="0"/>
        <v>905</v>
      </c>
      <c r="AB42" s="194">
        <f t="shared" si="0"/>
        <v>850</v>
      </c>
      <c r="AC42" s="194">
        <f t="shared" si="0"/>
        <v>1380</v>
      </c>
      <c r="AD42" s="194">
        <f t="shared" si="0"/>
        <v>960</v>
      </c>
      <c r="AE42" s="194">
        <f t="shared" si="0"/>
        <v>900</v>
      </c>
      <c r="AF42" s="194">
        <f t="shared" si="0"/>
        <v>1470</v>
      </c>
      <c r="AG42" s="194">
        <f t="shared" si="0"/>
        <v>1015.0000000000001</v>
      </c>
      <c r="AH42" s="194">
        <f t="shared" si="0"/>
        <v>950</v>
      </c>
      <c r="AI42" s="194">
        <f t="shared" si="0"/>
        <v>1560</v>
      </c>
      <c r="AJ42" s="194">
        <f t="shared" si="0"/>
        <v>1070</v>
      </c>
      <c r="AK42" s="194">
        <f t="shared" si="0"/>
        <v>1000</v>
      </c>
    </row>
    <row r="43" spans="1:37" ht="18" customHeight="1">
      <c r="A43" s="305"/>
      <c r="B43" s="517" t="s">
        <v>118</v>
      </c>
      <c r="C43" s="496"/>
      <c r="D43" s="497"/>
      <c r="E43" s="380"/>
      <c r="F43" s="384" t="s">
        <v>57</v>
      </c>
      <c r="G43" s="384" t="s">
        <v>57</v>
      </c>
      <c r="H43" s="380"/>
      <c r="I43" s="384" t="s">
        <v>57</v>
      </c>
      <c r="J43" s="384" t="s">
        <v>57</v>
      </c>
      <c r="K43" s="333"/>
      <c r="L43" s="334"/>
      <c r="M43" s="334"/>
      <c r="N43" s="334"/>
      <c r="O43" s="334"/>
      <c r="P43" s="334"/>
      <c r="Q43" s="334"/>
      <c r="R43" s="334"/>
      <c r="S43" s="407"/>
      <c r="T43" s="334"/>
      <c r="U43" s="334"/>
      <c r="V43" s="407"/>
      <c r="W43" s="368"/>
      <c r="X43" s="420"/>
      <c r="Y43" s="420"/>
      <c r="Z43" s="420"/>
      <c r="AA43" s="420"/>
      <c r="AB43" s="334"/>
      <c r="AC43" s="334"/>
      <c r="AD43" s="334"/>
      <c r="AE43" s="334"/>
      <c r="AF43" s="334"/>
      <c r="AG43" s="334"/>
      <c r="AH43" s="407"/>
      <c r="AI43" s="368"/>
      <c r="AJ43" s="420"/>
      <c r="AK43" s="407"/>
    </row>
    <row r="44" spans="1:37" ht="18" customHeight="1">
      <c r="A44" s="305"/>
      <c r="B44" s="518"/>
      <c r="C44" s="498"/>
      <c r="D44" s="499"/>
      <c r="E44" s="382"/>
      <c r="F44" s="383">
        <v>3977</v>
      </c>
      <c r="G44" s="383">
        <v>3897</v>
      </c>
      <c r="H44" s="382"/>
      <c r="I44" s="383">
        <v>3977</v>
      </c>
      <c r="J44" s="383">
        <v>3897</v>
      </c>
      <c r="K44" s="256"/>
      <c r="L44" s="336">
        <v>3977</v>
      </c>
      <c r="M44" s="336">
        <v>3897</v>
      </c>
      <c r="N44" s="336"/>
      <c r="O44" s="336">
        <v>4000</v>
      </c>
      <c r="P44" s="336">
        <v>3920</v>
      </c>
      <c r="Q44" s="336"/>
      <c r="R44" s="336">
        <v>6987</v>
      </c>
      <c r="S44" s="408">
        <v>6907</v>
      </c>
      <c r="T44" s="336"/>
      <c r="U44" s="336">
        <v>6987</v>
      </c>
      <c r="V44" s="408">
        <v>6907</v>
      </c>
      <c r="W44" s="360">
        <v>4341</v>
      </c>
      <c r="X44" s="336">
        <v>3627</v>
      </c>
      <c r="Y44" s="336">
        <v>3567</v>
      </c>
      <c r="Z44" s="336">
        <v>4473</v>
      </c>
      <c r="AA44" s="336">
        <v>3709</v>
      </c>
      <c r="AB44" s="336">
        <v>3644</v>
      </c>
      <c r="AC44" s="336">
        <v>4610</v>
      </c>
      <c r="AD44" s="336">
        <v>3794</v>
      </c>
      <c r="AE44" s="336">
        <v>3724</v>
      </c>
      <c r="AF44" s="336">
        <v>4610</v>
      </c>
      <c r="AG44" s="336">
        <v>3794</v>
      </c>
      <c r="AH44" s="408">
        <v>3724</v>
      </c>
      <c r="AI44" s="360">
        <v>4865</v>
      </c>
      <c r="AJ44" s="336">
        <v>3948</v>
      </c>
      <c r="AK44" s="408">
        <v>3868</v>
      </c>
    </row>
    <row r="45" spans="1:37" ht="18" customHeight="1">
      <c r="A45" s="305"/>
      <c r="B45" s="181" t="s">
        <v>119</v>
      </c>
      <c r="C45" s="342"/>
      <c r="D45" s="366"/>
      <c r="E45" s="466" t="s">
        <v>51</v>
      </c>
      <c r="F45" s="468"/>
      <c r="G45" s="468"/>
      <c r="H45" s="466" t="s">
        <v>51</v>
      </c>
      <c r="I45" s="468"/>
      <c r="J45" s="468"/>
      <c r="K45" s="466" t="s">
        <v>51</v>
      </c>
      <c r="L45" s="468"/>
      <c r="M45" s="468"/>
      <c r="N45" s="467" t="s">
        <v>51</v>
      </c>
      <c r="O45" s="468"/>
      <c r="P45" s="468"/>
      <c r="Q45" s="467" t="s">
        <v>51</v>
      </c>
      <c r="R45" s="468"/>
      <c r="S45" s="469"/>
      <c r="T45" s="467" t="s">
        <v>51</v>
      </c>
      <c r="U45" s="468"/>
      <c r="V45" s="469"/>
      <c r="W45" s="470" t="s">
        <v>51</v>
      </c>
      <c r="X45" s="468"/>
      <c r="Y45" s="468"/>
      <c r="Z45" s="489" t="s">
        <v>51</v>
      </c>
      <c r="AA45" s="489"/>
      <c r="AB45" s="489"/>
      <c r="AC45" s="489" t="s">
        <v>51</v>
      </c>
      <c r="AD45" s="489"/>
      <c r="AE45" s="489"/>
      <c r="AF45" s="489" t="s">
        <v>51</v>
      </c>
      <c r="AG45" s="489"/>
      <c r="AH45" s="490"/>
      <c r="AI45" s="491" t="s">
        <v>51</v>
      </c>
      <c r="AJ45" s="489"/>
      <c r="AK45" s="490"/>
    </row>
    <row r="46" spans="1:37" ht="18" customHeight="1">
      <c r="A46" s="305"/>
      <c r="B46" s="181" t="s">
        <v>120</v>
      </c>
      <c r="C46" s="342"/>
      <c r="D46" s="366"/>
      <c r="E46" s="328"/>
      <c r="F46" s="383" t="s">
        <v>51</v>
      </c>
      <c r="G46" s="383" t="s">
        <v>51</v>
      </c>
      <c r="H46" s="328"/>
      <c r="I46" s="383" t="s">
        <v>51</v>
      </c>
      <c r="J46" s="383" t="s">
        <v>51</v>
      </c>
      <c r="K46" s="328"/>
      <c r="L46" s="383" t="s">
        <v>51</v>
      </c>
      <c r="M46" s="383" t="s">
        <v>51</v>
      </c>
      <c r="N46" s="329"/>
      <c r="O46" s="383" t="s">
        <v>51</v>
      </c>
      <c r="P46" s="383" t="s">
        <v>51</v>
      </c>
      <c r="Q46" s="329"/>
      <c r="R46" s="383" t="s">
        <v>51</v>
      </c>
      <c r="S46" s="405" t="s">
        <v>51</v>
      </c>
      <c r="T46" s="329"/>
      <c r="U46" s="383" t="s">
        <v>51</v>
      </c>
      <c r="V46" s="405" t="s">
        <v>51</v>
      </c>
      <c r="W46" s="357" t="s">
        <v>51</v>
      </c>
      <c r="X46" s="329" t="s">
        <v>51</v>
      </c>
      <c r="Y46" s="329" t="s">
        <v>51</v>
      </c>
      <c r="Z46" s="329" t="s">
        <v>51</v>
      </c>
      <c r="AA46" s="329" t="s">
        <v>51</v>
      </c>
      <c r="AB46" s="329" t="s">
        <v>51</v>
      </c>
      <c r="AC46" s="329" t="s">
        <v>51</v>
      </c>
      <c r="AD46" s="329" t="s">
        <v>51</v>
      </c>
      <c r="AE46" s="329" t="s">
        <v>51</v>
      </c>
      <c r="AF46" s="329" t="s">
        <v>51</v>
      </c>
      <c r="AG46" s="329" t="s">
        <v>51</v>
      </c>
      <c r="AH46" s="352" t="s">
        <v>51</v>
      </c>
      <c r="AI46" s="357" t="s">
        <v>51</v>
      </c>
      <c r="AJ46" s="329" t="s">
        <v>51</v>
      </c>
      <c r="AK46" s="352" t="s">
        <v>51</v>
      </c>
    </row>
    <row r="47" spans="1:37" ht="33.950000000000003" customHeight="1">
      <c r="A47" s="305"/>
      <c r="B47" s="519" t="s">
        <v>121</v>
      </c>
      <c r="C47" s="496"/>
      <c r="D47" s="497"/>
      <c r="E47" s="177"/>
      <c r="F47" s="334" t="s">
        <v>57</v>
      </c>
      <c r="G47" s="334" t="s">
        <v>57</v>
      </c>
      <c r="H47" s="177"/>
      <c r="I47" s="334" t="s">
        <v>57</v>
      </c>
      <c r="J47" s="334" t="s">
        <v>57</v>
      </c>
      <c r="K47" s="177"/>
      <c r="L47" s="334" t="s">
        <v>122</v>
      </c>
      <c r="M47" s="334" t="s">
        <v>122</v>
      </c>
      <c r="N47" s="398"/>
      <c r="O47" s="334" t="s">
        <v>122</v>
      </c>
      <c r="P47" s="334" t="s">
        <v>122</v>
      </c>
      <c r="Q47" s="398"/>
      <c r="R47" s="398" t="s">
        <v>122</v>
      </c>
      <c r="S47" s="409" t="s">
        <v>122</v>
      </c>
      <c r="T47" s="398"/>
      <c r="U47" s="398" t="s">
        <v>122</v>
      </c>
      <c r="V47" s="409" t="s">
        <v>122</v>
      </c>
      <c r="W47" s="421" t="s">
        <v>122</v>
      </c>
      <c r="X47" s="421" t="s">
        <v>122</v>
      </c>
      <c r="Y47" s="421" t="s">
        <v>122</v>
      </c>
      <c r="Z47" s="398" t="s">
        <v>122</v>
      </c>
      <c r="AA47" s="421" t="s">
        <v>122</v>
      </c>
      <c r="AB47" s="421" t="s">
        <v>122</v>
      </c>
      <c r="AC47" s="398" t="s">
        <v>122</v>
      </c>
      <c r="AD47" s="398" t="s">
        <v>122</v>
      </c>
      <c r="AE47" s="398" t="s">
        <v>122</v>
      </c>
      <c r="AF47" s="398"/>
      <c r="AG47" s="398" t="s">
        <v>122</v>
      </c>
      <c r="AH47" s="409" t="s">
        <v>122</v>
      </c>
      <c r="AI47" s="421"/>
      <c r="AJ47" s="421" t="s">
        <v>122</v>
      </c>
      <c r="AK47" s="439" t="s">
        <v>122</v>
      </c>
    </row>
    <row r="48" spans="1:37" ht="40.5">
      <c r="A48" s="305"/>
      <c r="B48" s="520"/>
      <c r="C48" s="500"/>
      <c r="D48" s="501"/>
      <c r="E48" s="385"/>
      <c r="F48" s="386" t="s">
        <v>123</v>
      </c>
      <c r="G48" s="386" t="s">
        <v>123</v>
      </c>
      <c r="H48" s="385"/>
      <c r="I48" s="386" t="s">
        <v>123</v>
      </c>
      <c r="J48" s="386" t="s">
        <v>123</v>
      </c>
      <c r="K48" s="385"/>
      <c r="L48" s="386" t="s">
        <v>124</v>
      </c>
      <c r="M48" s="386" t="s">
        <v>125</v>
      </c>
      <c r="N48" s="399"/>
      <c r="O48" s="386" t="s">
        <v>126</v>
      </c>
      <c r="P48" s="386" t="s">
        <v>127</v>
      </c>
      <c r="Q48" s="410"/>
      <c r="R48" s="386" t="s">
        <v>128</v>
      </c>
      <c r="S48" s="411" t="s">
        <v>129</v>
      </c>
      <c r="T48" s="412"/>
      <c r="U48" s="422" t="s">
        <v>130</v>
      </c>
      <c r="V48" s="423" t="s">
        <v>130</v>
      </c>
      <c r="W48" s="412" t="s">
        <v>131</v>
      </c>
      <c r="X48" s="410" t="s">
        <v>132</v>
      </c>
      <c r="Y48" s="410" t="s">
        <v>133</v>
      </c>
      <c r="Z48" s="410" t="s">
        <v>134</v>
      </c>
      <c r="AA48" s="410" t="s">
        <v>135</v>
      </c>
      <c r="AB48" s="410" t="s">
        <v>136</v>
      </c>
      <c r="AC48" s="410" t="s">
        <v>137</v>
      </c>
      <c r="AD48" s="410" t="s">
        <v>138</v>
      </c>
      <c r="AE48" s="410" t="s">
        <v>139</v>
      </c>
      <c r="AF48" s="410" t="s">
        <v>140</v>
      </c>
      <c r="AG48" s="410" t="s">
        <v>141</v>
      </c>
      <c r="AH48" s="411" t="s">
        <v>127</v>
      </c>
      <c r="AI48" s="412" t="s">
        <v>142</v>
      </c>
      <c r="AJ48" s="386" t="s">
        <v>143</v>
      </c>
      <c r="AK48" s="411" t="s">
        <v>144</v>
      </c>
    </row>
    <row r="49" spans="1:37" ht="33.950000000000003" customHeight="1">
      <c r="A49" s="305"/>
      <c r="B49" s="519" t="s">
        <v>145</v>
      </c>
      <c r="C49" s="502" t="s">
        <v>146</v>
      </c>
      <c r="D49" s="503"/>
      <c r="E49" s="387"/>
      <c r="F49" s="384"/>
      <c r="G49" s="384">
        <v>2545</v>
      </c>
      <c r="H49" s="388"/>
      <c r="I49" s="388"/>
      <c r="J49" s="388">
        <v>2709</v>
      </c>
      <c r="K49" s="387"/>
      <c r="L49" s="384">
        <v>2454</v>
      </c>
      <c r="M49" s="384">
        <v>2454</v>
      </c>
      <c r="N49" s="400"/>
      <c r="O49" s="384">
        <v>2676</v>
      </c>
      <c r="P49" s="384">
        <v>2676</v>
      </c>
      <c r="Q49" s="400"/>
      <c r="R49" s="400">
        <v>4081</v>
      </c>
      <c r="S49" s="413">
        <v>4081</v>
      </c>
      <c r="T49" s="400"/>
      <c r="U49" s="400">
        <v>4105</v>
      </c>
      <c r="V49" s="413">
        <v>4105</v>
      </c>
      <c r="W49" s="424">
        <v>3242</v>
      </c>
      <c r="X49" s="424">
        <v>2008</v>
      </c>
      <c r="Y49" s="424">
        <v>2008</v>
      </c>
      <c r="Z49" s="400">
        <v>3552</v>
      </c>
      <c r="AA49" s="424">
        <v>3547</v>
      </c>
      <c r="AB49" s="424">
        <v>3547</v>
      </c>
      <c r="AC49" s="400">
        <v>4061</v>
      </c>
      <c r="AD49" s="400">
        <v>4061</v>
      </c>
      <c r="AE49" s="400">
        <v>4061</v>
      </c>
      <c r="AF49" s="400">
        <v>4359</v>
      </c>
      <c r="AG49" s="400">
        <v>4359</v>
      </c>
      <c r="AH49" s="413">
        <v>4359</v>
      </c>
      <c r="AI49" s="424">
        <v>4767</v>
      </c>
      <c r="AJ49" s="424">
        <v>4767</v>
      </c>
      <c r="AK49" s="440">
        <v>4767</v>
      </c>
    </row>
    <row r="50" spans="1:37" ht="33.950000000000003" customHeight="1">
      <c r="A50" s="305"/>
      <c r="B50" s="520"/>
      <c r="C50" s="504" t="s">
        <v>147</v>
      </c>
      <c r="D50" s="505"/>
      <c r="E50" s="389"/>
      <c r="F50" s="390"/>
      <c r="G50" s="390">
        <v>7306</v>
      </c>
      <c r="H50" s="391"/>
      <c r="I50" s="391"/>
      <c r="J50" s="391">
        <v>7481</v>
      </c>
      <c r="K50" s="389"/>
      <c r="L50" s="390">
        <v>6682</v>
      </c>
      <c r="M50" s="390">
        <v>6659</v>
      </c>
      <c r="N50" s="401"/>
      <c r="O50" s="390">
        <v>7013</v>
      </c>
      <c r="P50" s="390">
        <v>6991</v>
      </c>
      <c r="Q50" s="390"/>
      <c r="R50" s="414">
        <v>11058</v>
      </c>
      <c r="S50" s="415">
        <v>11028</v>
      </c>
      <c r="T50" s="390"/>
      <c r="U50" s="414">
        <v>11884</v>
      </c>
      <c r="V50" s="415">
        <v>11859</v>
      </c>
      <c r="W50" s="391">
        <v>9502</v>
      </c>
      <c r="X50" s="390">
        <v>9200</v>
      </c>
      <c r="Y50" s="391">
        <v>9160</v>
      </c>
      <c r="Z50" s="390">
        <v>10036</v>
      </c>
      <c r="AA50" s="390">
        <v>9530</v>
      </c>
      <c r="AB50" s="390">
        <v>9487</v>
      </c>
      <c r="AC50" s="390">
        <v>10984</v>
      </c>
      <c r="AD50" s="390">
        <v>10331</v>
      </c>
      <c r="AE50" s="390">
        <v>10284</v>
      </c>
      <c r="AF50" s="390">
        <v>11483</v>
      </c>
      <c r="AG50" s="390">
        <v>11057</v>
      </c>
      <c r="AH50" s="432">
        <v>11007</v>
      </c>
      <c r="AI50" s="391">
        <v>11938</v>
      </c>
      <c r="AJ50" s="414">
        <v>11704</v>
      </c>
      <c r="AK50" s="415">
        <v>11651</v>
      </c>
    </row>
    <row r="51" spans="1:37" ht="33.950000000000003" customHeight="1">
      <c r="A51" s="305"/>
      <c r="B51" s="369" t="s">
        <v>148</v>
      </c>
      <c r="C51" s="370"/>
      <c r="D51" s="371"/>
      <c r="E51" s="392"/>
      <c r="F51" s="393"/>
      <c r="G51" s="393"/>
      <c r="H51" s="394"/>
      <c r="I51" s="394"/>
      <c r="J51" s="394"/>
      <c r="K51" s="392"/>
      <c r="L51" s="393"/>
      <c r="M51" s="393"/>
      <c r="N51" s="402"/>
      <c r="O51" s="393"/>
      <c r="P51" s="393"/>
      <c r="Q51" s="393"/>
      <c r="R51" s="416"/>
      <c r="S51" s="417"/>
      <c r="T51" s="393"/>
      <c r="U51" s="416"/>
      <c r="V51" s="417"/>
      <c r="W51" s="394"/>
      <c r="X51" s="394"/>
      <c r="Y51" s="394"/>
      <c r="Z51" s="393"/>
      <c r="AA51" s="394"/>
      <c r="AB51" s="394"/>
      <c r="AC51" s="393"/>
      <c r="AD51" s="393"/>
      <c r="AE51" s="393"/>
      <c r="AF51" s="393">
        <v>2405.7399999999998</v>
      </c>
      <c r="AG51" s="393"/>
      <c r="AH51" s="433"/>
      <c r="AI51" s="394">
        <v>2412.08</v>
      </c>
      <c r="AJ51" s="434"/>
      <c r="AK51" s="441"/>
    </row>
    <row r="52" spans="1:37" ht="33.950000000000003" customHeight="1">
      <c r="A52" s="305"/>
      <c r="B52" s="372" t="s">
        <v>149</v>
      </c>
      <c r="C52" s="365"/>
      <c r="D52" s="361"/>
      <c r="E52" s="328"/>
      <c r="F52" s="332"/>
      <c r="G52" s="332"/>
      <c r="H52" s="358"/>
      <c r="I52" s="358"/>
      <c r="J52" s="358"/>
      <c r="K52" s="328"/>
      <c r="L52" s="332"/>
      <c r="M52" s="332"/>
      <c r="N52" s="329"/>
      <c r="O52" s="332"/>
      <c r="P52" s="332"/>
      <c r="Q52" s="332"/>
      <c r="R52" s="418"/>
      <c r="S52" s="419"/>
      <c r="T52" s="332"/>
      <c r="U52" s="425">
        <v>73.5</v>
      </c>
      <c r="V52" s="426">
        <v>73.5</v>
      </c>
      <c r="W52" s="358"/>
      <c r="X52" s="358"/>
      <c r="Y52" s="358"/>
      <c r="Z52" s="332"/>
      <c r="AA52" s="358"/>
      <c r="AB52" s="358"/>
      <c r="AC52" s="429">
        <v>73.8</v>
      </c>
      <c r="AD52" s="429">
        <v>73.8</v>
      </c>
      <c r="AE52" s="429">
        <v>73.8</v>
      </c>
      <c r="AF52" s="429">
        <v>83</v>
      </c>
      <c r="AG52" s="429">
        <v>83</v>
      </c>
      <c r="AH52" s="435">
        <v>83</v>
      </c>
      <c r="AI52" s="436">
        <v>80.7</v>
      </c>
      <c r="AJ52" s="437">
        <v>80.7</v>
      </c>
      <c r="AK52" s="442">
        <v>80.7</v>
      </c>
    </row>
    <row r="53" spans="1:37" ht="33.950000000000003" customHeight="1">
      <c r="A53" s="305"/>
      <c r="B53" s="521" t="s">
        <v>150</v>
      </c>
      <c r="C53" s="506" t="s">
        <v>146</v>
      </c>
      <c r="D53" s="507"/>
      <c r="E53" s="387"/>
      <c r="F53" s="384"/>
      <c r="G53" s="384"/>
      <c r="H53" s="388"/>
      <c r="I53" s="388"/>
      <c r="J53" s="388"/>
      <c r="K53" s="387"/>
      <c r="L53" s="384">
        <v>-1590</v>
      </c>
      <c r="M53" s="384">
        <v>-1590</v>
      </c>
      <c r="N53" s="400"/>
      <c r="O53" s="384">
        <v>-1809</v>
      </c>
      <c r="P53" s="384">
        <v>-1809</v>
      </c>
      <c r="Q53" s="400"/>
      <c r="R53" s="400"/>
      <c r="S53" s="413"/>
      <c r="T53" s="400"/>
      <c r="U53" s="400"/>
      <c r="V53" s="413"/>
      <c r="W53" s="424"/>
      <c r="X53" s="424"/>
      <c r="Y53" s="424"/>
      <c r="Z53" s="400"/>
      <c r="AA53" s="424"/>
      <c r="AB53" s="424"/>
      <c r="AC53" s="400"/>
      <c r="AD53" s="400"/>
      <c r="AE53" s="400"/>
      <c r="AF53" s="400"/>
      <c r="AG53" s="400"/>
      <c r="AH53" s="413"/>
      <c r="AI53" s="424"/>
      <c r="AJ53" s="424"/>
      <c r="AK53" s="440"/>
    </row>
    <row r="54" spans="1:37" ht="33.950000000000003" customHeight="1">
      <c r="A54" s="305"/>
      <c r="B54" s="522"/>
      <c r="C54" s="508" t="s">
        <v>151</v>
      </c>
      <c r="D54" s="509"/>
      <c r="E54" s="389"/>
      <c r="F54" s="390"/>
      <c r="G54" s="390"/>
      <c r="H54" s="391"/>
      <c r="I54" s="391"/>
      <c r="J54" s="391"/>
      <c r="K54" s="389"/>
      <c r="L54" s="390">
        <v>1975</v>
      </c>
      <c r="M54" s="390">
        <v>1952</v>
      </c>
      <c r="N54" s="401"/>
      <c r="O54" s="390">
        <v>1781</v>
      </c>
      <c r="P54" s="390">
        <v>1758</v>
      </c>
      <c r="Q54" s="390"/>
      <c r="R54" s="414"/>
      <c r="S54" s="415"/>
      <c r="T54" s="390"/>
      <c r="U54" s="414"/>
      <c r="V54" s="415"/>
      <c r="W54" s="391"/>
      <c r="X54" s="390"/>
      <c r="Y54" s="390"/>
      <c r="Z54" s="390"/>
      <c r="AA54" s="390"/>
      <c r="AB54" s="390"/>
      <c r="AC54" s="390"/>
      <c r="AD54" s="390"/>
      <c r="AE54" s="390"/>
      <c r="AF54" s="390"/>
      <c r="AG54" s="390"/>
      <c r="AH54" s="432"/>
      <c r="AI54" s="391"/>
      <c r="AJ54" s="414"/>
      <c r="AK54" s="415"/>
    </row>
    <row r="55" spans="1:37" s="288" customFormat="1" ht="18.95" customHeight="1">
      <c r="A55" s="373"/>
      <c r="B55" s="374"/>
      <c r="C55" s="374"/>
      <c r="D55" s="375"/>
      <c r="E55" s="375"/>
      <c r="F55" s="375"/>
      <c r="G55" s="375"/>
      <c r="H55" s="375"/>
      <c r="I55" s="375"/>
      <c r="J55" s="375"/>
      <c r="K55" s="395"/>
      <c r="L55" s="395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  <c r="AA55" s="374"/>
      <c r="AB55" s="374"/>
      <c r="AC55" s="374"/>
      <c r="AD55" s="374"/>
      <c r="AE55" s="374"/>
      <c r="AF55" s="374"/>
      <c r="AG55" s="374"/>
      <c r="AH55" s="374"/>
      <c r="AI55" s="374"/>
      <c r="AJ55" s="374"/>
      <c r="AK55" s="374"/>
    </row>
    <row r="56" spans="1:37" ht="18.95" customHeight="1">
      <c r="A56" s="32"/>
      <c r="B56" s="33" t="s">
        <v>152</v>
      </c>
      <c r="C56" s="376"/>
      <c r="D56" s="376"/>
      <c r="E56" s="376"/>
      <c r="F56" s="376"/>
      <c r="G56" s="376"/>
      <c r="H56" s="376"/>
      <c r="I56" s="376"/>
      <c r="J56" s="376"/>
      <c r="K56" s="396"/>
      <c r="L56" s="396"/>
      <c r="M56" s="396"/>
      <c r="N56" s="32"/>
      <c r="O56" s="32"/>
      <c r="P56" s="32"/>
      <c r="Q56" s="32"/>
      <c r="R56" s="32"/>
      <c r="S56" s="32"/>
      <c r="T56" s="32"/>
      <c r="U56" s="32"/>
      <c r="V56" s="32"/>
      <c r="W56" s="32"/>
      <c r="Y56" s="427"/>
      <c r="AB56" s="428"/>
      <c r="AC56" s="430"/>
      <c r="AD56" s="431"/>
      <c r="AE56" s="428"/>
      <c r="AF56" s="428"/>
      <c r="AG56" s="428"/>
      <c r="AH56" s="428"/>
      <c r="AJ56" s="438" t="s">
        <v>6</v>
      </c>
      <c r="AK56" s="443"/>
    </row>
    <row r="57" spans="1:37" ht="15.95" customHeight="1">
      <c r="A57" s="32"/>
      <c r="B57" s="32"/>
      <c r="C57" s="377" t="s">
        <v>153</v>
      </c>
      <c r="S57" s="32"/>
      <c r="T57" s="32"/>
      <c r="U57" s="32"/>
      <c r="V57" s="32"/>
      <c r="W57" s="32"/>
      <c r="X57" s="32"/>
      <c r="Y57" s="32"/>
    </row>
    <row r="58" spans="1:37" ht="15.95" customHeight="1">
      <c r="A58" s="32"/>
      <c r="B58" s="32"/>
      <c r="C58" s="32" t="s">
        <v>154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spans="1:37" s="32" customFormat="1" ht="26.25">
      <c r="A59" s="345"/>
      <c r="B59" s="378"/>
      <c r="C59" s="379"/>
      <c r="D59" s="379"/>
      <c r="E59" s="379"/>
      <c r="F59" s="379"/>
      <c r="G59" s="379"/>
      <c r="H59" s="379"/>
      <c r="I59" s="379"/>
      <c r="J59" s="379"/>
      <c r="K59" s="510" t="s">
        <v>155</v>
      </c>
      <c r="L59" s="511"/>
      <c r="M59" s="403"/>
      <c r="N59" s="510"/>
      <c r="O59" s="511"/>
      <c r="P59" s="403"/>
      <c r="Q59" s="510"/>
      <c r="R59" s="511"/>
      <c r="S59" s="379"/>
      <c r="T59" s="379"/>
      <c r="U59" s="379"/>
      <c r="V59" s="379"/>
      <c r="Y59" s="379" t="s">
        <v>156</v>
      </c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  <c r="AJ59" s="379"/>
      <c r="AK59" s="379"/>
    </row>
    <row r="60" spans="1:37" s="32" customFormat="1">
      <c r="A60" s="345"/>
    </row>
    <row r="61" spans="1:37" ht="15.9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</row>
    <row r="62" spans="1:37" ht="13.5" customHeight="1">
      <c r="K62" s="397"/>
      <c r="L62" s="397"/>
      <c r="M62" s="345"/>
      <c r="N62" s="397"/>
      <c r="O62" s="397"/>
      <c r="P62" s="345"/>
      <c r="Q62" s="397"/>
      <c r="R62" s="397"/>
      <c r="S62" s="345"/>
      <c r="T62" s="345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345"/>
      <c r="AG62" s="345"/>
      <c r="AH62" s="345"/>
      <c r="AI62" s="345"/>
      <c r="AJ62" s="345"/>
      <c r="AK62" s="345"/>
    </row>
    <row r="63" spans="1:37" ht="13.5" customHeight="1">
      <c r="K63" s="397"/>
      <c r="L63" s="397"/>
      <c r="N63" s="397"/>
      <c r="O63" s="397"/>
      <c r="Q63" s="397"/>
      <c r="R63" s="397"/>
    </row>
    <row r="65" spans="17:18">
      <c r="Q65" s="32"/>
      <c r="R65" s="32"/>
    </row>
  </sheetData>
  <sheetProtection formatCells="0" insertHyperlinks="0" autoFilter="0"/>
  <mergeCells count="281">
    <mergeCell ref="B35:B37"/>
    <mergeCell ref="B41:B42"/>
    <mergeCell ref="B43:B44"/>
    <mergeCell ref="B47:B48"/>
    <mergeCell ref="B49:B50"/>
    <mergeCell ref="B53:B54"/>
    <mergeCell ref="B7:N8"/>
    <mergeCell ref="B5:N6"/>
    <mergeCell ref="B21:D22"/>
    <mergeCell ref="C47:D47"/>
    <mergeCell ref="C48:D48"/>
    <mergeCell ref="C49:D49"/>
    <mergeCell ref="C50:D50"/>
    <mergeCell ref="C53:D53"/>
    <mergeCell ref="C54:D54"/>
    <mergeCell ref="K59:L59"/>
    <mergeCell ref="N59:O59"/>
    <mergeCell ref="Q59:R59"/>
    <mergeCell ref="AF39:AH39"/>
    <mergeCell ref="AI39:AK39"/>
    <mergeCell ref="C41:D41"/>
    <mergeCell ref="C42:D42"/>
    <mergeCell ref="C43:D43"/>
    <mergeCell ref="C44:D44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E39:G39"/>
    <mergeCell ref="H39:J39"/>
    <mergeCell ref="K39:M39"/>
    <mergeCell ref="N39:P39"/>
    <mergeCell ref="Q39:S39"/>
    <mergeCell ref="T39:V39"/>
    <mergeCell ref="W39:Y39"/>
    <mergeCell ref="Z39:AB39"/>
    <mergeCell ref="AC39:AE39"/>
    <mergeCell ref="AF37:AH37"/>
    <mergeCell ref="AI37:AK37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5:AH35"/>
    <mergeCell ref="AI35:AK35"/>
    <mergeCell ref="E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6:AK36"/>
    <mergeCell ref="E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E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F32:G32"/>
    <mergeCell ref="I32:J32"/>
    <mergeCell ref="L32:M32"/>
    <mergeCell ref="O32:P32"/>
    <mergeCell ref="R32:S32"/>
    <mergeCell ref="U32:V32"/>
    <mergeCell ref="W32:Y32"/>
    <mergeCell ref="Z32:AB32"/>
    <mergeCell ref="AC32:AE32"/>
    <mergeCell ref="AF32:AH32"/>
    <mergeCell ref="AI32:AK32"/>
    <mergeCell ref="F31:G31"/>
    <mergeCell ref="I31:J31"/>
    <mergeCell ref="L31:M31"/>
    <mergeCell ref="O31:P31"/>
    <mergeCell ref="R31:S31"/>
    <mergeCell ref="U31:V31"/>
    <mergeCell ref="W31:Y31"/>
    <mergeCell ref="Z31:AB31"/>
    <mergeCell ref="AC31:AE31"/>
    <mergeCell ref="AF29:AH29"/>
    <mergeCell ref="AI29:AK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E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7:AH27"/>
    <mergeCell ref="AI27:AK27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F27:G27"/>
    <mergeCell ref="I27:J27"/>
    <mergeCell ref="L27:M27"/>
    <mergeCell ref="O27:P27"/>
    <mergeCell ref="R27:S27"/>
    <mergeCell ref="U27:V27"/>
    <mergeCell ref="W27:Y27"/>
    <mergeCell ref="Z27:AB27"/>
    <mergeCell ref="AC27:AE27"/>
    <mergeCell ref="AF25:AH25"/>
    <mergeCell ref="AI25:AK25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E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G23:AH23"/>
    <mergeCell ref="AJ23:AK23"/>
    <mergeCell ref="E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F23:G23"/>
    <mergeCell ref="I23:J23"/>
    <mergeCell ref="L23:M23"/>
    <mergeCell ref="O23:P23"/>
    <mergeCell ref="R23:S23"/>
    <mergeCell ref="U23:V23"/>
    <mergeCell ref="X23:Y23"/>
    <mergeCell ref="AA23:AB23"/>
    <mergeCell ref="AD23:AE23"/>
    <mergeCell ref="AF19:AH19"/>
    <mergeCell ref="AI19:AK19"/>
    <mergeCell ref="F20:G20"/>
    <mergeCell ref="I20:J20"/>
    <mergeCell ref="L20:M20"/>
    <mergeCell ref="O20:P20"/>
    <mergeCell ref="R20:S20"/>
    <mergeCell ref="U20:V20"/>
    <mergeCell ref="W20:Y20"/>
    <mergeCell ref="Z20:AB20"/>
    <mergeCell ref="AC20:AE20"/>
    <mergeCell ref="AF20:AH20"/>
    <mergeCell ref="AI20:AK20"/>
    <mergeCell ref="F19:G19"/>
    <mergeCell ref="I19:J19"/>
    <mergeCell ref="L19:M19"/>
    <mergeCell ref="O19:P19"/>
    <mergeCell ref="R19:S19"/>
    <mergeCell ref="U19:V19"/>
    <mergeCell ref="W19:Y19"/>
    <mergeCell ref="Z19:AB19"/>
    <mergeCell ref="AC19:AE19"/>
    <mergeCell ref="AF17:AH17"/>
    <mergeCell ref="AI17:AK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E10:J10"/>
    <mergeCell ref="K10:V10"/>
    <mergeCell ref="W10:AK10"/>
    <mergeCell ref="K11:AK11"/>
    <mergeCell ref="K12:AK12"/>
    <mergeCell ref="K13:AK13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</mergeCells>
  <pageMargins left="0.74803149606299202" right="0.31496062992126" top="0.39370078740157499" bottom="0.39370078740157499" header="0" footer="0"/>
  <pageSetup paperSize="8" scale="46" orientation="landscape" cellComments="asDisplayed" horizontalDpi="1200" verticalDpi="1200" r:id="rId1"/>
  <headerFooter alignWithMargins="0"/>
  <colBreaks count="1" manualBreakCount="1">
    <brk id="4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C65"/>
  <sheetViews>
    <sheetView view="pageBreakPreview" topLeftCell="A28" zoomScale="85" zoomScaleNormal="85" workbookViewId="0">
      <pane xSplit="4" topLeftCell="E1" activePane="topRight" state="frozen"/>
      <selection pane="topRight" activeCell="Q52" sqref="Q52:S52"/>
    </sheetView>
  </sheetViews>
  <sheetFormatPr defaultColWidth="9" defaultRowHeight="13.5" outlineLevelCol="1"/>
  <cols>
    <col min="1" max="1" width="2.125" style="38" customWidth="1"/>
    <col min="2" max="2" width="23.625" style="38" customWidth="1"/>
    <col min="3" max="3" width="7.625" style="38" customWidth="1"/>
    <col min="4" max="4" width="11.125" style="38" customWidth="1"/>
    <col min="5" max="5" width="16.625" style="38" customWidth="1"/>
    <col min="6" max="7" width="14.625" style="38" customWidth="1"/>
    <col min="8" max="8" width="16.625" style="38" customWidth="1"/>
    <col min="9" max="10" width="14.625" style="38" customWidth="1"/>
    <col min="11" max="11" width="16.625" style="38" customWidth="1"/>
    <col min="12" max="13" width="14.625" style="38" customWidth="1"/>
    <col min="14" max="14" width="16.625" style="38" customWidth="1"/>
    <col min="15" max="16" width="13.125" style="38" customWidth="1"/>
    <col min="17" max="17" width="16.625" style="38" customWidth="1"/>
    <col min="18" max="19" width="13.125" style="38" customWidth="1"/>
    <col min="20" max="20" width="16.625" style="38" hidden="1" customWidth="1" outlineLevel="1"/>
    <col min="21" max="24" width="13.125" style="38" hidden="1" customWidth="1" outlineLevel="1"/>
    <col min="25" max="25" width="10.625" style="38" hidden="1" customWidth="1" outlineLevel="1"/>
    <col min="26" max="27" width="13.125" style="38" hidden="1" customWidth="1" outlineLevel="1"/>
    <col min="28" max="28" width="10.5" style="38" hidden="1" customWidth="1" outlineLevel="1"/>
    <col min="29" max="29" width="9" style="38" collapsed="1"/>
    <col min="30" max="16384" width="9" style="38"/>
  </cols>
  <sheetData>
    <row r="1" spans="1:28" ht="15" customHeight="1">
      <c r="B1" s="87" t="s">
        <v>0</v>
      </c>
      <c r="C1" s="88"/>
      <c r="D1" s="67"/>
      <c r="E1" s="124"/>
      <c r="F1" s="124"/>
      <c r="G1" s="125" t="s">
        <v>1</v>
      </c>
      <c r="H1" s="126"/>
      <c r="I1" s="126"/>
      <c r="J1" s="126"/>
      <c r="K1" s="144"/>
      <c r="L1" s="145"/>
      <c r="M1" s="157"/>
      <c r="N1" s="158"/>
      <c r="O1" s="58"/>
      <c r="P1" s="158"/>
      <c r="Q1" s="158"/>
      <c r="T1" s="158"/>
      <c r="Z1" s="58" t="s">
        <v>2</v>
      </c>
      <c r="AA1" s="158"/>
    </row>
    <row r="2" spans="1:28" ht="15" customHeight="1">
      <c r="A2" s="89"/>
      <c r="B2" s="90"/>
      <c r="C2" s="91"/>
      <c r="D2" s="92"/>
      <c r="E2" s="127"/>
      <c r="F2" s="127"/>
      <c r="G2" s="128" t="s">
        <v>3</v>
      </c>
      <c r="H2" s="129" t="s">
        <v>4</v>
      </c>
      <c r="I2" s="146"/>
      <c r="J2" s="128" t="s">
        <v>5</v>
      </c>
      <c r="K2" s="147"/>
      <c r="L2" s="148"/>
      <c r="M2" s="157"/>
      <c r="N2" s="158"/>
      <c r="O2" s="58"/>
      <c r="P2" s="158"/>
      <c r="Q2" s="158"/>
      <c r="T2" s="158"/>
      <c r="Z2" s="58" t="s">
        <v>6</v>
      </c>
      <c r="AA2" s="158"/>
    </row>
    <row r="3" spans="1:28" ht="17.25">
      <c r="A3" s="93"/>
      <c r="B3" s="94"/>
      <c r="C3" s="95"/>
      <c r="D3" s="96"/>
      <c r="E3" s="127"/>
      <c r="F3" s="127"/>
      <c r="G3" s="130" t="s">
        <v>7</v>
      </c>
      <c r="H3" s="131" t="s">
        <v>8</v>
      </c>
      <c r="I3" s="149"/>
      <c r="J3" s="130" t="s">
        <v>9</v>
      </c>
      <c r="K3" s="150"/>
      <c r="L3" s="151"/>
      <c r="M3" s="157"/>
      <c r="N3" s="158"/>
      <c r="O3" s="158"/>
      <c r="P3" s="158"/>
      <c r="Q3" s="158"/>
      <c r="T3" s="158"/>
      <c r="Z3" s="158"/>
      <c r="AA3" s="158"/>
    </row>
    <row r="4" spans="1:28" ht="15" customHeight="1">
      <c r="A4" s="97"/>
      <c r="B4" s="98"/>
      <c r="C4" s="99"/>
      <c r="D4" s="95"/>
      <c r="E4" s="95"/>
      <c r="F4" s="95"/>
      <c r="G4" s="95"/>
      <c r="H4" s="95"/>
      <c r="I4" s="95"/>
      <c r="J4" s="95"/>
      <c r="K4" s="89"/>
      <c r="L4" s="89"/>
      <c r="M4" s="89"/>
      <c r="N4" s="89"/>
      <c r="O4" s="89"/>
      <c r="P4" s="89"/>
      <c r="Q4" s="89"/>
      <c r="T4" s="89"/>
      <c r="Z4" s="89"/>
      <c r="AA4" s="89"/>
    </row>
    <row r="5" spans="1:28" ht="13.5" customHeight="1">
      <c r="A5" s="100"/>
      <c r="B5" s="580" t="s">
        <v>157</v>
      </c>
      <c r="C5" s="581"/>
      <c r="D5" s="581"/>
      <c r="E5" s="581"/>
      <c r="F5" s="581"/>
      <c r="G5" s="581"/>
      <c r="H5" s="581"/>
      <c r="I5" s="152" t="s">
        <v>11</v>
      </c>
      <c r="J5" s="152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</row>
    <row r="6" spans="1:28" ht="18" customHeight="1">
      <c r="A6" s="39"/>
      <c r="B6" s="582"/>
      <c r="C6" s="582"/>
      <c r="D6" s="582"/>
      <c r="E6" s="582"/>
      <c r="F6" s="582"/>
      <c r="G6" s="582"/>
      <c r="H6" s="582"/>
      <c r="I6" s="154" t="s">
        <v>12</v>
      </c>
      <c r="J6" s="154"/>
      <c r="K6" s="155"/>
      <c r="L6" s="155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Z6" s="158"/>
      <c r="AA6" s="158"/>
    </row>
    <row r="7" spans="1:28" ht="18.75" customHeight="1">
      <c r="A7" s="39"/>
      <c r="B7" s="583" t="s">
        <v>13</v>
      </c>
      <c r="C7" s="583"/>
      <c r="D7" s="583"/>
      <c r="E7" s="583"/>
      <c r="F7" s="583"/>
      <c r="G7" s="583"/>
      <c r="H7" s="583"/>
      <c r="I7" s="86" t="s">
        <v>158</v>
      </c>
      <c r="J7" s="86"/>
      <c r="K7" s="155"/>
      <c r="L7" s="155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Z7" s="158"/>
      <c r="AA7" s="158"/>
    </row>
    <row r="8" spans="1:28" ht="14.25">
      <c r="A8" s="101"/>
      <c r="B8" s="583"/>
      <c r="C8" s="583"/>
      <c r="D8" s="583"/>
      <c r="E8" s="583"/>
      <c r="F8" s="583"/>
      <c r="G8" s="583"/>
      <c r="H8" s="583"/>
      <c r="I8" s="154"/>
      <c r="J8" s="67"/>
      <c r="K8" s="156"/>
      <c r="L8" s="156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Z8" s="158"/>
      <c r="AA8" s="158"/>
    </row>
    <row r="9" spans="1:28" ht="8.1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Z9" s="103"/>
      <c r="AA9" s="103"/>
    </row>
    <row r="10" spans="1:28" ht="18" customHeight="1">
      <c r="A10" s="39"/>
      <c r="B10" s="104" t="s">
        <v>15</v>
      </c>
      <c r="C10" s="105"/>
      <c r="D10" s="106"/>
      <c r="E10" s="533" t="s">
        <v>159</v>
      </c>
      <c r="F10" s="534"/>
      <c r="G10" s="534"/>
      <c r="H10" s="534"/>
      <c r="I10" s="534"/>
      <c r="J10" s="534"/>
      <c r="K10" s="534"/>
      <c r="L10" s="534"/>
      <c r="M10" s="534"/>
      <c r="N10" s="534"/>
      <c r="O10" s="534"/>
      <c r="P10" s="534"/>
      <c r="Q10" s="534"/>
      <c r="R10" s="534"/>
      <c r="S10" s="535"/>
      <c r="T10" s="536" t="s">
        <v>18</v>
      </c>
      <c r="U10" s="536"/>
      <c r="V10" s="537"/>
      <c r="W10" s="536" t="s">
        <v>160</v>
      </c>
      <c r="X10" s="536"/>
      <c r="Y10" s="537"/>
      <c r="Z10" s="536" t="s">
        <v>161</v>
      </c>
      <c r="AA10" s="536"/>
      <c r="AB10" s="537"/>
    </row>
    <row r="11" spans="1:28" ht="18" customHeight="1">
      <c r="A11" s="39"/>
      <c r="B11" s="107" t="s">
        <v>19</v>
      </c>
      <c r="C11" s="108"/>
      <c r="D11" s="109"/>
      <c r="E11" s="538" t="s">
        <v>20</v>
      </c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  <c r="AA11" s="539"/>
      <c r="AB11" s="540"/>
    </row>
    <row r="12" spans="1:28" ht="18" customHeight="1">
      <c r="A12" s="39"/>
      <c r="B12" s="107" t="s">
        <v>21</v>
      </c>
      <c r="C12" s="108"/>
      <c r="D12" s="109"/>
      <c r="E12" s="538" t="s">
        <v>22</v>
      </c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40"/>
    </row>
    <row r="13" spans="1:28" ht="18" customHeight="1">
      <c r="A13" s="39"/>
      <c r="B13" s="107" t="s">
        <v>23</v>
      </c>
      <c r="C13" s="108"/>
      <c r="D13" s="109"/>
      <c r="E13" s="538" t="s">
        <v>24</v>
      </c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39"/>
      <c r="U13" s="539"/>
      <c r="V13" s="539"/>
      <c r="W13" s="539"/>
      <c r="X13" s="539"/>
      <c r="Y13" s="539"/>
      <c r="Z13" s="539"/>
      <c r="AA13" s="539"/>
      <c r="AB13" s="540"/>
    </row>
    <row r="14" spans="1:28" ht="18" customHeight="1">
      <c r="A14" s="39"/>
      <c r="B14" s="107" t="s">
        <v>25</v>
      </c>
      <c r="C14" s="108"/>
      <c r="D14" s="109"/>
      <c r="E14" s="541">
        <v>1200</v>
      </c>
      <c r="F14" s="542"/>
      <c r="G14" s="542"/>
      <c r="H14" s="542">
        <v>1350</v>
      </c>
      <c r="I14" s="542"/>
      <c r="J14" s="542"/>
      <c r="K14" s="542">
        <v>1600</v>
      </c>
      <c r="L14" s="542"/>
      <c r="M14" s="542"/>
      <c r="N14" s="542">
        <v>1800</v>
      </c>
      <c r="O14" s="542"/>
      <c r="P14" s="542"/>
      <c r="Q14" s="543">
        <v>2025</v>
      </c>
      <c r="R14" s="542"/>
      <c r="S14" s="544"/>
      <c r="T14" s="543">
        <v>2025</v>
      </c>
      <c r="U14" s="542"/>
      <c r="V14" s="544"/>
      <c r="W14" s="543">
        <v>2250</v>
      </c>
      <c r="X14" s="542"/>
      <c r="Y14" s="544"/>
      <c r="Z14" s="543">
        <v>2500</v>
      </c>
      <c r="AA14" s="542"/>
      <c r="AB14" s="544"/>
    </row>
    <row r="15" spans="1:28" ht="18" customHeight="1">
      <c r="A15" s="39"/>
      <c r="B15" s="107" t="s">
        <v>26</v>
      </c>
      <c r="C15" s="108"/>
      <c r="D15" s="109"/>
      <c r="E15" s="133">
        <v>400</v>
      </c>
      <c r="F15" s="134">
        <v>400</v>
      </c>
      <c r="G15" s="134">
        <v>400</v>
      </c>
      <c r="H15" s="134">
        <v>400</v>
      </c>
      <c r="I15" s="134">
        <v>400</v>
      </c>
      <c r="J15" s="134">
        <v>400</v>
      </c>
      <c r="K15" s="134">
        <v>400</v>
      </c>
      <c r="L15" s="134">
        <v>400</v>
      </c>
      <c r="M15" s="134">
        <v>400</v>
      </c>
      <c r="N15" s="134">
        <v>400</v>
      </c>
      <c r="O15" s="134">
        <v>400</v>
      </c>
      <c r="P15" s="134">
        <v>400</v>
      </c>
      <c r="Q15" s="165">
        <v>330</v>
      </c>
      <c r="R15" s="134">
        <v>400</v>
      </c>
      <c r="S15" s="164">
        <v>400</v>
      </c>
      <c r="T15" s="165">
        <v>330</v>
      </c>
      <c r="U15" s="134">
        <v>400</v>
      </c>
      <c r="V15" s="164">
        <v>400</v>
      </c>
      <c r="W15" s="213">
        <v>250</v>
      </c>
      <c r="X15" s="134">
        <v>330</v>
      </c>
      <c r="Y15" s="164">
        <v>330</v>
      </c>
      <c r="Z15" s="165">
        <v>130</v>
      </c>
      <c r="AA15" s="134">
        <v>190</v>
      </c>
      <c r="AB15" s="164">
        <v>200</v>
      </c>
    </row>
    <row r="16" spans="1:28" ht="18" customHeight="1">
      <c r="A16" s="39"/>
      <c r="B16" s="110" t="s">
        <v>27</v>
      </c>
      <c r="C16" s="108"/>
      <c r="D16" s="109"/>
      <c r="E16" s="133" t="s">
        <v>30</v>
      </c>
      <c r="F16" s="135" t="s">
        <v>29</v>
      </c>
      <c r="G16" s="135" t="s">
        <v>28</v>
      </c>
      <c r="H16" s="134" t="s">
        <v>30</v>
      </c>
      <c r="I16" s="135" t="s">
        <v>29</v>
      </c>
      <c r="J16" s="135" t="s">
        <v>28</v>
      </c>
      <c r="K16" s="134" t="s">
        <v>30</v>
      </c>
      <c r="L16" s="135" t="s">
        <v>29</v>
      </c>
      <c r="M16" s="135" t="s">
        <v>28</v>
      </c>
      <c r="N16" s="134" t="s">
        <v>30</v>
      </c>
      <c r="O16" s="135" t="s">
        <v>29</v>
      </c>
      <c r="P16" s="135" t="s">
        <v>28</v>
      </c>
      <c r="Q16" s="165" t="s">
        <v>30</v>
      </c>
      <c r="R16" s="135" t="s">
        <v>29</v>
      </c>
      <c r="S16" s="166" t="s">
        <v>28</v>
      </c>
      <c r="T16" s="165" t="s">
        <v>30</v>
      </c>
      <c r="U16" s="135" t="s">
        <v>29</v>
      </c>
      <c r="V16" s="166" t="s">
        <v>28</v>
      </c>
      <c r="W16" s="165" t="s">
        <v>30</v>
      </c>
      <c r="X16" s="135" t="s">
        <v>29</v>
      </c>
      <c r="Y16" s="166" t="s">
        <v>28</v>
      </c>
      <c r="Z16" s="165" t="s">
        <v>30</v>
      </c>
      <c r="AA16" s="135" t="s">
        <v>29</v>
      </c>
      <c r="AB16" s="166" t="s">
        <v>28</v>
      </c>
    </row>
    <row r="17" spans="1:28" ht="30" customHeight="1">
      <c r="A17" s="45"/>
      <c r="B17" s="107" t="s">
        <v>31</v>
      </c>
      <c r="C17" s="108"/>
      <c r="D17" s="109"/>
      <c r="E17" s="545" t="s">
        <v>162</v>
      </c>
      <c r="F17" s="546"/>
      <c r="G17" s="546"/>
      <c r="H17" s="546" t="s">
        <v>162</v>
      </c>
      <c r="I17" s="546"/>
      <c r="J17" s="546"/>
      <c r="K17" s="546" t="s">
        <v>162</v>
      </c>
      <c r="L17" s="546"/>
      <c r="M17" s="546"/>
      <c r="N17" s="546" t="s">
        <v>162</v>
      </c>
      <c r="O17" s="546"/>
      <c r="P17" s="546"/>
      <c r="Q17" s="547" t="s">
        <v>162</v>
      </c>
      <c r="R17" s="546"/>
      <c r="S17" s="548"/>
      <c r="T17" s="547" t="s">
        <v>162</v>
      </c>
      <c r="U17" s="546"/>
      <c r="V17" s="548"/>
      <c r="W17" s="547" t="s">
        <v>162</v>
      </c>
      <c r="X17" s="546"/>
      <c r="Y17" s="548"/>
      <c r="Z17" s="547" t="s">
        <v>162</v>
      </c>
      <c r="AA17" s="546"/>
      <c r="AB17" s="548"/>
    </row>
    <row r="18" spans="1:28" ht="18" customHeight="1">
      <c r="A18" s="46"/>
      <c r="B18" s="107" t="s">
        <v>34</v>
      </c>
      <c r="C18" s="111"/>
      <c r="D18" s="109"/>
      <c r="E18" s="545" t="s">
        <v>163</v>
      </c>
      <c r="F18" s="546"/>
      <c r="G18" s="546"/>
      <c r="H18" s="546" t="s">
        <v>163</v>
      </c>
      <c r="I18" s="546"/>
      <c r="J18" s="546"/>
      <c r="K18" s="546" t="s">
        <v>163</v>
      </c>
      <c r="L18" s="546"/>
      <c r="M18" s="546"/>
      <c r="N18" s="546" t="s">
        <v>163</v>
      </c>
      <c r="O18" s="546"/>
      <c r="P18" s="546"/>
      <c r="Q18" s="547" t="s">
        <v>163</v>
      </c>
      <c r="R18" s="546"/>
      <c r="S18" s="548"/>
      <c r="T18" s="547" t="s">
        <v>163</v>
      </c>
      <c r="U18" s="546"/>
      <c r="V18" s="548"/>
      <c r="W18" s="547" t="s">
        <v>163</v>
      </c>
      <c r="X18" s="546"/>
      <c r="Y18" s="548"/>
      <c r="Z18" s="547" t="s">
        <v>163</v>
      </c>
      <c r="AA18" s="546"/>
      <c r="AB18" s="548"/>
    </row>
    <row r="19" spans="1:28" ht="42.75" customHeight="1">
      <c r="A19" s="45"/>
      <c r="B19" s="107" t="s">
        <v>37</v>
      </c>
      <c r="C19" s="108"/>
      <c r="D19" s="109"/>
      <c r="E19" s="541" t="s">
        <v>164</v>
      </c>
      <c r="F19" s="542"/>
      <c r="G19" s="542"/>
      <c r="H19" s="542" t="s">
        <v>164</v>
      </c>
      <c r="I19" s="542"/>
      <c r="J19" s="542"/>
      <c r="K19" s="542" t="s">
        <v>164</v>
      </c>
      <c r="L19" s="542"/>
      <c r="M19" s="542"/>
      <c r="N19" s="542" t="s">
        <v>165</v>
      </c>
      <c r="O19" s="542"/>
      <c r="P19" s="542"/>
      <c r="Q19" s="543" t="s">
        <v>165</v>
      </c>
      <c r="R19" s="542"/>
      <c r="S19" s="544"/>
      <c r="T19" s="539" t="s">
        <v>165</v>
      </c>
      <c r="U19" s="539"/>
      <c r="V19" s="540"/>
      <c r="W19" s="539" t="s">
        <v>165</v>
      </c>
      <c r="X19" s="539"/>
      <c r="Y19" s="540"/>
      <c r="Z19" s="539" t="s">
        <v>166</v>
      </c>
      <c r="AA19" s="539"/>
      <c r="AB19" s="540"/>
    </row>
    <row r="20" spans="1:28" ht="18" customHeight="1">
      <c r="A20" s="45"/>
      <c r="B20" s="107" t="s">
        <v>44</v>
      </c>
      <c r="C20" s="108"/>
      <c r="D20" s="109"/>
      <c r="E20" s="541" t="s">
        <v>167</v>
      </c>
      <c r="F20" s="542"/>
      <c r="G20" s="542"/>
      <c r="H20" s="542" t="s">
        <v>167</v>
      </c>
      <c r="I20" s="542"/>
      <c r="J20" s="542"/>
      <c r="K20" s="542" t="s">
        <v>167</v>
      </c>
      <c r="L20" s="542"/>
      <c r="M20" s="542"/>
      <c r="N20" s="542" t="s">
        <v>168</v>
      </c>
      <c r="O20" s="542"/>
      <c r="P20" s="542"/>
      <c r="Q20" s="543" t="s">
        <v>168</v>
      </c>
      <c r="R20" s="542"/>
      <c r="S20" s="544"/>
      <c r="T20" s="543" t="s">
        <v>168</v>
      </c>
      <c r="U20" s="542"/>
      <c r="V20" s="544"/>
      <c r="W20" s="543" t="s">
        <v>168</v>
      </c>
      <c r="X20" s="542"/>
      <c r="Y20" s="544"/>
      <c r="Z20" s="543" t="s">
        <v>168</v>
      </c>
      <c r="AA20" s="542"/>
      <c r="AB20" s="544"/>
    </row>
    <row r="21" spans="1:28" ht="18" customHeight="1">
      <c r="A21" s="39"/>
      <c r="B21" s="584" t="s">
        <v>50</v>
      </c>
      <c r="C21" s="585"/>
      <c r="D21" s="586"/>
      <c r="E21" s="138" t="s">
        <v>51</v>
      </c>
      <c r="F21" s="139" t="s">
        <v>51</v>
      </c>
      <c r="G21" s="140" t="s">
        <v>51</v>
      </c>
      <c r="H21" s="139" t="s">
        <v>51</v>
      </c>
      <c r="I21" s="139" t="s">
        <v>51</v>
      </c>
      <c r="J21" s="140" t="s">
        <v>51</v>
      </c>
      <c r="K21" s="139" t="s">
        <v>51</v>
      </c>
      <c r="L21" s="139" t="s">
        <v>51</v>
      </c>
      <c r="M21" s="140" t="s">
        <v>51</v>
      </c>
      <c r="N21" s="139" t="s">
        <v>51</v>
      </c>
      <c r="O21" s="139" t="s">
        <v>51</v>
      </c>
      <c r="P21" s="140" t="s">
        <v>51</v>
      </c>
      <c r="Q21" s="168" t="s">
        <v>51</v>
      </c>
      <c r="R21" s="139" t="s">
        <v>51</v>
      </c>
      <c r="S21" s="167" t="s">
        <v>51</v>
      </c>
      <c r="T21" s="168" t="s">
        <v>51</v>
      </c>
      <c r="U21" s="139" t="s">
        <v>51</v>
      </c>
      <c r="V21" s="167" t="s">
        <v>51</v>
      </c>
      <c r="W21" s="168" t="s">
        <v>51</v>
      </c>
      <c r="X21" s="139" t="s">
        <v>51</v>
      </c>
      <c r="Y21" s="167" t="s">
        <v>51</v>
      </c>
      <c r="Z21" s="168" t="s">
        <v>51</v>
      </c>
      <c r="AA21" s="139" t="s">
        <v>51</v>
      </c>
      <c r="AB21" s="167" t="s">
        <v>51</v>
      </c>
    </row>
    <row r="22" spans="1:28" ht="18" customHeight="1">
      <c r="A22" s="39"/>
      <c r="B22" s="587"/>
      <c r="C22" s="588"/>
      <c r="D22" s="589"/>
      <c r="E22" s="141" t="s">
        <v>51</v>
      </c>
      <c r="F22" s="142" t="s">
        <v>51</v>
      </c>
      <c r="G22" s="143" t="s">
        <v>51</v>
      </c>
      <c r="H22" s="142" t="s">
        <v>51</v>
      </c>
      <c r="I22" s="142" t="s">
        <v>51</v>
      </c>
      <c r="J22" s="143" t="s">
        <v>51</v>
      </c>
      <c r="K22" s="142" t="s">
        <v>51</v>
      </c>
      <c r="L22" s="142" t="s">
        <v>51</v>
      </c>
      <c r="M22" s="143" t="s">
        <v>51</v>
      </c>
      <c r="N22" s="142" t="s">
        <v>51</v>
      </c>
      <c r="O22" s="142" t="s">
        <v>51</v>
      </c>
      <c r="P22" s="143" t="s">
        <v>51</v>
      </c>
      <c r="Q22" s="170" t="s">
        <v>51</v>
      </c>
      <c r="R22" s="142" t="s">
        <v>51</v>
      </c>
      <c r="S22" s="169" t="s">
        <v>51</v>
      </c>
      <c r="T22" s="170" t="s">
        <v>51</v>
      </c>
      <c r="U22" s="142" t="s">
        <v>51</v>
      </c>
      <c r="V22" s="169" t="s">
        <v>51</v>
      </c>
      <c r="W22" s="170" t="s">
        <v>51</v>
      </c>
      <c r="X22" s="142" t="s">
        <v>51</v>
      </c>
      <c r="Y22" s="169" t="s">
        <v>51</v>
      </c>
      <c r="Z22" s="170" t="s">
        <v>51</v>
      </c>
      <c r="AA22" s="142" t="s">
        <v>51</v>
      </c>
      <c r="AB22" s="169" t="s">
        <v>51</v>
      </c>
    </row>
    <row r="23" spans="1:28" ht="18" customHeight="1">
      <c r="A23" s="39"/>
      <c r="B23" s="112" t="s">
        <v>52</v>
      </c>
      <c r="C23" s="116"/>
      <c r="D23" s="117"/>
      <c r="E23" s="133" t="s">
        <v>169</v>
      </c>
      <c r="F23" s="542" t="s">
        <v>170</v>
      </c>
      <c r="G23" s="542"/>
      <c r="H23" s="134" t="s">
        <v>169</v>
      </c>
      <c r="I23" s="542" t="s">
        <v>170</v>
      </c>
      <c r="J23" s="542"/>
      <c r="K23" s="134" t="s">
        <v>169</v>
      </c>
      <c r="L23" s="542" t="s">
        <v>170</v>
      </c>
      <c r="M23" s="542"/>
      <c r="N23" s="134" t="s">
        <v>169</v>
      </c>
      <c r="O23" s="542" t="s">
        <v>170</v>
      </c>
      <c r="P23" s="542"/>
      <c r="Q23" s="165" t="s">
        <v>169</v>
      </c>
      <c r="R23" s="542" t="s">
        <v>170</v>
      </c>
      <c r="S23" s="544"/>
      <c r="T23" s="165" t="s">
        <v>169</v>
      </c>
      <c r="U23" s="542" t="s">
        <v>170</v>
      </c>
      <c r="V23" s="544"/>
      <c r="W23" s="165" t="s">
        <v>169</v>
      </c>
      <c r="X23" s="542" t="s">
        <v>170</v>
      </c>
      <c r="Y23" s="544"/>
      <c r="Z23" s="165" t="s">
        <v>169</v>
      </c>
      <c r="AA23" s="542" t="s">
        <v>170</v>
      </c>
      <c r="AB23" s="544"/>
    </row>
    <row r="24" spans="1:28" ht="18" customHeight="1">
      <c r="A24" s="39"/>
      <c r="B24" s="107" t="s">
        <v>55</v>
      </c>
      <c r="C24" s="108"/>
      <c r="D24" s="109"/>
      <c r="E24" s="541" t="s">
        <v>57</v>
      </c>
      <c r="F24" s="542"/>
      <c r="G24" s="542"/>
      <c r="H24" s="542" t="s">
        <v>57</v>
      </c>
      <c r="I24" s="542"/>
      <c r="J24" s="542"/>
      <c r="K24" s="542" t="s">
        <v>57</v>
      </c>
      <c r="L24" s="542"/>
      <c r="M24" s="542"/>
      <c r="N24" s="542" t="s">
        <v>57</v>
      </c>
      <c r="O24" s="542"/>
      <c r="P24" s="542"/>
      <c r="Q24" s="543" t="s">
        <v>57</v>
      </c>
      <c r="R24" s="542"/>
      <c r="S24" s="544"/>
      <c r="T24" s="543" t="s">
        <v>57</v>
      </c>
      <c r="U24" s="542"/>
      <c r="V24" s="544"/>
      <c r="W24" s="543" t="s">
        <v>57</v>
      </c>
      <c r="X24" s="542"/>
      <c r="Y24" s="544"/>
      <c r="Z24" s="543" t="s">
        <v>57</v>
      </c>
      <c r="AA24" s="542"/>
      <c r="AB24" s="544"/>
    </row>
    <row r="25" spans="1:28" ht="18" customHeight="1">
      <c r="A25" s="39"/>
      <c r="B25" s="118" t="s">
        <v>58</v>
      </c>
      <c r="C25" s="449" t="s">
        <v>59</v>
      </c>
      <c r="D25" s="115" t="s">
        <v>60</v>
      </c>
      <c r="E25" s="541" t="s">
        <v>62</v>
      </c>
      <c r="F25" s="542"/>
      <c r="G25" s="542"/>
      <c r="H25" s="542" t="s">
        <v>62</v>
      </c>
      <c r="I25" s="542"/>
      <c r="J25" s="542"/>
      <c r="K25" s="542" t="s">
        <v>62</v>
      </c>
      <c r="L25" s="542"/>
      <c r="M25" s="542"/>
      <c r="N25" s="542" t="s">
        <v>62</v>
      </c>
      <c r="O25" s="542"/>
      <c r="P25" s="542"/>
      <c r="Q25" s="543" t="s">
        <v>62</v>
      </c>
      <c r="R25" s="542"/>
      <c r="S25" s="544"/>
      <c r="T25" s="543" t="s">
        <v>62</v>
      </c>
      <c r="U25" s="542"/>
      <c r="V25" s="544"/>
      <c r="W25" s="543" t="s">
        <v>62</v>
      </c>
      <c r="X25" s="542"/>
      <c r="Y25" s="544"/>
      <c r="Z25" s="543" t="s">
        <v>171</v>
      </c>
      <c r="AA25" s="542"/>
      <c r="AB25" s="544"/>
    </row>
    <row r="26" spans="1:28" ht="18" customHeight="1">
      <c r="A26" s="39"/>
      <c r="B26" s="119" t="s">
        <v>63</v>
      </c>
      <c r="C26" s="449" t="s">
        <v>64</v>
      </c>
      <c r="D26" s="115" t="s">
        <v>65</v>
      </c>
      <c r="E26" s="541" t="s">
        <v>172</v>
      </c>
      <c r="F26" s="542"/>
      <c r="G26" s="542"/>
      <c r="H26" s="542" t="s">
        <v>172</v>
      </c>
      <c r="I26" s="542"/>
      <c r="J26" s="542"/>
      <c r="K26" s="542" t="s">
        <v>172</v>
      </c>
      <c r="L26" s="542"/>
      <c r="M26" s="542"/>
      <c r="N26" s="542" t="s">
        <v>172</v>
      </c>
      <c r="O26" s="542"/>
      <c r="P26" s="542"/>
      <c r="Q26" s="543" t="s">
        <v>173</v>
      </c>
      <c r="R26" s="542"/>
      <c r="S26" s="544"/>
      <c r="T26" s="543" t="s">
        <v>173</v>
      </c>
      <c r="U26" s="542"/>
      <c r="V26" s="544"/>
      <c r="W26" s="543" t="s">
        <v>173</v>
      </c>
      <c r="X26" s="542"/>
      <c r="Y26" s="544"/>
      <c r="Z26" s="543" t="s">
        <v>174</v>
      </c>
      <c r="AA26" s="542"/>
      <c r="AB26" s="544"/>
    </row>
    <row r="27" spans="1:28" ht="33.75" customHeight="1">
      <c r="A27" s="39"/>
      <c r="B27" s="120" t="s">
        <v>68</v>
      </c>
      <c r="C27" s="449" t="s">
        <v>59</v>
      </c>
      <c r="D27" s="115" t="s">
        <v>60</v>
      </c>
      <c r="E27" s="549" t="s">
        <v>175</v>
      </c>
      <c r="F27" s="550"/>
      <c r="G27" s="551"/>
      <c r="H27" s="552" t="s">
        <v>176</v>
      </c>
      <c r="I27" s="552"/>
      <c r="J27" s="552"/>
      <c r="K27" s="552" t="s">
        <v>176</v>
      </c>
      <c r="L27" s="552"/>
      <c r="M27" s="552"/>
      <c r="N27" s="552" t="s">
        <v>176</v>
      </c>
      <c r="O27" s="552"/>
      <c r="P27" s="552"/>
      <c r="Q27" s="551" t="s">
        <v>176</v>
      </c>
      <c r="R27" s="552"/>
      <c r="S27" s="553"/>
      <c r="T27" s="539" t="s">
        <v>177</v>
      </c>
      <c r="U27" s="539"/>
      <c r="V27" s="540"/>
      <c r="W27" s="539" t="s">
        <v>177</v>
      </c>
      <c r="X27" s="539"/>
      <c r="Y27" s="540"/>
      <c r="Z27" s="539" t="s">
        <v>177</v>
      </c>
      <c r="AA27" s="539"/>
      <c r="AB27" s="540"/>
    </row>
    <row r="28" spans="1:28" ht="18" customHeight="1">
      <c r="A28" s="39"/>
      <c r="B28" s="121" t="s">
        <v>74</v>
      </c>
      <c r="C28" s="449" t="s">
        <v>64</v>
      </c>
      <c r="D28" s="115" t="s">
        <v>65</v>
      </c>
      <c r="E28" s="541" t="s">
        <v>76</v>
      </c>
      <c r="F28" s="542"/>
      <c r="G28" s="542"/>
      <c r="H28" s="542" t="s">
        <v>178</v>
      </c>
      <c r="I28" s="542"/>
      <c r="J28" s="542"/>
      <c r="K28" s="542" t="s">
        <v>178</v>
      </c>
      <c r="L28" s="542"/>
      <c r="M28" s="542"/>
      <c r="N28" s="542" t="s">
        <v>178</v>
      </c>
      <c r="O28" s="542"/>
      <c r="P28" s="542"/>
      <c r="Q28" s="543" t="s">
        <v>178</v>
      </c>
      <c r="R28" s="542"/>
      <c r="S28" s="544"/>
      <c r="T28" s="543" t="s">
        <v>178</v>
      </c>
      <c r="U28" s="542"/>
      <c r="V28" s="544"/>
      <c r="W28" s="543" t="s">
        <v>178</v>
      </c>
      <c r="X28" s="542"/>
      <c r="Y28" s="544"/>
      <c r="Z28" s="543" t="s">
        <v>178</v>
      </c>
      <c r="AA28" s="542"/>
      <c r="AB28" s="544"/>
    </row>
    <row r="29" spans="1:28" ht="18" customHeight="1">
      <c r="A29" s="39"/>
      <c r="B29" s="122" t="s">
        <v>77</v>
      </c>
      <c r="C29" s="449" t="s">
        <v>59</v>
      </c>
      <c r="D29" s="115" t="s">
        <v>60</v>
      </c>
      <c r="E29" s="541" t="s">
        <v>179</v>
      </c>
      <c r="F29" s="542"/>
      <c r="G29" s="542"/>
      <c r="H29" s="542" t="s">
        <v>179</v>
      </c>
      <c r="I29" s="542"/>
      <c r="J29" s="542"/>
      <c r="K29" s="542" t="s">
        <v>179</v>
      </c>
      <c r="L29" s="542"/>
      <c r="M29" s="542"/>
      <c r="N29" s="542" t="s">
        <v>179</v>
      </c>
      <c r="O29" s="542"/>
      <c r="P29" s="542"/>
      <c r="Q29" s="543" t="s">
        <v>81</v>
      </c>
      <c r="R29" s="542"/>
      <c r="S29" s="544"/>
      <c r="T29" s="543" t="s">
        <v>81</v>
      </c>
      <c r="U29" s="542"/>
      <c r="V29" s="544"/>
      <c r="W29" s="543" t="s">
        <v>81</v>
      </c>
      <c r="X29" s="542"/>
      <c r="Y29" s="544"/>
      <c r="Z29" s="543" t="s">
        <v>180</v>
      </c>
      <c r="AA29" s="542"/>
      <c r="AB29" s="544"/>
    </row>
    <row r="30" spans="1:28" ht="18" customHeight="1">
      <c r="A30" s="39"/>
      <c r="B30" s="113" t="s">
        <v>82</v>
      </c>
      <c r="C30" s="449" t="s">
        <v>64</v>
      </c>
      <c r="D30" s="115" t="s">
        <v>65</v>
      </c>
      <c r="E30" s="541" t="s">
        <v>179</v>
      </c>
      <c r="F30" s="542"/>
      <c r="G30" s="542"/>
      <c r="H30" s="542" t="s">
        <v>179</v>
      </c>
      <c r="I30" s="542"/>
      <c r="J30" s="542"/>
      <c r="K30" s="542" t="s">
        <v>179</v>
      </c>
      <c r="L30" s="542"/>
      <c r="M30" s="542"/>
      <c r="N30" s="542" t="s">
        <v>179</v>
      </c>
      <c r="O30" s="542"/>
      <c r="P30" s="542"/>
      <c r="Q30" s="543" t="s">
        <v>81</v>
      </c>
      <c r="R30" s="542"/>
      <c r="S30" s="544"/>
      <c r="T30" s="543" t="s">
        <v>81</v>
      </c>
      <c r="U30" s="542"/>
      <c r="V30" s="544"/>
      <c r="W30" s="543" t="s">
        <v>81</v>
      </c>
      <c r="X30" s="542"/>
      <c r="Y30" s="544"/>
      <c r="Z30" s="543" t="s">
        <v>180</v>
      </c>
      <c r="AA30" s="542"/>
      <c r="AB30" s="544"/>
    </row>
    <row r="31" spans="1:28" ht="18" customHeight="1">
      <c r="A31" s="45"/>
      <c r="B31" s="122" t="s">
        <v>83</v>
      </c>
      <c r="C31" s="123" t="s">
        <v>84</v>
      </c>
      <c r="D31" s="115" t="s">
        <v>85</v>
      </c>
      <c r="E31" s="554" t="s">
        <v>88</v>
      </c>
      <c r="F31" s="552"/>
      <c r="G31" s="552"/>
      <c r="H31" s="542" t="s">
        <v>88</v>
      </c>
      <c r="I31" s="542"/>
      <c r="J31" s="542"/>
      <c r="K31" s="542" t="s">
        <v>88</v>
      </c>
      <c r="L31" s="542"/>
      <c r="M31" s="542"/>
      <c r="N31" s="542" t="s">
        <v>88</v>
      </c>
      <c r="O31" s="542"/>
      <c r="P31" s="542"/>
      <c r="Q31" s="543" t="s">
        <v>88</v>
      </c>
      <c r="R31" s="542"/>
      <c r="S31" s="544"/>
      <c r="T31" s="543" t="s">
        <v>88</v>
      </c>
      <c r="U31" s="542"/>
      <c r="V31" s="544"/>
      <c r="W31" s="543" t="s">
        <v>88</v>
      </c>
      <c r="X31" s="542"/>
      <c r="Y31" s="544"/>
      <c r="Z31" s="538" t="s">
        <v>88</v>
      </c>
      <c r="AA31" s="539"/>
      <c r="AB31" s="540"/>
    </row>
    <row r="32" spans="1:28" ht="18" customHeight="1">
      <c r="A32" s="46"/>
      <c r="B32" s="113" t="s">
        <v>89</v>
      </c>
      <c r="C32" s="123" t="s">
        <v>90</v>
      </c>
      <c r="D32" s="115" t="s">
        <v>91</v>
      </c>
      <c r="E32" s="554" t="s">
        <v>88</v>
      </c>
      <c r="F32" s="552"/>
      <c r="G32" s="552"/>
      <c r="H32" s="542" t="s">
        <v>88</v>
      </c>
      <c r="I32" s="542"/>
      <c r="J32" s="542"/>
      <c r="K32" s="542" t="s">
        <v>88</v>
      </c>
      <c r="L32" s="542"/>
      <c r="M32" s="542"/>
      <c r="N32" s="542" t="s">
        <v>88</v>
      </c>
      <c r="O32" s="542"/>
      <c r="P32" s="542"/>
      <c r="Q32" s="543" t="s">
        <v>88</v>
      </c>
      <c r="R32" s="542"/>
      <c r="S32" s="544"/>
      <c r="T32" s="543" t="s">
        <v>88</v>
      </c>
      <c r="U32" s="542"/>
      <c r="V32" s="544"/>
      <c r="W32" s="543" t="s">
        <v>88</v>
      </c>
      <c r="X32" s="542"/>
      <c r="Y32" s="544"/>
      <c r="Z32" s="543" t="s">
        <v>88</v>
      </c>
      <c r="AA32" s="542"/>
      <c r="AB32" s="544"/>
    </row>
    <row r="33" spans="1:28" ht="18" customHeight="1">
      <c r="A33" s="45"/>
      <c r="B33" s="122" t="s">
        <v>92</v>
      </c>
      <c r="C33" s="449" t="s">
        <v>59</v>
      </c>
      <c r="D33" s="115" t="s">
        <v>60</v>
      </c>
      <c r="E33" s="554" t="s">
        <v>94</v>
      </c>
      <c r="F33" s="552"/>
      <c r="G33" s="552"/>
      <c r="H33" s="552" t="s">
        <v>94</v>
      </c>
      <c r="I33" s="552"/>
      <c r="J33" s="552"/>
      <c r="K33" s="552" t="s">
        <v>94</v>
      </c>
      <c r="L33" s="552"/>
      <c r="M33" s="552"/>
      <c r="N33" s="552" t="s">
        <v>94</v>
      </c>
      <c r="O33" s="552"/>
      <c r="P33" s="552"/>
      <c r="Q33" s="551" t="s">
        <v>94</v>
      </c>
      <c r="R33" s="552"/>
      <c r="S33" s="553"/>
      <c r="T33" s="551" t="s">
        <v>94</v>
      </c>
      <c r="U33" s="552"/>
      <c r="V33" s="553"/>
      <c r="W33" s="551" t="s">
        <v>94</v>
      </c>
      <c r="X33" s="552"/>
      <c r="Y33" s="553"/>
      <c r="Z33" s="551" t="s">
        <v>94</v>
      </c>
      <c r="AA33" s="552"/>
      <c r="AB33" s="553"/>
    </row>
    <row r="34" spans="1:28" ht="18" customHeight="1">
      <c r="A34" s="46"/>
      <c r="B34" s="113" t="s">
        <v>95</v>
      </c>
      <c r="C34" s="449" t="s">
        <v>64</v>
      </c>
      <c r="D34" s="115" t="s">
        <v>65</v>
      </c>
      <c r="E34" s="541" t="s">
        <v>97</v>
      </c>
      <c r="F34" s="542"/>
      <c r="G34" s="542"/>
      <c r="H34" s="542" t="s">
        <v>97</v>
      </c>
      <c r="I34" s="542"/>
      <c r="J34" s="542"/>
      <c r="K34" s="542" t="s">
        <v>97</v>
      </c>
      <c r="L34" s="542"/>
      <c r="M34" s="542"/>
      <c r="N34" s="542" t="s">
        <v>97</v>
      </c>
      <c r="O34" s="542"/>
      <c r="P34" s="542"/>
      <c r="Q34" s="543" t="s">
        <v>97</v>
      </c>
      <c r="R34" s="542"/>
      <c r="S34" s="544"/>
      <c r="T34" s="543" t="s">
        <v>97</v>
      </c>
      <c r="U34" s="542"/>
      <c r="V34" s="544"/>
      <c r="W34" s="543" t="s">
        <v>97</v>
      </c>
      <c r="X34" s="542"/>
      <c r="Y34" s="544"/>
      <c r="Z34" s="543" t="s">
        <v>97</v>
      </c>
      <c r="AA34" s="542"/>
      <c r="AB34" s="544"/>
    </row>
    <row r="35" spans="1:28" ht="36" customHeight="1">
      <c r="A35" s="45"/>
      <c r="B35" s="575" t="s">
        <v>98</v>
      </c>
      <c r="C35" s="449" t="s">
        <v>59</v>
      </c>
      <c r="D35" s="115" t="s">
        <v>60</v>
      </c>
      <c r="E35" s="555" t="s">
        <v>181</v>
      </c>
      <c r="F35" s="556"/>
      <c r="G35" s="547"/>
      <c r="H35" s="557" t="s">
        <v>181</v>
      </c>
      <c r="I35" s="556"/>
      <c r="J35" s="547"/>
      <c r="K35" s="546" t="s">
        <v>181</v>
      </c>
      <c r="L35" s="546"/>
      <c r="M35" s="546"/>
      <c r="N35" s="546" t="s">
        <v>181</v>
      </c>
      <c r="O35" s="546"/>
      <c r="P35" s="546"/>
      <c r="Q35" s="547" t="s">
        <v>181</v>
      </c>
      <c r="R35" s="546"/>
      <c r="S35" s="548"/>
      <c r="T35" s="556" t="s">
        <v>181</v>
      </c>
      <c r="U35" s="556"/>
      <c r="V35" s="558"/>
      <c r="W35" s="556" t="s">
        <v>181</v>
      </c>
      <c r="X35" s="556"/>
      <c r="Y35" s="558"/>
      <c r="Z35" s="556" t="s">
        <v>181</v>
      </c>
      <c r="AA35" s="556"/>
      <c r="AB35" s="558"/>
    </row>
    <row r="36" spans="1:28" ht="36" customHeight="1">
      <c r="A36" s="46"/>
      <c r="B36" s="576"/>
      <c r="C36" s="450" t="s">
        <v>64</v>
      </c>
      <c r="D36" s="171" t="s">
        <v>102</v>
      </c>
      <c r="E36" s="545" t="s">
        <v>182</v>
      </c>
      <c r="F36" s="542"/>
      <c r="G36" s="542"/>
      <c r="H36" s="546" t="s">
        <v>182</v>
      </c>
      <c r="I36" s="542"/>
      <c r="J36" s="542"/>
      <c r="K36" s="546" t="s">
        <v>182</v>
      </c>
      <c r="L36" s="542"/>
      <c r="M36" s="542"/>
      <c r="N36" s="546" t="s">
        <v>182</v>
      </c>
      <c r="O36" s="542"/>
      <c r="P36" s="542"/>
      <c r="Q36" s="547" t="s">
        <v>182</v>
      </c>
      <c r="R36" s="542"/>
      <c r="S36" s="544"/>
      <c r="T36" s="547" t="s">
        <v>182</v>
      </c>
      <c r="U36" s="542"/>
      <c r="V36" s="544"/>
      <c r="W36" s="547" t="s">
        <v>182</v>
      </c>
      <c r="X36" s="542"/>
      <c r="Y36" s="544"/>
      <c r="Z36" s="547" t="s">
        <v>182</v>
      </c>
      <c r="AA36" s="542"/>
      <c r="AB36" s="544"/>
    </row>
    <row r="37" spans="1:28" ht="36" customHeight="1">
      <c r="A37" s="45"/>
      <c r="B37" s="577"/>
      <c r="C37" s="451" t="s">
        <v>105</v>
      </c>
      <c r="D37" s="171" t="s">
        <v>106</v>
      </c>
      <c r="E37" s="545" t="s">
        <v>104</v>
      </c>
      <c r="F37" s="546"/>
      <c r="G37" s="546"/>
      <c r="H37" s="546" t="s">
        <v>104</v>
      </c>
      <c r="I37" s="546"/>
      <c r="J37" s="546"/>
      <c r="K37" s="546" t="s">
        <v>104</v>
      </c>
      <c r="L37" s="546"/>
      <c r="M37" s="546"/>
      <c r="N37" s="546" t="s">
        <v>104</v>
      </c>
      <c r="O37" s="546"/>
      <c r="P37" s="546"/>
      <c r="Q37" s="547" t="s">
        <v>104</v>
      </c>
      <c r="R37" s="546"/>
      <c r="S37" s="548"/>
      <c r="T37" s="547" t="s">
        <v>104</v>
      </c>
      <c r="U37" s="546"/>
      <c r="V37" s="548"/>
      <c r="W37" s="547" t="s">
        <v>104</v>
      </c>
      <c r="X37" s="546"/>
      <c r="Y37" s="548"/>
      <c r="Z37" s="547" t="s">
        <v>104</v>
      </c>
      <c r="AA37" s="546"/>
      <c r="AB37" s="548"/>
    </row>
    <row r="38" spans="1:28" ht="18" customHeight="1">
      <c r="A38" s="46"/>
      <c r="B38" s="172" t="s">
        <v>108</v>
      </c>
      <c r="C38" s="452" t="s">
        <v>109</v>
      </c>
      <c r="D38" s="115" t="s">
        <v>110</v>
      </c>
      <c r="E38" s="559">
        <v>2.5</v>
      </c>
      <c r="F38" s="560"/>
      <c r="G38" s="560"/>
      <c r="H38" s="560">
        <v>2.5</v>
      </c>
      <c r="I38" s="560"/>
      <c r="J38" s="560"/>
      <c r="K38" s="560">
        <v>2.5</v>
      </c>
      <c r="L38" s="560"/>
      <c r="M38" s="560"/>
      <c r="N38" s="560">
        <v>2.5</v>
      </c>
      <c r="O38" s="560"/>
      <c r="P38" s="560"/>
      <c r="Q38" s="561">
        <v>2.5</v>
      </c>
      <c r="R38" s="560"/>
      <c r="S38" s="562"/>
      <c r="T38" s="561">
        <v>2.5</v>
      </c>
      <c r="U38" s="560"/>
      <c r="V38" s="562"/>
      <c r="W38" s="561">
        <v>2.5</v>
      </c>
      <c r="X38" s="560"/>
      <c r="Y38" s="562"/>
      <c r="Z38" s="561">
        <v>2.5</v>
      </c>
      <c r="AA38" s="560"/>
      <c r="AB38" s="562"/>
    </row>
    <row r="39" spans="1:28" ht="18" customHeight="1">
      <c r="A39" s="39"/>
      <c r="B39" s="173" t="s">
        <v>111</v>
      </c>
      <c r="C39" s="453" t="s">
        <v>112</v>
      </c>
      <c r="D39" s="174" t="s">
        <v>113</v>
      </c>
      <c r="E39" s="563">
        <v>2.5</v>
      </c>
      <c r="F39" s="564"/>
      <c r="G39" s="564"/>
      <c r="H39" s="564">
        <v>2.5</v>
      </c>
      <c r="I39" s="564"/>
      <c r="J39" s="564"/>
      <c r="K39" s="564">
        <v>2.5</v>
      </c>
      <c r="L39" s="564"/>
      <c r="M39" s="564"/>
      <c r="N39" s="564">
        <v>2.5</v>
      </c>
      <c r="O39" s="564"/>
      <c r="P39" s="564"/>
      <c r="Q39" s="565">
        <v>2.5</v>
      </c>
      <c r="R39" s="564"/>
      <c r="S39" s="566"/>
      <c r="T39" s="565">
        <v>2.5</v>
      </c>
      <c r="U39" s="564"/>
      <c r="V39" s="566"/>
      <c r="W39" s="565">
        <v>2.5</v>
      </c>
      <c r="X39" s="564"/>
      <c r="Y39" s="566"/>
      <c r="Z39" s="565">
        <v>2.5</v>
      </c>
      <c r="AA39" s="564"/>
      <c r="AB39" s="566"/>
    </row>
    <row r="40" spans="1:28" ht="18" customHeight="1">
      <c r="A40" s="39"/>
      <c r="B40" s="175" t="s">
        <v>114</v>
      </c>
      <c r="C40" s="176"/>
      <c r="D40" s="114"/>
      <c r="E40" s="133">
        <f>G40*1.8</f>
        <v>900</v>
      </c>
      <c r="F40" s="134">
        <f>G40*1.1</f>
        <v>550</v>
      </c>
      <c r="G40" s="134">
        <v>500</v>
      </c>
      <c r="H40" s="134">
        <f>J40*1.8</f>
        <v>990</v>
      </c>
      <c r="I40" s="134">
        <f>J40*1.1</f>
        <v>605</v>
      </c>
      <c r="J40" s="191">
        <v>550</v>
      </c>
      <c r="K40" s="134">
        <f>M40*1.8</f>
        <v>1080</v>
      </c>
      <c r="L40" s="134">
        <f>M40*1.1</f>
        <v>660</v>
      </c>
      <c r="M40" s="191">
        <v>600</v>
      </c>
      <c r="N40" s="134">
        <f>P40*1.8</f>
        <v>1170</v>
      </c>
      <c r="O40" s="134">
        <f>P40*1.1</f>
        <v>715.00000000000011</v>
      </c>
      <c r="P40" s="191">
        <v>650</v>
      </c>
      <c r="Q40" s="165">
        <f>S40*1.8</f>
        <v>1260</v>
      </c>
      <c r="R40" s="134">
        <f>S40*1.1</f>
        <v>770.00000000000011</v>
      </c>
      <c r="S40" s="215">
        <v>700</v>
      </c>
      <c r="T40" s="216"/>
      <c r="U40" s="191"/>
      <c r="V40" s="215"/>
      <c r="W40" s="216"/>
      <c r="X40" s="191"/>
      <c r="Y40" s="215"/>
      <c r="Z40" s="216"/>
      <c r="AA40" s="191"/>
      <c r="AB40" s="215"/>
    </row>
    <row r="41" spans="1:28" ht="18" customHeight="1">
      <c r="A41" s="39"/>
      <c r="B41" s="515" t="s">
        <v>115</v>
      </c>
      <c r="C41" s="492" t="s">
        <v>116</v>
      </c>
      <c r="D41" s="493"/>
      <c r="E41" s="192">
        <v>300</v>
      </c>
      <c r="F41" s="178">
        <v>300</v>
      </c>
      <c r="G41" s="204">
        <v>300</v>
      </c>
      <c r="H41" s="178">
        <v>300</v>
      </c>
      <c r="I41" s="178">
        <v>300</v>
      </c>
      <c r="J41" s="204">
        <v>300</v>
      </c>
      <c r="K41" s="204">
        <v>300</v>
      </c>
      <c r="L41" s="204">
        <v>300</v>
      </c>
      <c r="M41" s="204">
        <v>300</v>
      </c>
      <c r="N41" s="204">
        <v>300</v>
      </c>
      <c r="O41" s="204">
        <v>300</v>
      </c>
      <c r="P41" s="204">
        <v>300</v>
      </c>
      <c r="Q41" s="179">
        <v>300</v>
      </c>
      <c r="R41" s="178">
        <v>300</v>
      </c>
      <c r="S41" s="217">
        <v>300</v>
      </c>
      <c r="T41" s="179" t="s">
        <v>57</v>
      </c>
      <c r="U41" s="178" t="s">
        <v>57</v>
      </c>
      <c r="V41" s="217" t="s">
        <v>57</v>
      </c>
      <c r="W41" s="179" t="s">
        <v>57</v>
      </c>
      <c r="X41" s="178" t="s">
        <v>57</v>
      </c>
      <c r="Y41" s="217" t="s">
        <v>57</v>
      </c>
      <c r="Z41" s="179" t="s">
        <v>57</v>
      </c>
      <c r="AA41" s="178" t="s">
        <v>57</v>
      </c>
      <c r="AB41" s="217" t="s">
        <v>57</v>
      </c>
    </row>
    <row r="42" spans="1:28" ht="18" customHeight="1">
      <c r="A42" s="39"/>
      <c r="B42" s="516"/>
      <c r="C42" s="494" t="s">
        <v>117</v>
      </c>
      <c r="D42" s="495"/>
      <c r="E42" s="193">
        <f>E40+E41</f>
        <v>1200</v>
      </c>
      <c r="F42" s="194">
        <f>F40+F41</f>
        <v>850</v>
      </c>
      <c r="G42" s="194">
        <f>G40+G41</f>
        <v>800</v>
      </c>
      <c r="H42" s="194">
        <f t="shared" ref="H42:AB42" si="0">H40+H41</f>
        <v>1290</v>
      </c>
      <c r="I42" s="194">
        <f t="shared" si="0"/>
        <v>905</v>
      </c>
      <c r="J42" s="194">
        <f t="shared" si="0"/>
        <v>850</v>
      </c>
      <c r="K42" s="194">
        <f t="shared" si="0"/>
        <v>1380</v>
      </c>
      <c r="L42" s="194">
        <f t="shared" si="0"/>
        <v>960</v>
      </c>
      <c r="M42" s="194">
        <f t="shared" si="0"/>
        <v>900</v>
      </c>
      <c r="N42" s="194">
        <f t="shared" si="0"/>
        <v>1470</v>
      </c>
      <c r="O42" s="194">
        <f t="shared" si="0"/>
        <v>1015.0000000000001</v>
      </c>
      <c r="P42" s="194">
        <f t="shared" si="0"/>
        <v>950</v>
      </c>
      <c r="Q42" s="194">
        <f t="shared" si="0"/>
        <v>1560</v>
      </c>
      <c r="R42" s="194">
        <f t="shared" si="0"/>
        <v>1070</v>
      </c>
      <c r="S42" s="194">
        <f t="shared" si="0"/>
        <v>1000</v>
      </c>
      <c r="T42" s="194" t="e">
        <f t="shared" si="0"/>
        <v>#VALUE!</v>
      </c>
      <c r="U42" s="194" t="e">
        <f t="shared" si="0"/>
        <v>#VALUE!</v>
      </c>
      <c r="V42" s="194" t="e">
        <f t="shared" si="0"/>
        <v>#VALUE!</v>
      </c>
      <c r="W42" s="194" t="e">
        <f t="shared" si="0"/>
        <v>#VALUE!</v>
      </c>
      <c r="X42" s="194" t="e">
        <f t="shared" si="0"/>
        <v>#VALUE!</v>
      </c>
      <c r="Y42" s="194" t="e">
        <f t="shared" si="0"/>
        <v>#VALUE!</v>
      </c>
      <c r="Z42" s="194" t="e">
        <f t="shared" si="0"/>
        <v>#VALUE!</v>
      </c>
      <c r="AA42" s="194" t="e">
        <f t="shared" si="0"/>
        <v>#VALUE!</v>
      </c>
      <c r="AB42" s="194" t="e">
        <f t="shared" si="0"/>
        <v>#VALUE!</v>
      </c>
    </row>
    <row r="43" spans="1:28" ht="18" customHeight="1">
      <c r="A43" s="39"/>
      <c r="B43" s="517" t="s">
        <v>183</v>
      </c>
      <c r="C43" s="567"/>
      <c r="D43" s="568"/>
      <c r="E43" s="262"/>
      <c r="F43" s="263"/>
      <c r="G43" s="139"/>
      <c r="H43" s="263"/>
      <c r="I43" s="263"/>
      <c r="J43" s="139"/>
      <c r="K43" s="139"/>
      <c r="L43" s="139"/>
      <c r="M43" s="139"/>
      <c r="N43" s="139"/>
      <c r="O43" s="139"/>
      <c r="P43" s="139"/>
      <c r="Q43" s="159"/>
      <c r="R43" s="263"/>
      <c r="S43" s="273"/>
      <c r="T43" s="179" t="s">
        <v>57</v>
      </c>
      <c r="U43" s="178" t="s">
        <v>57</v>
      </c>
      <c r="V43" s="217" t="s">
        <v>57</v>
      </c>
      <c r="W43" s="179" t="s">
        <v>57</v>
      </c>
      <c r="X43" s="178" t="s">
        <v>57</v>
      </c>
      <c r="Y43" s="217" t="s">
        <v>57</v>
      </c>
      <c r="Z43" s="179" t="s">
        <v>57</v>
      </c>
      <c r="AA43" s="178" t="s">
        <v>57</v>
      </c>
      <c r="AB43" s="217" t="s">
        <v>57</v>
      </c>
    </row>
    <row r="44" spans="1:28" ht="18" customHeight="1">
      <c r="A44" s="39"/>
      <c r="B44" s="518"/>
      <c r="C44" s="569"/>
      <c r="D44" s="570"/>
      <c r="E44" s="141">
        <v>4341</v>
      </c>
      <c r="F44" s="142">
        <v>3627</v>
      </c>
      <c r="G44" s="142">
        <v>3567</v>
      </c>
      <c r="H44" s="142">
        <v>4473</v>
      </c>
      <c r="I44" s="142">
        <v>3709</v>
      </c>
      <c r="J44" s="142">
        <v>3644</v>
      </c>
      <c r="K44" s="142">
        <v>4610</v>
      </c>
      <c r="L44" s="142">
        <v>3794</v>
      </c>
      <c r="M44" s="142">
        <v>3724</v>
      </c>
      <c r="N44" s="142">
        <v>4743</v>
      </c>
      <c r="O44" s="142">
        <v>3875</v>
      </c>
      <c r="P44" s="142">
        <v>3800</v>
      </c>
      <c r="Q44" s="170">
        <v>4865</v>
      </c>
      <c r="R44" s="142">
        <v>3948</v>
      </c>
      <c r="S44" s="274">
        <v>3868</v>
      </c>
      <c r="T44" s="219">
        <v>4865</v>
      </c>
      <c r="U44" s="194">
        <v>3948</v>
      </c>
      <c r="V44" s="218">
        <v>3868</v>
      </c>
      <c r="W44" s="219">
        <v>4909</v>
      </c>
      <c r="X44" s="194">
        <v>3977</v>
      </c>
      <c r="Y44" s="218">
        <v>3897</v>
      </c>
      <c r="Z44" s="219">
        <v>4949</v>
      </c>
      <c r="AA44" s="194">
        <v>4000</v>
      </c>
      <c r="AB44" s="218">
        <v>3920</v>
      </c>
    </row>
    <row r="45" spans="1:28" ht="18" customHeight="1">
      <c r="A45" s="39"/>
      <c r="B45" s="181" t="s">
        <v>119</v>
      </c>
      <c r="C45" s="132"/>
      <c r="D45" s="174"/>
      <c r="E45" s="541" t="s">
        <v>51</v>
      </c>
      <c r="F45" s="542"/>
      <c r="G45" s="542"/>
      <c r="H45" s="564" t="s">
        <v>51</v>
      </c>
      <c r="I45" s="564"/>
      <c r="J45" s="564"/>
      <c r="K45" s="564" t="s">
        <v>51</v>
      </c>
      <c r="L45" s="564"/>
      <c r="M45" s="564"/>
      <c r="N45" s="564" t="s">
        <v>51</v>
      </c>
      <c r="O45" s="564"/>
      <c r="P45" s="564"/>
      <c r="Q45" s="565" t="s">
        <v>51</v>
      </c>
      <c r="R45" s="564"/>
      <c r="S45" s="566"/>
      <c r="T45" s="565" t="s">
        <v>51</v>
      </c>
      <c r="U45" s="564"/>
      <c r="V45" s="566"/>
      <c r="W45" s="565" t="s">
        <v>51</v>
      </c>
      <c r="X45" s="564"/>
      <c r="Y45" s="566"/>
      <c r="Z45" s="565" t="s">
        <v>51</v>
      </c>
      <c r="AA45" s="564"/>
      <c r="AB45" s="566"/>
    </row>
    <row r="46" spans="1:28" ht="18" customHeight="1">
      <c r="A46" s="39"/>
      <c r="B46" s="181" t="s">
        <v>120</v>
      </c>
      <c r="C46" s="132"/>
      <c r="D46" s="174"/>
      <c r="E46" s="133" t="s">
        <v>51</v>
      </c>
      <c r="F46" s="134" t="s">
        <v>51</v>
      </c>
      <c r="G46" s="134" t="s">
        <v>51</v>
      </c>
      <c r="H46" s="134" t="s">
        <v>51</v>
      </c>
      <c r="I46" s="134" t="s">
        <v>51</v>
      </c>
      <c r="J46" s="134" t="s">
        <v>51</v>
      </c>
      <c r="K46" s="134" t="s">
        <v>51</v>
      </c>
      <c r="L46" s="134" t="s">
        <v>51</v>
      </c>
      <c r="M46" s="134" t="s">
        <v>51</v>
      </c>
      <c r="N46" s="134" t="s">
        <v>51</v>
      </c>
      <c r="O46" s="134" t="s">
        <v>51</v>
      </c>
      <c r="P46" s="134" t="s">
        <v>51</v>
      </c>
      <c r="Q46" s="165" t="s">
        <v>51</v>
      </c>
      <c r="R46" s="134" t="s">
        <v>51</v>
      </c>
      <c r="S46" s="164" t="s">
        <v>51</v>
      </c>
      <c r="T46" s="165" t="s">
        <v>51</v>
      </c>
      <c r="U46" s="134" t="s">
        <v>51</v>
      </c>
      <c r="V46" s="164" t="s">
        <v>51</v>
      </c>
      <c r="W46" s="165" t="s">
        <v>51</v>
      </c>
      <c r="X46" s="134" t="s">
        <v>51</v>
      </c>
      <c r="Y46" s="164" t="s">
        <v>51</v>
      </c>
      <c r="Z46" s="165" t="s">
        <v>51</v>
      </c>
      <c r="AA46" s="134" t="s">
        <v>51</v>
      </c>
      <c r="AB46" s="164" t="s">
        <v>51</v>
      </c>
    </row>
    <row r="47" spans="1:28" ht="33.950000000000003" customHeight="1">
      <c r="A47" s="39"/>
      <c r="B47" s="521" t="s">
        <v>184</v>
      </c>
      <c r="C47" s="567"/>
      <c r="D47" s="568"/>
      <c r="E47" s="264" t="s">
        <v>185</v>
      </c>
      <c r="F47" s="265" t="s">
        <v>185</v>
      </c>
      <c r="G47" s="265" t="s">
        <v>185</v>
      </c>
      <c r="H47" s="266" t="s">
        <v>185</v>
      </c>
      <c r="I47" s="265" t="s">
        <v>185</v>
      </c>
      <c r="J47" s="265" t="s">
        <v>185</v>
      </c>
      <c r="K47" s="266" t="s">
        <v>185</v>
      </c>
      <c r="L47" s="266" t="s">
        <v>185</v>
      </c>
      <c r="M47" s="266" t="s">
        <v>185</v>
      </c>
      <c r="N47" s="266" t="s">
        <v>185</v>
      </c>
      <c r="O47" s="266" t="s">
        <v>185</v>
      </c>
      <c r="P47" s="266" t="s">
        <v>185</v>
      </c>
      <c r="Q47" s="275"/>
      <c r="R47" s="275" t="s">
        <v>122</v>
      </c>
      <c r="S47" s="276" t="s">
        <v>122</v>
      </c>
      <c r="T47" s="196" t="s">
        <v>57</v>
      </c>
      <c r="U47" s="196" t="s">
        <v>57</v>
      </c>
      <c r="V47" s="224" t="s">
        <v>57</v>
      </c>
      <c r="W47" s="196" t="s">
        <v>57</v>
      </c>
      <c r="X47" s="196" t="s">
        <v>57</v>
      </c>
      <c r="Y47" s="224" t="s">
        <v>57</v>
      </c>
      <c r="Z47" s="196" t="s">
        <v>57</v>
      </c>
      <c r="AA47" s="196" t="s">
        <v>57</v>
      </c>
      <c r="AB47" s="224" t="s">
        <v>57</v>
      </c>
    </row>
    <row r="48" spans="1:28" ht="33.950000000000003" customHeight="1">
      <c r="A48" s="39"/>
      <c r="B48" s="522"/>
      <c r="C48" s="571"/>
      <c r="D48" s="572"/>
      <c r="E48" s="267" t="s">
        <v>186</v>
      </c>
      <c r="F48" s="268" t="s">
        <v>187</v>
      </c>
      <c r="G48" s="268" t="s">
        <v>188</v>
      </c>
      <c r="H48" s="268" t="s">
        <v>189</v>
      </c>
      <c r="I48" s="268" t="s">
        <v>190</v>
      </c>
      <c r="J48" s="268" t="s">
        <v>191</v>
      </c>
      <c r="K48" s="268" t="s">
        <v>192</v>
      </c>
      <c r="L48" s="268" t="s">
        <v>193</v>
      </c>
      <c r="M48" s="268" t="s">
        <v>194</v>
      </c>
      <c r="N48" s="268" t="s">
        <v>195</v>
      </c>
      <c r="O48" s="268" t="s">
        <v>196</v>
      </c>
      <c r="P48" s="268" t="s">
        <v>197</v>
      </c>
      <c r="Q48" s="277" t="s">
        <v>198</v>
      </c>
      <c r="R48" s="268" t="s">
        <v>199</v>
      </c>
      <c r="S48" s="278" t="s">
        <v>200</v>
      </c>
      <c r="T48" s="223" t="s">
        <v>198</v>
      </c>
      <c r="U48" s="199" t="s">
        <v>136</v>
      </c>
      <c r="V48" s="222" t="s">
        <v>200</v>
      </c>
      <c r="W48" s="223" t="s">
        <v>201</v>
      </c>
      <c r="X48" s="199" t="s">
        <v>202</v>
      </c>
      <c r="Y48" s="222" t="s">
        <v>203</v>
      </c>
      <c r="Z48" s="223" t="s">
        <v>204</v>
      </c>
      <c r="AA48" s="199" t="s">
        <v>205</v>
      </c>
      <c r="AB48" s="222" t="s">
        <v>206</v>
      </c>
    </row>
    <row r="49" spans="1:28" ht="33.950000000000003" customHeight="1">
      <c r="A49" s="39"/>
      <c r="B49" s="578" t="s">
        <v>145</v>
      </c>
      <c r="C49" s="492" t="s">
        <v>146</v>
      </c>
      <c r="D49" s="507"/>
      <c r="E49" s="195">
        <v>4031</v>
      </c>
      <c r="F49" s="196">
        <v>3663</v>
      </c>
      <c r="G49" s="196">
        <v>3663</v>
      </c>
      <c r="H49" s="197">
        <v>4038</v>
      </c>
      <c r="I49" s="196">
        <v>4038</v>
      </c>
      <c r="J49" s="196">
        <v>4038</v>
      </c>
      <c r="K49" s="197">
        <v>4160</v>
      </c>
      <c r="L49" s="197">
        <v>4153</v>
      </c>
      <c r="M49" s="197">
        <v>4153</v>
      </c>
      <c r="N49" s="197">
        <v>4654</v>
      </c>
      <c r="O49" s="197">
        <v>4648</v>
      </c>
      <c r="P49" s="197">
        <v>4648</v>
      </c>
      <c r="Q49" s="196">
        <v>6072</v>
      </c>
      <c r="R49" s="196">
        <v>6072</v>
      </c>
      <c r="S49" s="224">
        <v>6072</v>
      </c>
      <c r="T49" s="196">
        <v>5198</v>
      </c>
      <c r="U49" s="196">
        <v>6072</v>
      </c>
      <c r="V49" s="224">
        <v>6072</v>
      </c>
      <c r="W49" s="196">
        <v>6268</v>
      </c>
      <c r="X49" s="196">
        <v>6458</v>
      </c>
      <c r="Y49" s="224">
        <v>6458</v>
      </c>
      <c r="Z49" s="196">
        <v>5861</v>
      </c>
      <c r="AA49" s="196">
        <v>5672</v>
      </c>
      <c r="AB49" s="224">
        <v>5638</v>
      </c>
    </row>
    <row r="50" spans="1:28" ht="33.950000000000003" customHeight="1">
      <c r="A50" s="39"/>
      <c r="B50" s="579"/>
      <c r="C50" s="508" t="s">
        <v>151</v>
      </c>
      <c r="D50" s="509"/>
      <c r="E50" s="198">
        <v>13009</v>
      </c>
      <c r="F50" s="199">
        <v>13009</v>
      </c>
      <c r="G50" s="199">
        <v>12961</v>
      </c>
      <c r="H50" s="199">
        <v>12669</v>
      </c>
      <c r="I50" s="199">
        <v>12028</v>
      </c>
      <c r="J50" s="199">
        <v>12029</v>
      </c>
      <c r="K50" s="199">
        <v>14523</v>
      </c>
      <c r="L50" s="199">
        <v>13869</v>
      </c>
      <c r="M50" s="199">
        <v>13813</v>
      </c>
      <c r="N50" s="199">
        <v>15353</v>
      </c>
      <c r="O50" s="199">
        <v>14656</v>
      </c>
      <c r="P50" s="199">
        <v>14595</v>
      </c>
      <c r="Q50" s="223">
        <v>15547</v>
      </c>
      <c r="R50" s="199">
        <v>15367</v>
      </c>
      <c r="S50" s="222">
        <v>15302</v>
      </c>
      <c r="T50" s="223">
        <v>15547</v>
      </c>
      <c r="U50" s="199">
        <v>15367</v>
      </c>
      <c r="V50" s="222">
        <v>15302</v>
      </c>
      <c r="W50" s="223">
        <v>15481</v>
      </c>
      <c r="X50" s="199">
        <v>15516</v>
      </c>
      <c r="Y50" s="222">
        <v>15451</v>
      </c>
      <c r="Z50" s="223">
        <v>15538</v>
      </c>
      <c r="AA50" s="199">
        <v>15493</v>
      </c>
      <c r="AB50" s="222">
        <v>15551</v>
      </c>
    </row>
    <row r="51" spans="1:28" ht="33.950000000000003" customHeight="1">
      <c r="A51" s="39"/>
      <c r="B51" s="257" t="s">
        <v>148</v>
      </c>
      <c r="C51" s="258"/>
      <c r="D51" s="255"/>
      <c r="E51" s="269"/>
      <c r="F51" s="270"/>
      <c r="G51" s="270"/>
      <c r="H51" s="270"/>
      <c r="I51" s="271"/>
      <c r="J51" s="271"/>
      <c r="K51" s="270"/>
      <c r="L51" s="270"/>
      <c r="M51" s="270"/>
      <c r="N51" s="270">
        <v>4071.83</v>
      </c>
      <c r="O51" s="270"/>
      <c r="P51" s="270"/>
      <c r="Q51" s="271">
        <v>3913.97</v>
      </c>
      <c r="R51" s="279"/>
      <c r="S51" s="280"/>
      <c r="T51" s="271"/>
      <c r="U51" s="279"/>
      <c r="V51" s="280"/>
      <c r="W51" s="279"/>
      <c r="X51" s="279"/>
      <c r="Y51" s="280"/>
      <c r="Z51" s="279"/>
      <c r="AA51" s="279"/>
      <c r="AB51" s="280"/>
    </row>
    <row r="52" spans="1:28" ht="33.950000000000003" customHeight="1">
      <c r="A52" s="39"/>
      <c r="B52" s="259" t="s">
        <v>149</v>
      </c>
      <c r="C52" s="260"/>
      <c r="D52" s="261"/>
      <c r="E52" s="136"/>
      <c r="F52" s="137"/>
      <c r="G52" s="137"/>
      <c r="H52" s="137"/>
      <c r="I52" s="214"/>
      <c r="J52" s="214"/>
      <c r="K52" s="137"/>
      <c r="L52" s="137"/>
      <c r="M52" s="137"/>
      <c r="N52" s="272">
        <v>103.8</v>
      </c>
      <c r="O52" s="272">
        <v>103.8</v>
      </c>
      <c r="P52" s="272">
        <v>103.8</v>
      </c>
      <c r="Q52" s="281">
        <v>116.7</v>
      </c>
      <c r="R52" s="282">
        <v>116.7</v>
      </c>
      <c r="S52" s="283">
        <v>116.7</v>
      </c>
      <c r="T52" s="214"/>
      <c r="U52" s="285"/>
      <c r="V52" s="286"/>
      <c r="W52" s="285"/>
      <c r="X52" s="285"/>
      <c r="Y52" s="286"/>
      <c r="Z52" s="285"/>
      <c r="AA52" s="285"/>
      <c r="AB52" s="286"/>
    </row>
    <row r="53" spans="1:28" ht="33.950000000000003" customHeight="1">
      <c r="A53" s="39"/>
      <c r="B53" s="521" t="s">
        <v>150</v>
      </c>
      <c r="C53" s="506" t="s">
        <v>146</v>
      </c>
      <c r="D53" s="507"/>
      <c r="E53" s="195"/>
      <c r="F53" s="196"/>
      <c r="G53" s="196"/>
      <c r="H53" s="197"/>
      <c r="I53" s="196"/>
      <c r="J53" s="196"/>
      <c r="K53" s="197"/>
      <c r="L53" s="197"/>
      <c r="M53" s="197"/>
      <c r="N53" s="197"/>
      <c r="O53" s="197"/>
      <c r="P53" s="197"/>
      <c r="Q53" s="196"/>
      <c r="R53" s="196"/>
      <c r="S53" s="224"/>
      <c r="T53" s="196"/>
      <c r="U53" s="196"/>
      <c r="V53" s="224"/>
      <c r="W53" s="196"/>
      <c r="X53" s="196"/>
      <c r="Y53" s="224"/>
      <c r="Z53" s="196"/>
      <c r="AA53" s="196"/>
      <c r="AB53" s="224"/>
    </row>
    <row r="54" spans="1:28" ht="33.950000000000003" customHeight="1">
      <c r="A54" s="39"/>
      <c r="B54" s="522"/>
      <c r="C54" s="508" t="s">
        <v>151</v>
      </c>
      <c r="D54" s="509"/>
      <c r="E54" s="198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223"/>
      <c r="R54" s="221"/>
      <c r="S54" s="284"/>
      <c r="T54" s="223"/>
      <c r="U54" s="221"/>
      <c r="V54" s="284"/>
      <c r="W54" s="287"/>
      <c r="X54" s="221"/>
      <c r="Y54" s="284"/>
      <c r="Z54" s="287"/>
      <c r="AA54" s="221"/>
      <c r="AB54" s="284"/>
    </row>
    <row r="55" spans="1:28" s="37" customFormat="1" ht="18.95" customHeight="1">
      <c r="A55" s="183"/>
      <c r="B55" s="184"/>
      <c r="C55" s="184"/>
      <c r="D55" s="185"/>
      <c r="E55" s="200"/>
      <c r="F55" s="200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</row>
    <row r="56" spans="1:28" ht="18.95" customHeight="1">
      <c r="A56" s="75"/>
      <c r="B56" s="186" t="s">
        <v>152</v>
      </c>
      <c r="C56" s="187"/>
      <c r="D56" s="187"/>
      <c r="E56" s="201"/>
      <c r="F56" s="201"/>
      <c r="G56" s="201"/>
      <c r="H56" s="75"/>
      <c r="I56" s="75"/>
      <c r="J56" s="75"/>
      <c r="K56" s="75"/>
      <c r="L56" s="75"/>
      <c r="M56" s="75"/>
      <c r="N56" s="75"/>
      <c r="P56" s="205"/>
      <c r="AA56" s="225" t="s">
        <v>6</v>
      </c>
      <c r="AB56" s="226"/>
    </row>
    <row r="57" spans="1:28" ht="15.95" customHeight="1">
      <c r="A57" s="75"/>
      <c r="B57" s="75"/>
      <c r="C57" s="188" t="s">
        <v>153</v>
      </c>
      <c r="M57" s="75"/>
      <c r="N57" s="75"/>
      <c r="O57" s="75"/>
      <c r="P57" s="75"/>
    </row>
    <row r="58" spans="1:28" ht="15.95" customHeight="1">
      <c r="A58" s="75"/>
      <c r="B58" s="75"/>
      <c r="C58" s="75" t="s">
        <v>154</v>
      </c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Z58" s="75"/>
      <c r="AA58" s="75"/>
    </row>
    <row r="59" spans="1:28" s="75" customFormat="1" ht="26.25">
      <c r="A59" s="86"/>
      <c r="B59" s="189"/>
      <c r="C59" s="190"/>
      <c r="D59" s="190"/>
      <c r="E59" s="573" t="s">
        <v>155</v>
      </c>
      <c r="F59" s="574"/>
      <c r="G59" s="202"/>
      <c r="H59" s="573"/>
      <c r="I59" s="574"/>
      <c r="J59" s="202"/>
      <c r="K59" s="573"/>
      <c r="L59" s="574"/>
      <c r="M59" s="190"/>
      <c r="N59" s="206"/>
      <c r="O59" s="207"/>
      <c r="P59" s="190" t="s">
        <v>156</v>
      </c>
      <c r="Q59" s="190"/>
      <c r="R59" s="190"/>
      <c r="S59" s="190"/>
      <c r="T59" s="190"/>
      <c r="U59" s="190"/>
      <c r="V59" s="190"/>
      <c r="W59" s="190"/>
      <c r="X59" s="190"/>
      <c r="Z59" s="190"/>
      <c r="AA59" s="190"/>
    </row>
    <row r="60" spans="1:28" s="75" customFormat="1">
      <c r="A60" s="86"/>
    </row>
    <row r="61" spans="1:28" ht="15.95" customHeight="1">
      <c r="A61" s="75"/>
      <c r="B61" s="75"/>
      <c r="C61" s="75"/>
      <c r="D61" s="75"/>
    </row>
    <row r="62" spans="1:28" ht="13.5" customHeight="1">
      <c r="E62" s="203"/>
      <c r="F62" s="203"/>
      <c r="G62" s="86"/>
      <c r="H62" s="203"/>
      <c r="I62" s="203"/>
      <c r="J62" s="86"/>
      <c r="K62" s="203"/>
      <c r="L62" s="203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Z62" s="86"/>
      <c r="AA62" s="86"/>
    </row>
    <row r="63" spans="1:28" ht="13.5" customHeight="1">
      <c r="E63" s="203"/>
      <c r="F63" s="203"/>
      <c r="H63" s="203"/>
      <c r="I63" s="203"/>
      <c r="K63" s="203"/>
      <c r="L63" s="203"/>
    </row>
    <row r="65" spans="11:12">
      <c r="K65" s="75"/>
      <c r="L65" s="75"/>
    </row>
  </sheetData>
  <sheetProtection formatCells="0" insertHyperlinks="0" autoFilter="0"/>
  <mergeCells count="213">
    <mergeCell ref="B35:B37"/>
    <mergeCell ref="B41:B42"/>
    <mergeCell ref="B43:B44"/>
    <mergeCell ref="B47:B48"/>
    <mergeCell ref="B49:B50"/>
    <mergeCell ref="B53:B54"/>
    <mergeCell ref="B5:H6"/>
    <mergeCell ref="B7:H8"/>
    <mergeCell ref="B21:D22"/>
    <mergeCell ref="W45:Y45"/>
    <mergeCell ref="Z45:AB45"/>
    <mergeCell ref="C47:D47"/>
    <mergeCell ref="C48:D48"/>
    <mergeCell ref="C49:D49"/>
    <mergeCell ref="C50:D50"/>
    <mergeCell ref="C53:D53"/>
    <mergeCell ref="C54:D54"/>
    <mergeCell ref="E59:F59"/>
    <mergeCell ref="H59:I59"/>
    <mergeCell ref="K59:L59"/>
    <mergeCell ref="C42:D42"/>
    <mergeCell ref="C43:D43"/>
    <mergeCell ref="C44:D44"/>
    <mergeCell ref="E45:G45"/>
    <mergeCell ref="H45:J45"/>
    <mergeCell ref="K45:M45"/>
    <mergeCell ref="N45:P45"/>
    <mergeCell ref="Q45:S45"/>
    <mergeCell ref="T45:V45"/>
    <mergeCell ref="E39:G39"/>
    <mergeCell ref="H39:J39"/>
    <mergeCell ref="K39:M39"/>
    <mergeCell ref="N39:P39"/>
    <mergeCell ref="Q39:S39"/>
    <mergeCell ref="T39:V39"/>
    <mergeCell ref="W39:Y39"/>
    <mergeCell ref="Z39:AB39"/>
    <mergeCell ref="C41:D41"/>
    <mergeCell ref="E37:G37"/>
    <mergeCell ref="H37:J37"/>
    <mergeCell ref="K37:M37"/>
    <mergeCell ref="N37:P37"/>
    <mergeCell ref="Q37:S37"/>
    <mergeCell ref="T37:V37"/>
    <mergeCell ref="W37:Y37"/>
    <mergeCell ref="Z37:AB37"/>
    <mergeCell ref="E38:G38"/>
    <mergeCell ref="H38:J38"/>
    <mergeCell ref="K38:M38"/>
    <mergeCell ref="N38:P38"/>
    <mergeCell ref="Q38:S38"/>
    <mergeCell ref="T38:V38"/>
    <mergeCell ref="W38:Y38"/>
    <mergeCell ref="Z38:AB38"/>
    <mergeCell ref="E35:G35"/>
    <mergeCell ref="H35:J35"/>
    <mergeCell ref="K35:M35"/>
    <mergeCell ref="N35:P35"/>
    <mergeCell ref="Q35:S35"/>
    <mergeCell ref="T35:V35"/>
    <mergeCell ref="W35:Y35"/>
    <mergeCell ref="Z35:AB35"/>
    <mergeCell ref="E36:G36"/>
    <mergeCell ref="H36:J36"/>
    <mergeCell ref="K36:M36"/>
    <mergeCell ref="N36:P36"/>
    <mergeCell ref="Q36:S36"/>
    <mergeCell ref="T36:V36"/>
    <mergeCell ref="W36:Y36"/>
    <mergeCell ref="Z36:AB36"/>
    <mergeCell ref="E33:G33"/>
    <mergeCell ref="H33:J33"/>
    <mergeCell ref="K33:M33"/>
    <mergeCell ref="N33:P33"/>
    <mergeCell ref="Q33:S33"/>
    <mergeCell ref="T33:V33"/>
    <mergeCell ref="W33:Y33"/>
    <mergeCell ref="Z33:AB33"/>
    <mergeCell ref="E34:G34"/>
    <mergeCell ref="H34:J34"/>
    <mergeCell ref="K34:M34"/>
    <mergeCell ref="N34:P34"/>
    <mergeCell ref="Q34:S34"/>
    <mergeCell ref="T34:V34"/>
    <mergeCell ref="W34:Y34"/>
    <mergeCell ref="Z34:AB34"/>
    <mergeCell ref="E31:G31"/>
    <mergeCell ref="H31:J31"/>
    <mergeCell ref="K31:M31"/>
    <mergeCell ref="N31:P31"/>
    <mergeCell ref="Q31:S31"/>
    <mergeCell ref="T31:V31"/>
    <mergeCell ref="W31:Y31"/>
    <mergeCell ref="Z31:AB31"/>
    <mergeCell ref="E32:G32"/>
    <mergeCell ref="H32:J32"/>
    <mergeCell ref="K32:M32"/>
    <mergeCell ref="N32:P32"/>
    <mergeCell ref="Q32:S32"/>
    <mergeCell ref="T32:V32"/>
    <mergeCell ref="W32:Y32"/>
    <mergeCell ref="Z32:AB32"/>
    <mergeCell ref="E29:G29"/>
    <mergeCell ref="H29:J29"/>
    <mergeCell ref="K29:M29"/>
    <mergeCell ref="N29:P29"/>
    <mergeCell ref="Q29:S29"/>
    <mergeCell ref="T29:V29"/>
    <mergeCell ref="W29:Y29"/>
    <mergeCell ref="Z29:AB29"/>
    <mergeCell ref="E30:G30"/>
    <mergeCell ref="H30:J30"/>
    <mergeCell ref="K30:M30"/>
    <mergeCell ref="N30:P30"/>
    <mergeCell ref="Q30:S30"/>
    <mergeCell ref="T30:V30"/>
    <mergeCell ref="W30:Y30"/>
    <mergeCell ref="Z30:AB30"/>
    <mergeCell ref="E27:G27"/>
    <mergeCell ref="H27:J27"/>
    <mergeCell ref="K27:M27"/>
    <mergeCell ref="N27:P27"/>
    <mergeCell ref="Q27:S27"/>
    <mergeCell ref="T27:V27"/>
    <mergeCell ref="W27:Y27"/>
    <mergeCell ref="Z27:AB27"/>
    <mergeCell ref="E28:G28"/>
    <mergeCell ref="H28:J28"/>
    <mergeCell ref="K28:M28"/>
    <mergeCell ref="N28:P28"/>
    <mergeCell ref="Q28:S28"/>
    <mergeCell ref="T28:V28"/>
    <mergeCell ref="W28:Y28"/>
    <mergeCell ref="Z28:AB28"/>
    <mergeCell ref="E25:G25"/>
    <mergeCell ref="H25:J25"/>
    <mergeCell ref="K25:M25"/>
    <mergeCell ref="N25:P25"/>
    <mergeCell ref="Q25:S25"/>
    <mergeCell ref="T25:V25"/>
    <mergeCell ref="W25:Y25"/>
    <mergeCell ref="Z25:AB25"/>
    <mergeCell ref="E26:G26"/>
    <mergeCell ref="H26:J26"/>
    <mergeCell ref="K26:M26"/>
    <mergeCell ref="N26:P26"/>
    <mergeCell ref="Q26:S26"/>
    <mergeCell ref="T26:V26"/>
    <mergeCell ref="W26:Y26"/>
    <mergeCell ref="Z26:AB26"/>
    <mergeCell ref="F23:G23"/>
    <mergeCell ref="I23:J23"/>
    <mergeCell ref="L23:M23"/>
    <mergeCell ref="O23:P23"/>
    <mergeCell ref="R23:S23"/>
    <mergeCell ref="U23:V23"/>
    <mergeCell ref="X23:Y23"/>
    <mergeCell ref="AA23:AB23"/>
    <mergeCell ref="E24:G24"/>
    <mergeCell ref="H24:J24"/>
    <mergeCell ref="K24:M24"/>
    <mergeCell ref="N24:P24"/>
    <mergeCell ref="Q24:S24"/>
    <mergeCell ref="T24:V24"/>
    <mergeCell ref="W24:Y24"/>
    <mergeCell ref="Z24:AB24"/>
    <mergeCell ref="E19:G19"/>
    <mergeCell ref="H19:J19"/>
    <mergeCell ref="K19:M19"/>
    <mergeCell ref="N19:P19"/>
    <mergeCell ref="Q19:S19"/>
    <mergeCell ref="T19:V19"/>
    <mergeCell ref="W19:Y19"/>
    <mergeCell ref="Z19:AB19"/>
    <mergeCell ref="E20:G20"/>
    <mergeCell ref="H20:J20"/>
    <mergeCell ref="K20:M20"/>
    <mergeCell ref="N20:P20"/>
    <mergeCell ref="Q20:S20"/>
    <mergeCell ref="T20:V20"/>
    <mergeCell ref="W20:Y20"/>
    <mergeCell ref="Z20:AB20"/>
    <mergeCell ref="E17:G17"/>
    <mergeCell ref="H17:J17"/>
    <mergeCell ref="K17:M17"/>
    <mergeCell ref="N17:P17"/>
    <mergeCell ref="Q17:S17"/>
    <mergeCell ref="T17:V17"/>
    <mergeCell ref="W17:Y17"/>
    <mergeCell ref="Z17:AB17"/>
    <mergeCell ref="E18:G18"/>
    <mergeCell ref="H18:J18"/>
    <mergeCell ref="K18:M18"/>
    <mergeCell ref="N18:P18"/>
    <mergeCell ref="Q18:S18"/>
    <mergeCell ref="T18:V18"/>
    <mergeCell ref="W18:Y18"/>
    <mergeCell ref="Z18:AB18"/>
    <mergeCell ref="E10:S10"/>
    <mergeCell ref="T10:V10"/>
    <mergeCell ref="W10:Y10"/>
    <mergeCell ref="Z10:AB10"/>
    <mergeCell ref="E11:AB11"/>
    <mergeCell ref="E12:AB12"/>
    <mergeCell ref="E13:AB13"/>
    <mergeCell ref="E14:G14"/>
    <mergeCell ref="H14:J14"/>
    <mergeCell ref="K14:M14"/>
    <mergeCell ref="N14:P14"/>
    <mergeCell ref="Q14:S14"/>
    <mergeCell ref="T14:V14"/>
    <mergeCell ref="W14:Y14"/>
    <mergeCell ref="Z14:AB14"/>
  </mergeCells>
  <pageMargins left="0.7" right="0.7" top="0.75" bottom="0.75" header="0.3" footer="0.3"/>
  <pageSetup paperSize="8" scale="62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2:AF64"/>
  <sheetViews>
    <sheetView zoomScale="85" zoomScaleNormal="85" workbookViewId="0">
      <selection activeCell="M38" sqref="M38"/>
    </sheetView>
  </sheetViews>
  <sheetFormatPr defaultColWidth="8.875" defaultRowHeight="13.5"/>
  <cols>
    <col min="18" max="18" width="13" customWidth="1"/>
    <col min="19" max="19" width="9.125" customWidth="1"/>
    <col min="20" max="20" width="15.125" customWidth="1"/>
    <col min="21" max="21" width="11" customWidth="1"/>
    <col min="22" max="22" width="5.875" customWidth="1"/>
    <col min="29" max="29" width="51.875" customWidth="1"/>
    <col min="30" max="30" width="10.125" customWidth="1"/>
    <col min="31" max="31" width="12.5" customWidth="1"/>
    <col min="32" max="32" width="51" customWidth="1"/>
  </cols>
  <sheetData>
    <row r="2" spans="2:32">
      <c r="B2" s="227" t="s">
        <v>207</v>
      </c>
    </row>
    <row r="3" spans="2:32">
      <c r="C3" s="228" t="s">
        <v>208</v>
      </c>
    </row>
    <row r="5" spans="2:32">
      <c r="D5" t="s">
        <v>209</v>
      </c>
    </row>
    <row r="6" spans="2:32">
      <c r="D6" t="s">
        <v>210</v>
      </c>
    </row>
    <row r="7" spans="2:32">
      <c r="D7" t="s">
        <v>211</v>
      </c>
    </row>
    <row r="8" spans="2:32">
      <c r="AB8" s="244" t="s">
        <v>212</v>
      </c>
      <c r="AC8" s="247"/>
      <c r="AD8" s="247"/>
      <c r="AE8" s="248" t="s">
        <v>213</v>
      </c>
    </row>
    <row r="9" spans="2:32">
      <c r="T9" s="230"/>
      <c r="U9" s="236"/>
      <c r="V9" s="236"/>
      <c r="W9" s="237" t="s">
        <v>214</v>
      </c>
      <c r="AB9" s="245" t="s">
        <v>215</v>
      </c>
      <c r="AC9" s="245" t="s">
        <v>216</v>
      </c>
      <c r="AD9" s="249" t="s">
        <v>217</v>
      </c>
      <c r="AE9" s="245" t="s">
        <v>218</v>
      </c>
      <c r="AF9" s="245" t="s">
        <v>219</v>
      </c>
    </row>
    <row r="10" spans="2:32">
      <c r="T10" s="231" t="s">
        <v>220</v>
      </c>
      <c r="U10" s="238" t="s">
        <v>221</v>
      </c>
      <c r="V10" s="239" t="s">
        <v>222</v>
      </c>
      <c r="W10" s="240">
        <v>2000</v>
      </c>
      <c r="AB10" s="231" t="s">
        <v>223</v>
      </c>
      <c r="AC10" s="250" t="s">
        <v>224</v>
      </c>
      <c r="AD10" s="250" t="s">
        <v>225</v>
      </c>
      <c r="AE10" s="250" t="s">
        <v>226</v>
      </c>
      <c r="AF10" s="250"/>
    </row>
    <row r="11" spans="2:32">
      <c r="T11" s="232"/>
      <c r="U11" s="238" t="s">
        <v>227</v>
      </c>
      <c r="V11" s="239" t="s">
        <v>228</v>
      </c>
      <c r="W11" s="240">
        <v>8</v>
      </c>
      <c r="AB11" s="232"/>
      <c r="AC11" s="251" t="s">
        <v>229</v>
      </c>
      <c r="AD11" s="251" t="s">
        <v>225</v>
      </c>
      <c r="AE11" s="251" t="s">
        <v>226</v>
      </c>
      <c r="AF11" s="251"/>
    </row>
    <row r="12" spans="2:32">
      <c r="T12" s="232"/>
      <c r="U12" s="238" t="s">
        <v>230</v>
      </c>
      <c r="V12" s="239"/>
      <c r="W12" s="241" t="s">
        <v>231</v>
      </c>
      <c r="AB12" s="232"/>
      <c r="AC12" s="251" t="s">
        <v>232</v>
      </c>
      <c r="AD12" s="251" t="s">
        <v>225</v>
      </c>
      <c r="AE12" s="251" t="s">
        <v>226</v>
      </c>
      <c r="AF12" s="251"/>
    </row>
    <row r="13" spans="2:32">
      <c r="T13" s="232"/>
      <c r="U13" s="238" t="s">
        <v>233</v>
      </c>
      <c r="V13" s="239" t="s">
        <v>234</v>
      </c>
      <c r="W13" s="240">
        <v>610</v>
      </c>
      <c r="AB13" s="232"/>
      <c r="AC13" s="251" t="s">
        <v>235</v>
      </c>
      <c r="AD13" s="251" t="s">
        <v>225</v>
      </c>
      <c r="AE13" s="251" t="s">
        <v>226</v>
      </c>
      <c r="AF13" s="251"/>
    </row>
    <row r="14" spans="2:32">
      <c r="T14" s="232"/>
      <c r="U14" s="238" t="s">
        <v>236</v>
      </c>
      <c r="V14" s="239" t="s">
        <v>237</v>
      </c>
      <c r="W14" s="240">
        <v>251</v>
      </c>
      <c r="AB14" s="233"/>
      <c r="AC14" s="252" t="s">
        <v>238</v>
      </c>
      <c r="AD14" s="454" t="s">
        <v>239</v>
      </c>
      <c r="AE14" s="454" t="s">
        <v>239</v>
      </c>
      <c r="AF14" s="251"/>
    </row>
    <row r="15" spans="2:32">
      <c r="T15" s="232"/>
      <c r="U15" s="238" t="s">
        <v>240</v>
      </c>
      <c r="V15" s="239" t="s">
        <v>241</v>
      </c>
      <c r="W15" s="240">
        <v>3000</v>
      </c>
      <c r="AB15" s="246" t="s">
        <v>242</v>
      </c>
      <c r="AC15" s="250" t="s">
        <v>243</v>
      </c>
      <c r="AD15" s="250" t="s">
        <v>244</v>
      </c>
      <c r="AE15" s="250" t="s">
        <v>245</v>
      </c>
      <c r="AF15" s="250"/>
    </row>
    <row r="16" spans="2:32">
      <c r="T16" s="232"/>
      <c r="U16" s="238" t="s">
        <v>246</v>
      </c>
      <c r="V16" s="239" t="s">
        <v>241</v>
      </c>
      <c r="W16" s="240">
        <v>9800</v>
      </c>
      <c r="AB16" s="232"/>
      <c r="AC16" s="251" t="s">
        <v>247</v>
      </c>
      <c r="AD16" s="250" t="s">
        <v>244</v>
      </c>
      <c r="AE16" s="250" t="s">
        <v>245</v>
      </c>
      <c r="AF16" s="250"/>
    </row>
    <row r="17" spans="2:32">
      <c r="T17" s="233"/>
      <c r="U17" s="238" t="s">
        <v>248</v>
      </c>
      <c r="V17" s="239" t="s">
        <v>249</v>
      </c>
      <c r="W17" s="240">
        <v>93</v>
      </c>
      <c r="AB17" s="232"/>
      <c r="AC17" s="251" t="s">
        <v>250</v>
      </c>
      <c r="AD17" s="250" t="s">
        <v>244</v>
      </c>
      <c r="AE17" s="250" t="s">
        <v>245</v>
      </c>
      <c r="AF17" s="250"/>
    </row>
    <row r="18" spans="2:32">
      <c r="T18" s="231" t="s">
        <v>251</v>
      </c>
      <c r="U18" s="238" t="s">
        <v>252</v>
      </c>
      <c r="V18" s="239" t="s">
        <v>253</v>
      </c>
      <c r="W18" s="240">
        <v>172</v>
      </c>
      <c r="AB18" s="233"/>
      <c r="AC18" s="252" t="s">
        <v>238</v>
      </c>
      <c r="AD18" s="454" t="s">
        <v>239</v>
      </c>
      <c r="AE18" s="454" t="s">
        <v>239</v>
      </c>
      <c r="AF18" s="251"/>
    </row>
    <row r="19" spans="2:32">
      <c r="R19" s="228"/>
      <c r="S19" s="234"/>
      <c r="T19" s="233"/>
      <c r="U19" s="238" t="s">
        <v>254</v>
      </c>
      <c r="V19" s="239" t="s">
        <v>255</v>
      </c>
      <c r="W19" s="240">
        <v>400</v>
      </c>
      <c r="AB19" s="246" t="s">
        <v>256</v>
      </c>
      <c r="AC19" s="253"/>
      <c r="AD19" s="250"/>
      <c r="AE19" s="250"/>
      <c r="AF19" s="250"/>
    </row>
    <row r="20" spans="2:32">
      <c r="T20" s="231" t="s">
        <v>257</v>
      </c>
      <c r="U20" s="238" t="s">
        <v>258</v>
      </c>
      <c r="V20" s="239" t="s">
        <v>253</v>
      </c>
      <c r="W20" s="242">
        <v>450</v>
      </c>
      <c r="X20" s="228" t="s">
        <v>259</v>
      </c>
      <c r="AB20" s="232"/>
      <c r="AC20" s="251" t="s">
        <v>260</v>
      </c>
      <c r="AD20" s="251" t="s">
        <v>244</v>
      </c>
      <c r="AE20" s="251" t="s">
        <v>261</v>
      </c>
      <c r="AF20" s="251" t="s">
        <v>262</v>
      </c>
    </row>
    <row r="21" spans="2:32">
      <c r="T21" s="233"/>
      <c r="U21" s="238" t="s">
        <v>263</v>
      </c>
      <c r="V21" s="239" t="s">
        <v>255</v>
      </c>
      <c r="W21" s="243">
        <v>784</v>
      </c>
      <c r="X21" s="228" t="s">
        <v>259</v>
      </c>
      <c r="AB21" s="233"/>
      <c r="AC21" s="254" t="s">
        <v>264</v>
      </c>
      <c r="AD21" s="454" t="s">
        <v>51</v>
      </c>
      <c r="AE21" s="454" t="s">
        <v>51</v>
      </c>
      <c r="AF21" s="454" t="s">
        <v>265</v>
      </c>
    </row>
    <row r="22" spans="2:32">
      <c r="T22" s="235"/>
      <c r="U22" s="235"/>
      <c r="V22" s="235"/>
      <c r="W22" s="235"/>
      <c r="AB22" s="231" t="s">
        <v>266</v>
      </c>
      <c r="AC22" s="250" t="s">
        <v>267</v>
      </c>
      <c r="AD22" s="250" t="s">
        <v>226</v>
      </c>
      <c r="AE22" s="250" t="s">
        <v>268</v>
      </c>
      <c r="AF22" s="250" t="s">
        <v>269</v>
      </c>
    </row>
    <row r="23" spans="2:32">
      <c r="T23" s="235"/>
      <c r="U23" s="235"/>
      <c r="V23" s="235"/>
      <c r="W23" s="235"/>
      <c r="AB23" s="232"/>
      <c r="AC23" s="251" t="s">
        <v>270</v>
      </c>
      <c r="AD23" s="251" t="s">
        <v>244</v>
      </c>
      <c r="AE23" s="251" t="s">
        <v>271</v>
      </c>
      <c r="AF23" s="251" t="s">
        <v>272</v>
      </c>
    </row>
    <row r="24" spans="2:32">
      <c r="R24" s="228"/>
      <c r="S24" s="227" t="s">
        <v>273</v>
      </c>
      <c r="T24" s="235"/>
      <c r="U24" s="235"/>
      <c r="V24" s="235"/>
      <c r="W24" s="235"/>
      <c r="AB24" s="233"/>
      <c r="AC24" s="252" t="s">
        <v>274</v>
      </c>
      <c r="AD24" s="252" t="s">
        <v>261</v>
      </c>
      <c r="AE24" s="252" t="s">
        <v>213</v>
      </c>
      <c r="AF24" s="254" t="s">
        <v>275</v>
      </c>
    </row>
    <row r="25" spans="2:32">
      <c r="T25" s="235"/>
      <c r="U25" s="235"/>
      <c r="V25" s="235"/>
      <c r="W25" s="235"/>
      <c r="AB25" s="246" t="s">
        <v>276</v>
      </c>
      <c r="AC25" s="250" t="s">
        <v>277</v>
      </c>
      <c r="AD25" s="250"/>
      <c r="AE25" s="250" t="s">
        <v>261</v>
      </c>
      <c r="AF25" s="250" t="s">
        <v>278</v>
      </c>
    </row>
    <row r="26" spans="2:32">
      <c r="I26" s="229" t="s">
        <v>279</v>
      </c>
      <c r="AB26" s="233"/>
      <c r="AC26" s="254" t="s">
        <v>280</v>
      </c>
      <c r="AD26" s="252"/>
      <c r="AE26" s="252" t="s">
        <v>261</v>
      </c>
      <c r="AF26" s="252"/>
    </row>
    <row r="27" spans="2:32">
      <c r="B27" s="227" t="s">
        <v>281</v>
      </c>
      <c r="I27" s="229" t="s">
        <v>282</v>
      </c>
    </row>
    <row r="28" spans="2:32">
      <c r="C28" t="s">
        <v>283</v>
      </c>
    </row>
    <row r="29" spans="2:32">
      <c r="G29" s="229" t="s">
        <v>284</v>
      </c>
    </row>
    <row r="30" spans="2:32">
      <c r="C30" t="s">
        <v>285</v>
      </c>
    </row>
    <row r="31" spans="2:32">
      <c r="C31" t="s">
        <v>286</v>
      </c>
    </row>
    <row r="33" spans="2:19">
      <c r="C33" t="s">
        <v>287</v>
      </c>
    </row>
    <row r="35" spans="2:19">
      <c r="C35" t="s">
        <v>288</v>
      </c>
      <c r="D35" t="s">
        <v>289</v>
      </c>
    </row>
    <row r="36" spans="2:19">
      <c r="C36" t="s">
        <v>290</v>
      </c>
      <c r="D36" t="s">
        <v>291</v>
      </c>
    </row>
    <row r="38" spans="2:19">
      <c r="C38" t="s">
        <v>292</v>
      </c>
    </row>
    <row r="39" spans="2:19">
      <c r="S39" s="228"/>
    </row>
    <row r="40" spans="2:19">
      <c r="C40" t="s">
        <v>288</v>
      </c>
      <c r="D40" t="s">
        <v>293</v>
      </c>
    </row>
    <row r="41" spans="2:19">
      <c r="D41" t="s">
        <v>294</v>
      </c>
    </row>
    <row r="44" spans="2:19">
      <c r="B44" s="227" t="s">
        <v>295</v>
      </c>
    </row>
    <row r="45" spans="2:19">
      <c r="C45" s="228" t="s">
        <v>296</v>
      </c>
    </row>
    <row r="47" spans="2:19">
      <c r="C47" s="228" t="s">
        <v>297</v>
      </c>
    </row>
    <row r="49" spans="2:19">
      <c r="C49" t="s">
        <v>298</v>
      </c>
    </row>
    <row r="51" spans="2:19">
      <c r="C51" t="s">
        <v>299</v>
      </c>
    </row>
    <row r="53" spans="2:19">
      <c r="C53" s="228" t="s">
        <v>300</v>
      </c>
    </row>
    <row r="54" spans="2:19">
      <c r="C54" t="s">
        <v>301</v>
      </c>
    </row>
    <row r="55" spans="2:19">
      <c r="C55" t="s">
        <v>302</v>
      </c>
    </row>
    <row r="57" spans="2:19">
      <c r="C57" t="s">
        <v>303</v>
      </c>
      <c r="S57" s="227" t="s">
        <v>304</v>
      </c>
    </row>
    <row r="58" spans="2:19">
      <c r="C58" t="s">
        <v>305</v>
      </c>
    </row>
    <row r="60" spans="2:19">
      <c r="B60" s="227" t="s">
        <v>306</v>
      </c>
    </row>
    <row r="62" spans="2:19">
      <c r="C62" t="s">
        <v>307</v>
      </c>
    </row>
    <row r="64" spans="2:19">
      <c r="C64" t="s">
        <v>308</v>
      </c>
    </row>
  </sheetData>
  <sheetProtection formatCells="0" insertHyperlinks="0" autoFilter="0"/>
  <pageMargins left="0.7" right="0.7" top="0.75" bottom="0.75" header="0.3" footer="0.3"/>
  <pageSetup paperSize="8" scale="51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Q63"/>
  <sheetViews>
    <sheetView view="pageBreakPreview" zoomScale="85" zoomScaleNormal="85" workbookViewId="0">
      <selection sqref="A1:XFD1048576"/>
    </sheetView>
  </sheetViews>
  <sheetFormatPr defaultColWidth="9" defaultRowHeight="13.5"/>
  <cols>
    <col min="1" max="1" width="2.125" style="38" customWidth="1"/>
    <col min="2" max="2" width="23.625" style="38" customWidth="1"/>
    <col min="3" max="3" width="7.625" style="38" customWidth="1"/>
    <col min="4" max="4" width="11.125" style="38" customWidth="1"/>
    <col min="5" max="5" width="16.625" style="38" customWidth="1"/>
    <col min="6" max="7" width="14.625" style="38" customWidth="1"/>
    <col min="8" max="8" width="16.625" style="38" customWidth="1"/>
    <col min="9" max="10" width="14.625" style="38" customWidth="1"/>
    <col min="11" max="11" width="16.625" style="38" customWidth="1"/>
    <col min="12" max="13" width="14.625" style="38" customWidth="1"/>
    <col min="14" max="14" width="16.625" style="38" customWidth="1"/>
    <col min="15" max="16" width="13.125" style="38" customWidth="1"/>
    <col min="17" max="17" width="16.625" style="38" customWidth="1"/>
    <col min="18" max="21" width="13.125" style="38" customWidth="1"/>
    <col min="22" max="22" width="10.625" style="38" customWidth="1"/>
    <col min="23" max="24" width="13.125" style="38" customWidth="1"/>
    <col min="25" max="25" width="10.5" style="38" customWidth="1"/>
    <col min="26" max="27" width="13.125" style="38" customWidth="1"/>
    <col min="28" max="28" width="10.5" style="38" customWidth="1"/>
    <col min="29" max="30" width="13.125" style="38" customWidth="1"/>
    <col min="31" max="31" width="10.5" style="38" customWidth="1"/>
    <col min="32" max="33" width="13.125" style="38" customWidth="1"/>
    <col min="34" max="34" width="10.5" style="38" customWidth="1"/>
    <col min="35" max="36" width="13.125" style="38" customWidth="1"/>
    <col min="37" max="37" width="10.5" style="38" customWidth="1"/>
    <col min="38" max="39" width="13.125" style="38" customWidth="1"/>
    <col min="40" max="40" width="10.5" style="38" customWidth="1"/>
    <col min="41" max="42" width="13.125" style="38" customWidth="1"/>
    <col min="43" max="43" width="10.5" style="38" customWidth="1"/>
    <col min="44" max="16384" width="9" style="38"/>
  </cols>
  <sheetData>
    <row r="1" spans="1:43" ht="15" customHeight="1">
      <c r="B1" s="87" t="s">
        <v>0</v>
      </c>
      <c r="C1" s="88"/>
      <c r="D1" s="67"/>
      <c r="E1" s="124"/>
      <c r="F1" s="124"/>
      <c r="G1" s="125" t="s">
        <v>1</v>
      </c>
      <c r="H1" s="126"/>
      <c r="I1" s="126"/>
      <c r="J1" s="126"/>
      <c r="K1" s="144"/>
      <c r="L1" s="145"/>
      <c r="M1" s="157"/>
      <c r="N1" s="158"/>
      <c r="O1" s="58"/>
      <c r="P1" s="158"/>
      <c r="Q1" s="158"/>
      <c r="Z1" s="58"/>
      <c r="AA1" s="158"/>
      <c r="AC1" s="58"/>
      <c r="AD1" s="158"/>
      <c r="AF1" s="58"/>
      <c r="AI1" s="58"/>
      <c r="AJ1" s="58"/>
      <c r="AK1" s="158"/>
      <c r="AL1" s="58"/>
      <c r="AM1" s="58"/>
      <c r="AN1" s="158"/>
      <c r="AO1" s="58"/>
      <c r="AP1" s="58" t="s">
        <v>2</v>
      </c>
      <c r="AQ1" s="158"/>
    </row>
    <row r="2" spans="1:43" ht="15" customHeight="1">
      <c r="A2" s="89"/>
      <c r="B2" s="90"/>
      <c r="C2" s="91"/>
      <c r="D2" s="92"/>
      <c r="E2" s="127"/>
      <c r="F2" s="127"/>
      <c r="G2" s="128" t="s">
        <v>3</v>
      </c>
      <c r="H2" s="129" t="s">
        <v>4</v>
      </c>
      <c r="I2" s="146"/>
      <c r="J2" s="128" t="s">
        <v>5</v>
      </c>
      <c r="K2" s="147"/>
      <c r="L2" s="148"/>
      <c r="M2" s="157"/>
      <c r="N2" s="158"/>
      <c r="O2" s="58"/>
      <c r="P2" s="158"/>
      <c r="Q2" s="158"/>
      <c r="Z2" s="58"/>
      <c r="AA2" s="158"/>
      <c r="AC2" s="58"/>
      <c r="AD2" s="158"/>
      <c r="AF2" s="58"/>
      <c r="AI2" s="58"/>
      <c r="AJ2" s="58"/>
      <c r="AK2" s="158"/>
      <c r="AL2" s="58"/>
      <c r="AM2" s="58"/>
      <c r="AN2" s="158"/>
      <c r="AO2" s="58"/>
      <c r="AP2" s="58" t="s">
        <v>6</v>
      </c>
      <c r="AQ2" s="158"/>
    </row>
    <row r="3" spans="1:43" ht="17.25">
      <c r="A3" s="93"/>
      <c r="B3" s="94"/>
      <c r="C3" s="95"/>
      <c r="D3" s="96"/>
      <c r="E3" s="127"/>
      <c r="F3" s="127"/>
      <c r="G3" s="130" t="s">
        <v>7</v>
      </c>
      <c r="H3" s="131" t="s">
        <v>8</v>
      </c>
      <c r="I3" s="149"/>
      <c r="J3" s="130" t="s">
        <v>9</v>
      </c>
      <c r="K3" s="150"/>
      <c r="L3" s="151"/>
      <c r="M3" s="157"/>
      <c r="N3" s="158"/>
      <c r="O3" s="158"/>
      <c r="P3" s="158"/>
      <c r="Q3" s="158"/>
      <c r="Z3" s="158"/>
      <c r="AA3" s="158"/>
      <c r="AC3" s="158"/>
      <c r="AD3" s="158"/>
      <c r="AF3" s="158"/>
      <c r="AI3" s="158"/>
      <c r="AJ3" s="158"/>
      <c r="AK3" s="158"/>
      <c r="AL3" s="158"/>
      <c r="AM3" s="158"/>
      <c r="AN3" s="158"/>
      <c r="AO3" s="158"/>
      <c r="AP3" s="158"/>
      <c r="AQ3" s="158"/>
    </row>
    <row r="4" spans="1:43" ht="15" customHeight="1">
      <c r="A4" s="97"/>
      <c r="B4" s="98"/>
      <c r="C4" s="99"/>
      <c r="D4" s="95"/>
      <c r="E4" s="95"/>
      <c r="F4" s="95"/>
      <c r="G4" s="95"/>
      <c r="H4" s="95"/>
      <c r="I4" s="95"/>
      <c r="J4" s="95"/>
      <c r="K4" s="89"/>
      <c r="L4" s="89"/>
      <c r="M4" s="89"/>
      <c r="N4" s="89"/>
      <c r="O4" s="89"/>
      <c r="P4" s="89"/>
      <c r="Q4" s="89"/>
    </row>
    <row r="5" spans="1:43" ht="13.5" customHeight="1">
      <c r="A5" s="100"/>
      <c r="B5" s="580" t="s">
        <v>309</v>
      </c>
      <c r="C5" s="581"/>
      <c r="D5" s="581"/>
      <c r="E5" s="581"/>
      <c r="F5" s="581"/>
      <c r="G5" s="581"/>
      <c r="H5" s="581"/>
      <c r="I5" s="152" t="s">
        <v>11</v>
      </c>
      <c r="J5" s="152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</row>
    <row r="6" spans="1:43" ht="18" customHeight="1">
      <c r="A6" s="39"/>
      <c r="B6" s="582"/>
      <c r="C6" s="582"/>
      <c r="D6" s="582"/>
      <c r="E6" s="582"/>
      <c r="F6" s="582"/>
      <c r="G6" s="582"/>
      <c r="H6" s="582"/>
      <c r="I6" s="154" t="s">
        <v>12</v>
      </c>
      <c r="J6" s="154"/>
      <c r="K6" s="155"/>
      <c r="L6" s="155"/>
      <c r="M6" s="158"/>
      <c r="N6" s="158"/>
      <c r="O6" s="158"/>
      <c r="P6" s="158"/>
      <c r="Q6" s="158"/>
      <c r="R6" s="158"/>
      <c r="S6" s="158"/>
      <c r="T6" s="158"/>
      <c r="U6" s="158"/>
      <c r="W6" s="158"/>
      <c r="X6" s="158"/>
      <c r="Z6" s="158"/>
      <c r="AA6" s="158"/>
      <c r="AC6" s="158"/>
      <c r="AD6" s="158"/>
      <c r="AF6" s="158"/>
      <c r="AG6" s="158"/>
      <c r="AI6" s="158"/>
      <c r="AJ6" s="158"/>
      <c r="AL6" s="158"/>
      <c r="AM6" s="158"/>
      <c r="AO6" s="158"/>
      <c r="AP6" s="158"/>
    </row>
    <row r="7" spans="1:43" ht="18.75" customHeight="1">
      <c r="A7" s="39"/>
      <c r="B7" s="583" t="s">
        <v>13</v>
      </c>
      <c r="C7" s="583"/>
      <c r="D7" s="583"/>
      <c r="E7" s="583"/>
      <c r="F7" s="583"/>
      <c r="G7" s="583"/>
      <c r="H7" s="583"/>
      <c r="I7" s="154" t="s">
        <v>310</v>
      </c>
      <c r="J7" s="154"/>
      <c r="K7" s="155"/>
      <c r="L7" s="155"/>
      <c r="M7" s="158"/>
      <c r="N7" s="158"/>
      <c r="O7" s="158"/>
      <c r="P7" s="158"/>
      <c r="Q7" s="158"/>
      <c r="R7" s="158"/>
      <c r="S7" s="158"/>
      <c r="T7" s="158"/>
      <c r="U7" s="158"/>
      <c r="W7" s="158"/>
      <c r="X7" s="158"/>
      <c r="Z7" s="158"/>
      <c r="AA7" s="158"/>
      <c r="AC7" s="158"/>
      <c r="AD7" s="158"/>
      <c r="AF7" s="158"/>
      <c r="AG7" s="158"/>
      <c r="AI7" s="158"/>
      <c r="AJ7" s="158"/>
      <c r="AL7" s="158"/>
      <c r="AM7" s="158"/>
      <c r="AO7" s="158"/>
      <c r="AP7" s="158"/>
    </row>
    <row r="8" spans="1:43" ht="14.25">
      <c r="A8" s="101"/>
      <c r="B8" s="583"/>
      <c r="C8" s="583"/>
      <c r="D8" s="583"/>
      <c r="E8" s="583"/>
      <c r="F8" s="583"/>
      <c r="G8" s="583"/>
      <c r="H8" s="583"/>
      <c r="I8" s="154"/>
      <c r="J8" s="67"/>
      <c r="K8" s="156"/>
      <c r="L8" s="156"/>
      <c r="M8" s="158"/>
      <c r="N8" s="158"/>
      <c r="O8" s="158"/>
      <c r="P8" s="158"/>
      <c r="Q8" s="158"/>
      <c r="R8" s="158"/>
      <c r="S8" s="158"/>
      <c r="T8" s="158"/>
      <c r="U8" s="158"/>
      <c r="W8" s="158"/>
      <c r="X8" s="158"/>
      <c r="Z8" s="158"/>
      <c r="AA8" s="158"/>
      <c r="AC8" s="158"/>
      <c r="AD8" s="158"/>
      <c r="AF8" s="158"/>
      <c r="AG8" s="158"/>
      <c r="AI8" s="158"/>
      <c r="AJ8" s="158"/>
      <c r="AL8" s="158"/>
      <c r="AM8" s="158"/>
      <c r="AO8" s="158"/>
      <c r="AP8" s="158"/>
    </row>
    <row r="9" spans="1:43" ht="8.1" customHeight="1">
      <c r="A9" s="102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W9" s="103"/>
      <c r="X9" s="103"/>
      <c r="Z9" s="103"/>
      <c r="AA9" s="103"/>
      <c r="AC9" s="103"/>
      <c r="AD9" s="103"/>
      <c r="AF9" s="103"/>
      <c r="AG9" s="103"/>
      <c r="AI9" s="103"/>
      <c r="AJ9" s="103"/>
      <c r="AL9" s="103"/>
      <c r="AM9" s="103"/>
      <c r="AO9" s="103"/>
      <c r="AP9" s="103"/>
    </row>
    <row r="10" spans="1:43" ht="18" customHeight="1">
      <c r="A10" s="39"/>
      <c r="B10" s="104" t="s">
        <v>15</v>
      </c>
      <c r="C10" s="105"/>
      <c r="D10" s="106"/>
      <c r="E10" s="533" t="s">
        <v>311</v>
      </c>
      <c r="F10" s="534"/>
      <c r="G10" s="534"/>
      <c r="H10" s="534"/>
      <c r="I10" s="534"/>
      <c r="J10" s="534"/>
      <c r="K10" s="534"/>
      <c r="L10" s="534"/>
      <c r="M10" s="534"/>
      <c r="N10" s="534"/>
      <c r="O10" s="534"/>
      <c r="P10" s="534"/>
      <c r="Q10" s="534"/>
      <c r="R10" s="534"/>
      <c r="S10" s="534"/>
      <c r="T10" s="590" t="s">
        <v>161</v>
      </c>
      <c r="U10" s="536"/>
      <c r="V10" s="536"/>
      <c r="W10" s="536"/>
      <c r="X10" s="536"/>
      <c r="Y10" s="536"/>
      <c r="Z10" s="536"/>
      <c r="AA10" s="536"/>
      <c r="AB10" s="536"/>
      <c r="AC10" s="536"/>
      <c r="AD10" s="536"/>
      <c r="AE10" s="537"/>
      <c r="AF10" s="590" t="s">
        <v>18</v>
      </c>
      <c r="AG10" s="536"/>
      <c r="AH10" s="536"/>
      <c r="AI10" s="536"/>
      <c r="AJ10" s="536"/>
      <c r="AK10" s="536"/>
      <c r="AL10" s="536"/>
      <c r="AM10" s="536"/>
      <c r="AN10" s="536"/>
      <c r="AO10" s="536"/>
      <c r="AP10" s="536"/>
      <c r="AQ10" s="537"/>
    </row>
    <row r="11" spans="1:43" ht="18" customHeight="1">
      <c r="A11" s="39"/>
      <c r="B11" s="107" t="s">
        <v>19</v>
      </c>
      <c r="C11" s="108"/>
      <c r="D11" s="109"/>
      <c r="E11" s="538" t="s">
        <v>20</v>
      </c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  <c r="Q11" s="539"/>
      <c r="R11" s="539"/>
      <c r="S11" s="539"/>
      <c r="T11" s="539"/>
      <c r="U11" s="539"/>
      <c r="V11" s="539"/>
      <c r="W11" s="539"/>
      <c r="X11" s="539"/>
      <c r="Y11" s="539"/>
      <c r="Z11" s="539"/>
      <c r="AA11" s="539"/>
      <c r="AB11" s="539"/>
      <c r="AC11" s="539"/>
      <c r="AD11" s="539"/>
      <c r="AE11" s="539"/>
      <c r="AF11" s="539"/>
      <c r="AG11" s="539"/>
      <c r="AH11" s="539"/>
      <c r="AI11" s="539"/>
      <c r="AJ11" s="539"/>
      <c r="AK11" s="539"/>
      <c r="AL11" s="539"/>
      <c r="AM11" s="539"/>
      <c r="AN11" s="539"/>
      <c r="AO11" s="539"/>
      <c r="AP11" s="539"/>
      <c r="AQ11" s="540"/>
    </row>
    <row r="12" spans="1:43" ht="18" customHeight="1">
      <c r="A12" s="39"/>
      <c r="B12" s="107" t="s">
        <v>21</v>
      </c>
      <c r="C12" s="108"/>
      <c r="D12" s="109"/>
      <c r="E12" s="538" t="s">
        <v>22</v>
      </c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  <c r="Q12" s="539"/>
      <c r="R12" s="539"/>
      <c r="S12" s="539"/>
      <c r="T12" s="539"/>
      <c r="U12" s="539"/>
      <c r="V12" s="539"/>
      <c r="W12" s="539"/>
      <c r="X12" s="539"/>
      <c r="Y12" s="539"/>
      <c r="Z12" s="539"/>
      <c r="AA12" s="539"/>
      <c r="AB12" s="539"/>
      <c r="AC12" s="539"/>
      <c r="AD12" s="539"/>
      <c r="AE12" s="539"/>
      <c r="AF12" s="539"/>
      <c r="AG12" s="539"/>
      <c r="AH12" s="539"/>
      <c r="AI12" s="539"/>
      <c r="AJ12" s="539"/>
      <c r="AK12" s="539"/>
      <c r="AL12" s="539"/>
      <c r="AM12" s="539"/>
      <c r="AN12" s="539"/>
      <c r="AO12" s="539"/>
      <c r="AP12" s="539"/>
      <c r="AQ12" s="540"/>
    </row>
    <row r="13" spans="1:43" ht="18" customHeight="1">
      <c r="A13" s="39"/>
      <c r="B13" s="107" t="s">
        <v>23</v>
      </c>
      <c r="C13" s="108"/>
      <c r="D13" s="109"/>
      <c r="E13" s="538" t="s">
        <v>24</v>
      </c>
      <c r="F13" s="539"/>
      <c r="G13" s="539"/>
      <c r="H13" s="539"/>
      <c r="I13" s="539"/>
      <c r="J13" s="539"/>
      <c r="K13" s="539"/>
      <c r="L13" s="539"/>
      <c r="M13" s="539"/>
      <c r="N13" s="539"/>
      <c r="O13" s="539"/>
      <c r="P13" s="539"/>
      <c r="Q13" s="539"/>
      <c r="R13" s="539"/>
      <c r="S13" s="539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39"/>
      <c r="AG13" s="539"/>
      <c r="AH13" s="539"/>
      <c r="AI13" s="539"/>
      <c r="AJ13" s="539"/>
      <c r="AK13" s="539"/>
      <c r="AL13" s="539"/>
      <c r="AM13" s="539"/>
      <c r="AN13" s="539"/>
      <c r="AO13" s="539"/>
      <c r="AP13" s="539"/>
      <c r="AQ13" s="540"/>
    </row>
    <row r="14" spans="1:43" ht="18" customHeight="1">
      <c r="A14" s="39"/>
      <c r="B14" s="107" t="s">
        <v>25</v>
      </c>
      <c r="C14" s="108"/>
      <c r="D14" s="109"/>
      <c r="E14" s="541">
        <v>1200</v>
      </c>
      <c r="F14" s="542"/>
      <c r="G14" s="542"/>
      <c r="H14" s="542">
        <v>1350</v>
      </c>
      <c r="I14" s="542"/>
      <c r="J14" s="542"/>
      <c r="K14" s="542">
        <v>1600</v>
      </c>
      <c r="L14" s="542"/>
      <c r="M14" s="542"/>
      <c r="N14" s="542">
        <v>1800</v>
      </c>
      <c r="O14" s="542"/>
      <c r="P14" s="542"/>
      <c r="Q14" s="542">
        <v>2025</v>
      </c>
      <c r="R14" s="542"/>
      <c r="S14" s="591"/>
      <c r="T14" s="541">
        <v>2250</v>
      </c>
      <c r="U14" s="542"/>
      <c r="V14" s="542"/>
      <c r="W14" s="542">
        <v>2500</v>
      </c>
      <c r="X14" s="542"/>
      <c r="Y14" s="542"/>
      <c r="Z14" s="542">
        <v>3000</v>
      </c>
      <c r="AA14" s="542"/>
      <c r="AB14" s="542"/>
      <c r="AC14" s="542">
        <v>4000</v>
      </c>
      <c r="AD14" s="542"/>
      <c r="AE14" s="544"/>
      <c r="AF14" s="543" t="s">
        <v>312</v>
      </c>
      <c r="AG14" s="542"/>
      <c r="AH14" s="544"/>
      <c r="AI14" s="543" t="s">
        <v>313</v>
      </c>
      <c r="AJ14" s="542"/>
      <c r="AK14" s="544"/>
      <c r="AL14" s="543" t="s">
        <v>314</v>
      </c>
      <c r="AM14" s="542"/>
      <c r="AN14" s="544"/>
      <c r="AO14" s="543" t="s">
        <v>315</v>
      </c>
      <c r="AP14" s="542"/>
      <c r="AQ14" s="544"/>
    </row>
    <row r="15" spans="1:43" ht="18" customHeight="1">
      <c r="A15" s="39"/>
      <c r="B15" s="107" t="s">
        <v>26</v>
      </c>
      <c r="C15" s="108"/>
      <c r="D15" s="109"/>
      <c r="E15" s="133">
        <v>500</v>
      </c>
      <c r="F15" s="134">
        <v>500</v>
      </c>
      <c r="G15" s="134">
        <v>500</v>
      </c>
      <c r="H15" s="134">
        <v>500</v>
      </c>
      <c r="I15" s="134">
        <v>500</v>
      </c>
      <c r="J15" s="134">
        <v>500</v>
      </c>
      <c r="K15" s="134">
        <v>500</v>
      </c>
      <c r="L15" s="134">
        <v>500</v>
      </c>
      <c r="M15" s="134">
        <v>500</v>
      </c>
      <c r="N15" s="134">
        <v>500</v>
      </c>
      <c r="O15" s="134">
        <v>500</v>
      </c>
      <c r="P15" s="134">
        <v>500</v>
      </c>
      <c r="Q15" s="134">
        <v>500</v>
      </c>
      <c r="R15" s="134">
        <v>400</v>
      </c>
      <c r="S15" s="160">
        <v>500</v>
      </c>
      <c r="T15" s="133">
        <v>500</v>
      </c>
      <c r="U15" s="134">
        <v>500</v>
      </c>
      <c r="V15" s="134">
        <v>500</v>
      </c>
      <c r="W15" s="134">
        <v>500</v>
      </c>
      <c r="X15" s="134">
        <v>500</v>
      </c>
      <c r="Y15" s="134">
        <v>500</v>
      </c>
      <c r="Z15" s="134">
        <v>500</v>
      </c>
      <c r="AA15" s="134">
        <v>500</v>
      </c>
      <c r="AB15" s="134">
        <v>500</v>
      </c>
      <c r="AC15" s="134">
        <v>450</v>
      </c>
      <c r="AD15" s="134">
        <v>500</v>
      </c>
      <c r="AE15" s="164">
        <v>500</v>
      </c>
      <c r="AF15" s="165">
        <v>350</v>
      </c>
      <c r="AG15" s="134">
        <v>400</v>
      </c>
      <c r="AH15" s="164">
        <v>420</v>
      </c>
      <c r="AI15" s="165">
        <v>320</v>
      </c>
      <c r="AJ15" s="134">
        <v>380</v>
      </c>
      <c r="AK15" s="164">
        <v>390</v>
      </c>
      <c r="AL15" s="165">
        <v>280</v>
      </c>
      <c r="AM15" s="134">
        <v>350</v>
      </c>
      <c r="AN15" s="164">
        <v>360</v>
      </c>
      <c r="AO15" s="165">
        <v>240</v>
      </c>
      <c r="AP15" s="134">
        <v>310</v>
      </c>
      <c r="AQ15" s="164">
        <v>330</v>
      </c>
    </row>
    <row r="16" spans="1:43" ht="18" customHeight="1">
      <c r="A16" s="39"/>
      <c r="B16" s="110" t="s">
        <v>27</v>
      </c>
      <c r="C16" s="108"/>
      <c r="D16" s="109"/>
      <c r="E16" s="133" t="s">
        <v>30</v>
      </c>
      <c r="F16" s="135" t="s">
        <v>29</v>
      </c>
      <c r="G16" s="135" t="s">
        <v>28</v>
      </c>
      <c r="H16" s="134" t="s">
        <v>30</v>
      </c>
      <c r="I16" s="135" t="s">
        <v>29</v>
      </c>
      <c r="J16" s="135" t="s">
        <v>28</v>
      </c>
      <c r="K16" s="134" t="s">
        <v>30</v>
      </c>
      <c r="L16" s="135" t="s">
        <v>29</v>
      </c>
      <c r="M16" s="135" t="s">
        <v>28</v>
      </c>
      <c r="N16" s="134" t="s">
        <v>30</v>
      </c>
      <c r="O16" s="135" t="s">
        <v>29</v>
      </c>
      <c r="P16" s="135" t="s">
        <v>28</v>
      </c>
      <c r="Q16" s="134" t="s">
        <v>30</v>
      </c>
      <c r="R16" s="135" t="s">
        <v>29</v>
      </c>
      <c r="S16" s="161" t="s">
        <v>28</v>
      </c>
      <c r="T16" s="133" t="s">
        <v>30</v>
      </c>
      <c r="U16" s="135" t="s">
        <v>29</v>
      </c>
      <c r="V16" s="135" t="s">
        <v>28</v>
      </c>
      <c r="W16" s="134" t="s">
        <v>30</v>
      </c>
      <c r="X16" s="135" t="s">
        <v>29</v>
      </c>
      <c r="Y16" s="135" t="s">
        <v>28</v>
      </c>
      <c r="Z16" s="134" t="s">
        <v>30</v>
      </c>
      <c r="AA16" s="135" t="s">
        <v>29</v>
      </c>
      <c r="AB16" s="135" t="s">
        <v>28</v>
      </c>
      <c r="AC16" s="134" t="s">
        <v>30</v>
      </c>
      <c r="AD16" s="135" t="s">
        <v>29</v>
      </c>
      <c r="AE16" s="166" t="s">
        <v>28</v>
      </c>
      <c r="AF16" s="165" t="s">
        <v>30</v>
      </c>
      <c r="AG16" s="135" t="s">
        <v>29</v>
      </c>
      <c r="AH16" s="166" t="s">
        <v>28</v>
      </c>
      <c r="AI16" s="165" t="s">
        <v>30</v>
      </c>
      <c r="AJ16" s="135" t="s">
        <v>29</v>
      </c>
      <c r="AK16" s="166" t="s">
        <v>28</v>
      </c>
      <c r="AL16" s="165" t="s">
        <v>30</v>
      </c>
      <c r="AM16" s="135" t="s">
        <v>29</v>
      </c>
      <c r="AN16" s="166" t="s">
        <v>28</v>
      </c>
      <c r="AO16" s="165" t="s">
        <v>30</v>
      </c>
      <c r="AP16" s="135" t="s">
        <v>29</v>
      </c>
      <c r="AQ16" s="166" t="s">
        <v>28</v>
      </c>
    </row>
    <row r="17" spans="1:43" ht="30" customHeight="1">
      <c r="A17" s="45"/>
      <c r="B17" s="107" t="s">
        <v>31</v>
      </c>
      <c r="C17" s="108"/>
      <c r="D17" s="109"/>
      <c r="E17" s="545" t="s">
        <v>316</v>
      </c>
      <c r="F17" s="546"/>
      <c r="G17" s="546"/>
      <c r="H17" s="546" t="s">
        <v>316</v>
      </c>
      <c r="I17" s="546"/>
      <c r="J17" s="546"/>
      <c r="K17" s="546" t="s">
        <v>316</v>
      </c>
      <c r="L17" s="546"/>
      <c r="M17" s="546"/>
      <c r="N17" s="546" t="s">
        <v>316</v>
      </c>
      <c r="O17" s="546"/>
      <c r="P17" s="546"/>
      <c r="Q17" s="546" t="s">
        <v>316</v>
      </c>
      <c r="R17" s="546"/>
      <c r="S17" s="557"/>
      <c r="T17" s="545" t="s">
        <v>316</v>
      </c>
      <c r="U17" s="546"/>
      <c r="V17" s="546"/>
      <c r="W17" s="546" t="s">
        <v>316</v>
      </c>
      <c r="X17" s="546"/>
      <c r="Y17" s="546"/>
      <c r="Z17" s="546" t="s">
        <v>316</v>
      </c>
      <c r="AA17" s="546"/>
      <c r="AB17" s="546"/>
      <c r="AC17" s="546" t="s">
        <v>316</v>
      </c>
      <c r="AD17" s="546"/>
      <c r="AE17" s="548"/>
      <c r="AF17" s="545" t="s">
        <v>316</v>
      </c>
      <c r="AG17" s="546"/>
      <c r="AH17" s="548"/>
      <c r="AI17" s="545" t="s">
        <v>316</v>
      </c>
      <c r="AJ17" s="546"/>
      <c r="AK17" s="548"/>
      <c r="AL17" s="545" t="s">
        <v>316</v>
      </c>
      <c r="AM17" s="546"/>
      <c r="AN17" s="548"/>
      <c r="AO17" s="545" t="s">
        <v>316</v>
      </c>
      <c r="AP17" s="546"/>
      <c r="AQ17" s="548"/>
    </row>
    <row r="18" spans="1:43" ht="18" customHeight="1">
      <c r="A18" s="46"/>
      <c r="B18" s="107" t="s">
        <v>34</v>
      </c>
      <c r="C18" s="111"/>
      <c r="D18" s="109"/>
      <c r="E18" s="545" t="s">
        <v>317</v>
      </c>
      <c r="F18" s="546"/>
      <c r="G18" s="546"/>
      <c r="H18" s="546" t="s">
        <v>317</v>
      </c>
      <c r="I18" s="546"/>
      <c r="J18" s="546"/>
      <c r="K18" s="546" t="s">
        <v>317</v>
      </c>
      <c r="L18" s="546"/>
      <c r="M18" s="546"/>
      <c r="N18" s="546" t="s">
        <v>317</v>
      </c>
      <c r="O18" s="546"/>
      <c r="P18" s="546"/>
      <c r="Q18" s="546" t="s">
        <v>317</v>
      </c>
      <c r="R18" s="546"/>
      <c r="S18" s="557"/>
      <c r="T18" s="545" t="s">
        <v>317</v>
      </c>
      <c r="U18" s="546"/>
      <c r="V18" s="546"/>
      <c r="W18" s="546" t="s">
        <v>317</v>
      </c>
      <c r="X18" s="546"/>
      <c r="Y18" s="546"/>
      <c r="Z18" s="546" t="s">
        <v>317</v>
      </c>
      <c r="AA18" s="546"/>
      <c r="AB18" s="546"/>
      <c r="AC18" s="546" t="s">
        <v>317</v>
      </c>
      <c r="AD18" s="546"/>
      <c r="AE18" s="548"/>
      <c r="AF18" s="545" t="s">
        <v>317</v>
      </c>
      <c r="AG18" s="546"/>
      <c r="AH18" s="548"/>
      <c r="AI18" s="545" t="s">
        <v>317</v>
      </c>
      <c r="AJ18" s="546"/>
      <c r="AK18" s="548"/>
      <c r="AL18" s="545" t="s">
        <v>317</v>
      </c>
      <c r="AM18" s="546"/>
      <c r="AN18" s="548"/>
      <c r="AO18" s="545" t="s">
        <v>317</v>
      </c>
      <c r="AP18" s="546"/>
      <c r="AQ18" s="548"/>
    </row>
    <row r="19" spans="1:43" ht="42.75" customHeight="1">
      <c r="A19" s="45"/>
      <c r="B19" s="107" t="s">
        <v>37</v>
      </c>
      <c r="C19" s="108"/>
      <c r="D19" s="109"/>
      <c r="E19" s="541" t="s">
        <v>318</v>
      </c>
      <c r="F19" s="542"/>
      <c r="G19" s="542"/>
      <c r="H19" s="542" t="s">
        <v>318</v>
      </c>
      <c r="I19" s="542"/>
      <c r="J19" s="542"/>
      <c r="K19" s="542" t="s">
        <v>318</v>
      </c>
      <c r="L19" s="542"/>
      <c r="M19" s="542"/>
      <c r="N19" s="542" t="s">
        <v>318</v>
      </c>
      <c r="O19" s="542"/>
      <c r="P19" s="542"/>
      <c r="Q19" s="542" t="s">
        <v>318</v>
      </c>
      <c r="R19" s="542"/>
      <c r="S19" s="591"/>
      <c r="T19" s="541" t="s">
        <v>318</v>
      </c>
      <c r="U19" s="542"/>
      <c r="V19" s="542"/>
      <c r="W19" s="542" t="s">
        <v>318</v>
      </c>
      <c r="X19" s="542"/>
      <c r="Y19" s="542"/>
      <c r="Z19" s="542" t="s">
        <v>318</v>
      </c>
      <c r="AA19" s="542"/>
      <c r="AB19" s="542"/>
      <c r="AC19" s="542" t="s">
        <v>318</v>
      </c>
      <c r="AD19" s="542"/>
      <c r="AE19" s="544"/>
      <c r="AF19" s="541" t="s">
        <v>319</v>
      </c>
      <c r="AG19" s="542"/>
      <c r="AH19" s="544"/>
      <c r="AI19" s="541" t="s">
        <v>318</v>
      </c>
      <c r="AJ19" s="542"/>
      <c r="AK19" s="544"/>
      <c r="AL19" s="541" t="s">
        <v>318</v>
      </c>
      <c r="AM19" s="542"/>
      <c r="AN19" s="544"/>
      <c r="AO19" s="541" t="s">
        <v>318</v>
      </c>
      <c r="AP19" s="542"/>
      <c r="AQ19" s="544"/>
    </row>
    <row r="20" spans="1:43" ht="18" customHeight="1">
      <c r="A20" s="45"/>
      <c r="B20" s="107" t="s">
        <v>44</v>
      </c>
      <c r="C20" s="108"/>
      <c r="D20" s="109"/>
      <c r="E20" s="541" t="s">
        <v>320</v>
      </c>
      <c r="F20" s="542"/>
      <c r="G20" s="542"/>
      <c r="H20" s="542" t="s">
        <v>320</v>
      </c>
      <c r="I20" s="542"/>
      <c r="J20" s="542"/>
      <c r="K20" s="542" t="s">
        <v>320</v>
      </c>
      <c r="L20" s="542"/>
      <c r="M20" s="542"/>
      <c r="N20" s="542" t="s">
        <v>320</v>
      </c>
      <c r="O20" s="542"/>
      <c r="P20" s="542"/>
      <c r="Q20" s="542" t="s">
        <v>320</v>
      </c>
      <c r="R20" s="542"/>
      <c r="S20" s="591"/>
      <c r="T20" s="541" t="s">
        <v>320</v>
      </c>
      <c r="U20" s="542"/>
      <c r="V20" s="542"/>
      <c r="W20" s="542" t="s">
        <v>320</v>
      </c>
      <c r="X20" s="542"/>
      <c r="Y20" s="542"/>
      <c r="Z20" s="542" t="s">
        <v>321</v>
      </c>
      <c r="AA20" s="542"/>
      <c r="AB20" s="542"/>
      <c r="AC20" s="542" t="s">
        <v>321</v>
      </c>
      <c r="AD20" s="542"/>
      <c r="AE20" s="544"/>
      <c r="AF20" s="541" t="s">
        <v>322</v>
      </c>
      <c r="AG20" s="542"/>
      <c r="AH20" s="544"/>
      <c r="AI20" s="541" t="s">
        <v>322</v>
      </c>
      <c r="AJ20" s="542"/>
      <c r="AK20" s="544"/>
      <c r="AL20" s="541" t="s">
        <v>322</v>
      </c>
      <c r="AM20" s="542"/>
      <c r="AN20" s="544"/>
      <c r="AO20" s="541" t="s">
        <v>322</v>
      </c>
      <c r="AP20" s="542"/>
      <c r="AQ20" s="544"/>
    </row>
    <row r="21" spans="1:43" ht="18" customHeight="1">
      <c r="A21" s="39"/>
      <c r="B21" s="584" t="s">
        <v>50</v>
      </c>
      <c r="C21" s="585"/>
      <c r="D21" s="586"/>
      <c r="E21" s="138" t="s">
        <v>51</v>
      </c>
      <c r="F21" s="139" t="s">
        <v>51</v>
      </c>
      <c r="G21" s="140" t="s">
        <v>51</v>
      </c>
      <c r="H21" s="139" t="s">
        <v>51</v>
      </c>
      <c r="I21" s="139" t="s">
        <v>51</v>
      </c>
      <c r="J21" s="140" t="s">
        <v>51</v>
      </c>
      <c r="K21" s="139" t="s">
        <v>51</v>
      </c>
      <c r="L21" s="139" t="s">
        <v>51</v>
      </c>
      <c r="M21" s="140" t="s">
        <v>51</v>
      </c>
      <c r="N21" s="139" t="s">
        <v>51</v>
      </c>
      <c r="O21" s="139" t="s">
        <v>51</v>
      </c>
      <c r="P21" s="140" t="s">
        <v>51</v>
      </c>
      <c r="Q21" s="139" t="s">
        <v>51</v>
      </c>
      <c r="R21" s="139" t="s">
        <v>51</v>
      </c>
      <c r="S21" s="162" t="s">
        <v>51</v>
      </c>
      <c r="T21" s="138" t="s">
        <v>51</v>
      </c>
      <c r="U21" s="139" t="s">
        <v>51</v>
      </c>
      <c r="V21" s="140" t="s">
        <v>51</v>
      </c>
      <c r="W21" s="139" t="s">
        <v>51</v>
      </c>
      <c r="X21" s="139" t="s">
        <v>51</v>
      </c>
      <c r="Y21" s="140" t="s">
        <v>51</v>
      </c>
      <c r="Z21" s="139" t="s">
        <v>51</v>
      </c>
      <c r="AA21" s="139" t="s">
        <v>51</v>
      </c>
      <c r="AB21" s="140" t="s">
        <v>51</v>
      </c>
      <c r="AC21" s="139" t="s">
        <v>51</v>
      </c>
      <c r="AD21" s="139" t="s">
        <v>51</v>
      </c>
      <c r="AE21" s="167" t="s">
        <v>51</v>
      </c>
      <c r="AF21" s="168" t="s">
        <v>51</v>
      </c>
      <c r="AG21" s="139" t="s">
        <v>51</v>
      </c>
      <c r="AH21" s="167" t="s">
        <v>51</v>
      </c>
      <c r="AI21" s="168" t="s">
        <v>51</v>
      </c>
      <c r="AJ21" s="139" t="s">
        <v>51</v>
      </c>
      <c r="AK21" s="167" t="s">
        <v>51</v>
      </c>
      <c r="AL21" s="168" t="s">
        <v>51</v>
      </c>
      <c r="AM21" s="139" t="s">
        <v>51</v>
      </c>
      <c r="AN21" s="167" t="s">
        <v>51</v>
      </c>
      <c r="AO21" s="168" t="s">
        <v>51</v>
      </c>
      <c r="AP21" s="139" t="s">
        <v>51</v>
      </c>
      <c r="AQ21" s="167" t="s">
        <v>51</v>
      </c>
    </row>
    <row r="22" spans="1:43" ht="18" customHeight="1">
      <c r="A22" s="39"/>
      <c r="B22" s="587"/>
      <c r="C22" s="588"/>
      <c r="D22" s="589"/>
      <c r="E22" s="141" t="s">
        <v>51</v>
      </c>
      <c r="F22" s="142" t="s">
        <v>51</v>
      </c>
      <c r="G22" s="143" t="s">
        <v>51</v>
      </c>
      <c r="H22" s="142" t="s">
        <v>51</v>
      </c>
      <c r="I22" s="142" t="s">
        <v>51</v>
      </c>
      <c r="J22" s="143" t="s">
        <v>51</v>
      </c>
      <c r="K22" s="142" t="s">
        <v>51</v>
      </c>
      <c r="L22" s="142" t="s">
        <v>51</v>
      </c>
      <c r="M22" s="143" t="s">
        <v>51</v>
      </c>
      <c r="N22" s="142" t="s">
        <v>51</v>
      </c>
      <c r="O22" s="142" t="s">
        <v>51</v>
      </c>
      <c r="P22" s="143" t="s">
        <v>51</v>
      </c>
      <c r="Q22" s="142" t="s">
        <v>51</v>
      </c>
      <c r="R22" s="142" t="s">
        <v>51</v>
      </c>
      <c r="S22" s="163" t="s">
        <v>51</v>
      </c>
      <c r="T22" s="141" t="s">
        <v>51</v>
      </c>
      <c r="U22" s="142" t="s">
        <v>51</v>
      </c>
      <c r="V22" s="143" t="s">
        <v>51</v>
      </c>
      <c r="W22" s="142" t="s">
        <v>51</v>
      </c>
      <c r="X22" s="142" t="s">
        <v>51</v>
      </c>
      <c r="Y22" s="143" t="s">
        <v>51</v>
      </c>
      <c r="Z22" s="142" t="s">
        <v>51</v>
      </c>
      <c r="AA22" s="142" t="s">
        <v>51</v>
      </c>
      <c r="AB22" s="143" t="s">
        <v>51</v>
      </c>
      <c r="AC22" s="142" t="s">
        <v>51</v>
      </c>
      <c r="AD22" s="142" t="s">
        <v>51</v>
      </c>
      <c r="AE22" s="169" t="s">
        <v>51</v>
      </c>
      <c r="AF22" s="170" t="s">
        <v>51</v>
      </c>
      <c r="AG22" s="142" t="s">
        <v>51</v>
      </c>
      <c r="AH22" s="169" t="s">
        <v>51</v>
      </c>
      <c r="AI22" s="170" t="s">
        <v>51</v>
      </c>
      <c r="AJ22" s="142" t="s">
        <v>51</v>
      </c>
      <c r="AK22" s="169" t="s">
        <v>51</v>
      </c>
      <c r="AL22" s="170" t="s">
        <v>51</v>
      </c>
      <c r="AM22" s="142" t="s">
        <v>51</v>
      </c>
      <c r="AN22" s="169" t="s">
        <v>51</v>
      </c>
      <c r="AO22" s="170" t="s">
        <v>51</v>
      </c>
      <c r="AP22" s="142" t="s">
        <v>51</v>
      </c>
      <c r="AQ22" s="169" t="s">
        <v>51</v>
      </c>
    </row>
    <row r="23" spans="1:43" ht="18" customHeight="1">
      <c r="A23" s="39"/>
      <c r="B23" s="112" t="s">
        <v>52</v>
      </c>
      <c r="C23" s="116"/>
      <c r="D23" s="117"/>
      <c r="E23" s="133" t="s">
        <v>169</v>
      </c>
      <c r="F23" s="542" t="s">
        <v>170</v>
      </c>
      <c r="G23" s="542"/>
      <c r="H23" s="134" t="s">
        <v>169</v>
      </c>
      <c r="I23" s="542" t="s">
        <v>170</v>
      </c>
      <c r="J23" s="542"/>
      <c r="K23" s="134" t="s">
        <v>169</v>
      </c>
      <c r="L23" s="542" t="s">
        <v>170</v>
      </c>
      <c r="M23" s="542"/>
      <c r="N23" s="134" t="s">
        <v>169</v>
      </c>
      <c r="O23" s="542" t="s">
        <v>170</v>
      </c>
      <c r="P23" s="542"/>
      <c r="Q23" s="134" t="s">
        <v>169</v>
      </c>
      <c r="R23" s="542" t="s">
        <v>170</v>
      </c>
      <c r="S23" s="591"/>
      <c r="T23" s="133" t="s">
        <v>169</v>
      </c>
      <c r="U23" s="542" t="s">
        <v>170</v>
      </c>
      <c r="V23" s="542"/>
      <c r="W23" s="134" t="s">
        <v>169</v>
      </c>
      <c r="X23" s="542" t="s">
        <v>170</v>
      </c>
      <c r="Y23" s="542"/>
      <c r="Z23" s="134" t="s">
        <v>169</v>
      </c>
      <c r="AA23" s="542" t="s">
        <v>170</v>
      </c>
      <c r="AB23" s="542"/>
      <c r="AC23" s="134" t="s">
        <v>169</v>
      </c>
      <c r="AD23" s="542" t="s">
        <v>170</v>
      </c>
      <c r="AE23" s="544"/>
      <c r="AF23" s="165" t="s">
        <v>169</v>
      </c>
      <c r="AG23" s="542" t="s">
        <v>170</v>
      </c>
      <c r="AH23" s="544"/>
      <c r="AI23" s="165" t="s">
        <v>169</v>
      </c>
      <c r="AJ23" s="542" t="s">
        <v>170</v>
      </c>
      <c r="AK23" s="544"/>
      <c r="AL23" s="165" t="s">
        <v>169</v>
      </c>
      <c r="AM23" s="542" t="s">
        <v>170</v>
      </c>
      <c r="AN23" s="544"/>
      <c r="AO23" s="165" t="s">
        <v>169</v>
      </c>
      <c r="AP23" s="542" t="s">
        <v>170</v>
      </c>
      <c r="AQ23" s="544"/>
    </row>
    <row r="24" spans="1:43" ht="18" customHeight="1">
      <c r="A24" s="39"/>
      <c r="B24" s="107" t="s">
        <v>55</v>
      </c>
      <c r="C24" s="108"/>
      <c r="D24" s="109"/>
      <c r="E24" s="541" t="s">
        <v>57</v>
      </c>
      <c r="F24" s="542"/>
      <c r="G24" s="542"/>
      <c r="H24" s="542" t="s">
        <v>57</v>
      </c>
      <c r="I24" s="542"/>
      <c r="J24" s="542"/>
      <c r="K24" s="542" t="s">
        <v>57</v>
      </c>
      <c r="L24" s="542"/>
      <c r="M24" s="542"/>
      <c r="N24" s="542" t="s">
        <v>57</v>
      </c>
      <c r="O24" s="542"/>
      <c r="P24" s="542"/>
      <c r="Q24" s="542" t="s">
        <v>57</v>
      </c>
      <c r="R24" s="542"/>
      <c r="S24" s="591"/>
      <c r="T24" s="541" t="s">
        <v>57</v>
      </c>
      <c r="U24" s="542"/>
      <c r="V24" s="542"/>
      <c r="W24" s="542" t="s">
        <v>57</v>
      </c>
      <c r="X24" s="542"/>
      <c r="Y24" s="542"/>
      <c r="Z24" s="542" t="s">
        <v>57</v>
      </c>
      <c r="AA24" s="542"/>
      <c r="AB24" s="542"/>
      <c r="AC24" s="542" t="s">
        <v>57</v>
      </c>
      <c r="AD24" s="542"/>
      <c r="AE24" s="544"/>
      <c r="AF24" s="543" t="s">
        <v>57</v>
      </c>
      <c r="AG24" s="542"/>
      <c r="AH24" s="544"/>
      <c r="AI24" s="543" t="s">
        <v>57</v>
      </c>
      <c r="AJ24" s="542"/>
      <c r="AK24" s="544"/>
      <c r="AL24" s="543" t="s">
        <v>57</v>
      </c>
      <c r="AM24" s="542"/>
      <c r="AN24" s="544"/>
      <c r="AO24" s="543" t="s">
        <v>57</v>
      </c>
      <c r="AP24" s="542"/>
      <c r="AQ24" s="544"/>
    </row>
    <row r="25" spans="1:43" ht="18" customHeight="1">
      <c r="A25" s="39"/>
      <c r="B25" s="118" t="s">
        <v>58</v>
      </c>
      <c r="C25" s="449" t="s">
        <v>59</v>
      </c>
      <c r="D25" s="115" t="s">
        <v>60</v>
      </c>
      <c r="E25" s="541" t="s">
        <v>51</v>
      </c>
      <c r="F25" s="542"/>
      <c r="G25" s="542"/>
      <c r="H25" s="542" t="s">
        <v>51</v>
      </c>
      <c r="I25" s="542"/>
      <c r="J25" s="542"/>
      <c r="K25" s="542" t="s">
        <v>51</v>
      </c>
      <c r="L25" s="542"/>
      <c r="M25" s="542"/>
      <c r="N25" s="542" t="s">
        <v>51</v>
      </c>
      <c r="O25" s="542"/>
      <c r="P25" s="542"/>
      <c r="Q25" s="542" t="s">
        <v>51</v>
      </c>
      <c r="R25" s="542"/>
      <c r="S25" s="591"/>
      <c r="T25" s="541" t="s">
        <v>51</v>
      </c>
      <c r="U25" s="542"/>
      <c r="V25" s="542"/>
      <c r="W25" s="542" t="s">
        <v>62</v>
      </c>
      <c r="X25" s="542"/>
      <c r="Y25" s="542"/>
      <c r="Z25" s="542" t="s">
        <v>62</v>
      </c>
      <c r="AA25" s="542"/>
      <c r="AB25" s="542"/>
      <c r="AC25" s="542" t="s">
        <v>62</v>
      </c>
      <c r="AD25" s="542"/>
      <c r="AE25" s="544"/>
      <c r="AF25" s="543" t="s">
        <v>62</v>
      </c>
      <c r="AG25" s="542"/>
      <c r="AH25" s="544"/>
      <c r="AI25" s="543" t="s">
        <v>62</v>
      </c>
      <c r="AJ25" s="542"/>
      <c r="AK25" s="544"/>
      <c r="AL25" s="543" t="s">
        <v>62</v>
      </c>
      <c r="AM25" s="542"/>
      <c r="AN25" s="544"/>
      <c r="AO25" s="543" t="s">
        <v>62</v>
      </c>
      <c r="AP25" s="542"/>
      <c r="AQ25" s="544"/>
    </row>
    <row r="26" spans="1:43" ht="18" customHeight="1">
      <c r="A26" s="39"/>
      <c r="B26" s="119" t="s">
        <v>63</v>
      </c>
      <c r="C26" s="449" t="s">
        <v>64</v>
      </c>
      <c r="D26" s="115" t="s">
        <v>65</v>
      </c>
      <c r="E26" s="541" t="s">
        <v>51</v>
      </c>
      <c r="F26" s="542"/>
      <c r="G26" s="542"/>
      <c r="H26" s="542" t="s">
        <v>51</v>
      </c>
      <c r="I26" s="542"/>
      <c r="J26" s="542"/>
      <c r="K26" s="542" t="s">
        <v>51</v>
      </c>
      <c r="L26" s="542"/>
      <c r="M26" s="542"/>
      <c r="N26" s="542" t="s">
        <v>51</v>
      </c>
      <c r="O26" s="542"/>
      <c r="P26" s="542"/>
      <c r="Q26" s="542" t="s">
        <v>51</v>
      </c>
      <c r="R26" s="542"/>
      <c r="S26" s="591"/>
      <c r="T26" s="541" t="s">
        <v>51</v>
      </c>
      <c r="U26" s="542"/>
      <c r="V26" s="542"/>
      <c r="W26" s="542" t="s">
        <v>173</v>
      </c>
      <c r="X26" s="542"/>
      <c r="Y26" s="542"/>
      <c r="Z26" s="542" t="s">
        <v>173</v>
      </c>
      <c r="AA26" s="542"/>
      <c r="AB26" s="542"/>
      <c r="AC26" s="542" t="s">
        <v>173</v>
      </c>
      <c r="AD26" s="542"/>
      <c r="AE26" s="544"/>
      <c r="AF26" s="543" t="s">
        <v>173</v>
      </c>
      <c r="AG26" s="542"/>
      <c r="AH26" s="544"/>
      <c r="AI26" s="543" t="s">
        <v>173</v>
      </c>
      <c r="AJ26" s="542"/>
      <c r="AK26" s="544"/>
      <c r="AL26" s="543" t="s">
        <v>173</v>
      </c>
      <c r="AM26" s="542"/>
      <c r="AN26" s="544"/>
      <c r="AO26" s="543" t="s">
        <v>173</v>
      </c>
      <c r="AP26" s="542"/>
      <c r="AQ26" s="544"/>
    </row>
    <row r="27" spans="1:43" ht="33.75" customHeight="1">
      <c r="A27" s="39"/>
      <c r="B27" s="120" t="s">
        <v>68</v>
      </c>
      <c r="C27" s="449" t="s">
        <v>59</v>
      </c>
      <c r="D27" s="115" t="s">
        <v>60</v>
      </c>
      <c r="E27" s="541" t="s">
        <v>323</v>
      </c>
      <c r="F27" s="542"/>
      <c r="G27" s="542"/>
      <c r="H27" s="542" t="s">
        <v>69</v>
      </c>
      <c r="I27" s="542"/>
      <c r="J27" s="542"/>
      <c r="K27" s="542" t="s">
        <v>69</v>
      </c>
      <c r="L27" s="542"/>
      <c r="M27" s="542"/>
      <c r="N27" s="542" t="s">
        <v>69</v>
      </c>
      <c r="O27" s="542"/>
      <c r="P27" s="542"/>
      <c r="Q27" s="542" t="s">
        <v>324</v>
      </c>
      <c r="R27" s="542"/>
      <c r="S27" s="591"/>
      <c r="T27" s="541" t="s">
        <v>324</v>
      </c>
      <c r="U27" s="542"/>
      <c r="V27" s="542"/>
      <c r="W27" s="542" t="s">
        <v>324</v>
      </c>
      <c r="X27" s="542"/>
      <c r="Y27" s="542"/>
      <c r="Z27" s="542" t="s">
        <v>324</v>
      </c>
      <c r="AA27" s="542"/>
      <c r="AB27" s="542"/>
      <c r="AC27" s="542" t="s">
        <v>324</v>
      </c>
      <c r="AD27" s="542"/>
      <c r="AE27" s="544"/>
      <c r="AF27" s="542" t="s">
        <v>325</v>
      </c>
      <c r="AG27" s="542"/>
      <c r="AH27" s="544"/>
      <c r="AI27" s="542" t="s">
        <v>325</v>
      </c>
      <c r="AJ27" s="542"/>
      <c r="AK27" s="544"/>
      <c r="AL27" s="542" t="s">
        <v>325</v>
      </c>
      <c r="AM27" s="542"/>
      <c r="AN27" s="544"/>
      <c r="AO27" s="542" t="s">
        <v>325</v>
      </c>
      <c r="AP27" s="542"/>
      <c r="AQ27" s="544"/>
    </row>
    <row r="28" spans="1:43" ht="18" customHeight="1">
      <c r="A28" s="39"/>
      <c r="B28" s="121" t="s">
        <v>74</v>
      </c>
      <c r="C28" s="449" t="s">
        <v>64</v>
      </c>
      <c r="D28" s="115" t="s">
        <v>65</v>
      </c>
      <c r="E28" s="541" t="s">
        <v>326</v>
      </c>
      <c r="F28" s="542"/>
      <c r="G28" s="542"/>
      <c r="H28" s="542" t="s">
        <v>326</v>
      </c>
      <c r="I28" s="542"/>
      <c r="J28" s="542"/>
      <c r="K28" s="542" t="s">
        <v>326</v>
      </c>
      <c r="L28" s="542"/>
      <c r="M28" s="542"/>
      <c r="N28" s="542" t="s">
        <v>326</v>
      </c>
      <c r="O28" s="542"/>
      <c r="P28" s="542"/>
      <c r="Q28" s="542" t="s">
        <v>326</v>
      </c>
      <c r="R28" s="542"/>
      <c r="S28" s="591"/>
      <c r="T28" s="541" t="s">
        <v>326</v>
      </c>
      <c r="U28" s="542"/>
      <c r="V28" s="542"/>
      <c r="W28" s="542" t="s">
        <v>326</v>
      </c>
      <c r="X28" s="542"/>
      <c r="Y28" s="542"/>
      <c r="Z28" s="542" t="s">
        <v>326</v>
      </c>
      <c r="AA28" s="542"/>
      <c r="AB28" s="542"/>
      <c r="AC28" s="542" t="s">
        <v>326</v>
      </c>
      <c r="AD28" s="542"/>
      <c r="AE28" s="544"/>
      <c r="AF28" s="542" t="s">
        <v>327</v>
      </c>
      <c r="AG28" s="542"/>
      <c r="AH28" s="544"/>
      <c r="AI28" s="542" t="s">
        <v>327</v>
      </c>
      <c r="AJ28" s="542"/>
      <c r="AK28" s="544"/>
      <c r="AL28" s="542" t="s">
        <v>327</v>
      </c>
      <c r="AM28" s="542"/>
      <c r="AN28" s="544"/>
      <c r="AO28" s="542" t="s">
        <v>327</v>
      </c>
      <c r="AP28" s="542"/>
      <c r="AQ28" s="544"/>
    </row>
    <row r="29" spans="1:43" ht="18" customHeight="1">
      <c r="A29" s="39"/>
      <c r="B29" s="122" t="s">
        <v>77</v>
      </c>
      <c r="C29" s="449" t="s">
        <v>59</v>
      </c>
      <c r="D29" s="115" t="s">
        <v>60</v>
      </c>
      <c r="E29" s="541" t="s">
        <v>51</v>
      </c>
      <c r="F29" s="542"/>
      <c r="G29" s="542"/>
      <c r="H29" s="542" t="s">
        <v>51</v>
      </c>
      <c r="I29" s="542"/>
      <c r="J29" s="542"/>
      <c r="K29" s="542" t="s">
        <v>51</v>
      </c>
      <c r="L29" s="542"/>
      <c r="M29" s="542"/>
      <c r="N29" s="542" t="s">
        <v>51</v>
      </c>
      <c r="O29" s="542"/>
      <c r="P29" s="542"/>
      <c r="Q29" s="542" t="s">
        <v>51</v>
      </c>
      <c r="R29" s="542"/>
      <c r="S29" s="591"/>
      <c r="T29" s="541" t="s">
        <v>179</v>
      </c>
      <c r="U29" s="542"/>
      <c r="V29" s="542"/>
      <c r="W29" s="542" t="s">
        <v>179</v>
      </c>
      <c r="X29" s="542"/>
      <c r="Y29" s="542"/>
      <c r="Z29" s="542" t="s">
        <v>179</v>
      </c>
      <c r="AA29" s="542"/>
      <c r="AB29" s="542"/>
      <c r="AC29" s="542" t="s">
        <v>81</v>
      </c>
      <c r="AD29" s="542"/>
      <c r="AE29" s="544"/>
      <c r="AF29" s="543" t="s">
        <v>179</v>
      </c>
      <c r="AG29" s="542"/>
      <c r="AH29" s="544"/>
      <c r="AI29" s="543" t="s">
        <v>179</v>
      </c>
      <c r="AJ29" s="542"/>
      <c r="AK29" s="544"/>
      <c r="AL29" s="543" t="s">
        <v>179</v>
      </c>
      <c r="AM29" s="542"/>
      <c r="AN29" s="544"/>
      <c r="AO29" s="543" t="s">
        <v>81</v>
      </c>
      <c r="AP29" s="542"/>
      <c r="AQ29" s="544"/>
    </row>
    <row r="30" spans="1:43" ht="18" customHeight="1">
      <c r="A30" s="39"/>
      <c r="B30" s="113" t="s">
        <v>82</v>
      </c>
      <c r="C30" s="449" t="s">
        <v>64</v>
      </c>
      <c r="D30" s="115" t="s">
        <v>65</v>
      </c>
      <c r="E30" s="541" t="s">
        <v>51</v>
      </c>
      <c r="F30" s="542"/>
      <c r="G30" s="542"/>
      <c r="H30" s="542" t="s">
        <v>51</v>
      </c>
      <c r="I30" s="542"/>
      <c r="J30" s="542"/>
      <c r="K30" s="542" t="s">
        <v>51</v>
      </c>
      <c r="L30" s="542"/>
      <c r="M30" s="542"/>
      <c r="N30" s="542" t="s">
        <v>51</v>
      </c>
      <c r="O30" s="542"/>
      <c r="P30" s="542"/>
      <c r="Q30" s="542" t="s">
        <v>51</v>
      </c>
      <c r="R30" s="542"/>
      <c r="S30" s="591"/>
      <c r="T30" s="541" t="s">
        <v>179</v>
      </c>
      <c r="U30" s="542"/>
      <c r="V30" s="542"/>
      <c r="W30" s="542" t="s">
        <v>179</v>
      </c>
      <c r="X30" s="542"/>
      <c r="Y30" s="542"/>
      <c r="Z30" s="542" t="s">
        <v>179</v>
      </c>
      <c r="AA30" s="542"/>
      <c r="AB30" s="542"/>
      <c r="AC30" s="542" t="s">
        <v>81</v>
      </c>
      <c r="AD30" s="542"/>
      <c r="AE30" s="544"/>
      <c r="AF30" s="543" t="s">
        <v>179</v>
      </c>
      <c r="AG30" s="542"/>
      <c r="AH30" s="544"/>
      <c r="AI30" s="543" t="s">
        <v>179</v>
      </c>
      <c r="AJ30" s="542"/>
      <c r="AK30" s="544"/>
      <c r="AL30" s="543" t="s">
        <v>179</v>
      </c>
      <c r="AM30" s="542"/>
      <c r="AN30" s="544"/>
      <c r="AO30" s="543" t="s">
        <v>81</v>
      </c>
      <c r="AP30" s="542"/>
      <c r="AQ30" s="544"/>
    </row>
    <row r="31" spans="1:43" ht="18" customHeight="1">
      <c r="A31" s="45"/>
      <c r="B31" s="122" t="s">
        <v>83</v>
      </c>
      <c r="C31" s="123" t="s">
        <v>84</v>
      </c>
      <c r="D31" s="115" t="s">
        <v>85</v>
      </c>
      <c r="E31" s="554" t="s">
        <v>88</v>
      </c>
      <c r="F31" s="552"/>
      <c r="G31" s="552"/>
      <c r="H31" s="542" t="s">
        <v>88</v>
      </c>
      <c r="I31" s="542"/>
      <c r="J31" s="542"/>
      <c r="K31" s="542" t="s">
        <v>88</v>
      </c>
      <c r="L31" s="542"/>
      <c r="M31" s="542"/>
      <c r="N31" s="542" t="s">
        <v>88</v>
      </c>
      <c r="O31" s="542"/>
      <c r="P31" s="542"/>
      <c r="Q31" s="542" t="s">
        <v>88</v>
      </c>
      <c r="R31" s="542"/>
      <c r="S31" s="591"/>
      <c r="T31" s="541" t="s">
        <v>88</v>
      </c>
      <c r="U31" s="542"/>
      <c r="V31" s="542"/>
      <c r="W31" s="542" t="s">
        <v>88</v>
      </c>
      <c r="X31" s="542"/>
      <c r="Y31" s="542"/>
      <c r="Z31" s="542" t="s">
        <v>88</v>
      </c>
      <c r="AA31" s="542"/>
      <c r="AB31" s="542"/>
      <c r="AC31" s="542" t="s">
        <v>88</v>
      </c>
      <c r="AD31" s="542"/>
      <c r="AE31" s="544"/>
      <c r="AF31" s="538" t="s">
        <v>88</v>
      </c>
      <c r="AG31" s="539"/>
      <c r="AH31" s="540"/>
      <c r="AI31" s="538" t="s">
        <v>88</v>
      </c>
      <c r="AJ31" s="539"/>
      <c r="AK31" s="540"/>
      <c r="AL31" s="538" t="s">
        <v>88</v>
      </c>
      <c r="AM31" s="539"/>
      <c r="AN31" s="540"/>
      <c r="AO31" s="538" t="s">
        <v>88</v>
      </c>
      <c r="AP31" s="539"/>
      <c r="AQ31" s="540"/>
    </row>
    <row r="32" spans="1:43" ht="18" customHeight="1">
      <c r="A32" s="46"/>
      <c r="B32" s="113" t="s">
        <v>89</v>
      </c>
      <c r="C32" s="123" t="s">
        <v>90</v>
      </c>
      <c r="D32" s="115" t="s">
        <v>91</v>
      </c>
      <c r="E32" s="554" t="s">
        <v>88</v>
      </c>
      <c r="F32" s="552"/>
      <c r="G32" s="552"/>
      <c r="H32" s="542" t="s">
        <v>88</v>
      </c>
      <c r="I32" s="542"/>
      <c r="J32" s="542"/>
      <c r="K32" s="542" t="s">
        <v>88</v>
      </c>
      <c r="L32" s="542"/>
      <c r="M32" s="542"/>
      <c r="N32" s="542" t="s">
        <v>88</v>
      </c>
      <c r="O32" s="542"/>
      <c r="P32" s="542"/>
      <c r="Q32" s="542" t="s">
        <v>88</v>
      </c>
      <c r="R32" s="542"/>
      <c r="S32" s="591"/>
      <c r="T32" s="541" t="s">
        <v>88</v>
      </c>
      <c r="U32" s="542"/>
      <c r="V32" s="542"/>
      <c r="W32" s="542" t="s">
        <v>88</v>
      </c>
      <c r="X32" s="542"/>
      <c r="Y32" s="542"/>
      <c r="Z32" s="542" t="s">
        <v>88</v>
      </c>
      <c r="AA32" s="542"/>
      <c r="AB32" s="542"/>
      <c r="AC32" s="542" t="s">
        <v>88</v>
      </c>
      <c r="AD32" s="542"/>
      <c r="AE32" s="544"/>
      <c r="AF32" s="543" t="s">
        <v>88</v>
      </c>
      <c r="AG32" s="542"/>
      <c r="AH32" s="544"/>
      <c r="AI32" s="543" t="s">
        <v>88</v>
      </c>
      <c r="AJ32" s="542"/>
      <c r="AK32" s="544"/>
      <c r="AL32" s="543" t="s">
        <v>88</v>
      </c>
      <c r="AM32" s="542"/>
      <c r="AN32" s="544"/>
      <c r="AO32" s="543" t="s">
        <v>88</v>
      </c>
      <c r="AP32" s="542"/>
      <c r="AQ32" s="544"/>
    </row>
    <row r="33" spans="1:43" ht="18" customHeight="1">
      <c r="A33" s="45"/>
      <c r="B33" s="122" t="s">
        <v>92</v>
      </c>
      <c r="C33" s="449" t="s">
        <v>59</v>
      </c>
      <c r="D33" s="115" t="s">
        <v>60</v>
      </c>
      <c r="E33" s="554" t="s">
        <v>94</v>
      </c>
      <c r="F33" s="552"/>
      <c r="G33" s="552"/>
      <c r="H33" s="552" t="s">
        <v>94</v>
      </c>
      <c r="I33" s="552"/>
      <c r="J33" s="552"/>
      <c r="K33" s="552" t="s">
        <v>94</v>
      </c>
      <c r="L33" s="552"/>
      <c r="M33" s="552"/>
      <c r="N33" s="552" t="s">
        <v>94</v>
      </c>
      <c r="O33" s="552"/>
      <c r="P33" s="552"/>
      <c r="Q33" s="552" t="s">
        <v>94</v>
      </c>
      <c r="R33" s="552"/>
      <c r="S33" s="592"/>
      <c r="T33" s="554" t="s">
        <v>94</v>
      </c>
      <c r="U33" s="552"/>
      <c r="V33" s="552"/>
      <c r="W33" s="552" t="s">
        <v>94</v>
      </c>
      <c r="X33" s="552"/>
      <c r="Y33" s="552"/>
      <c r="Z33" s="552" t="s">
        <v>94</v>
      </c>
      <c r="AA33" s="552"/>
      <c r="AB33" s="552"/>
      <c r="AC33" s="552" t="s">
        <v>94</v>
      </c>
      <c r="AD33" s="552"/>
      <c r="AE33" s="553"/>
      <c r="AF33" s="551" t="s">
        <v>94</v>
      </c>
      <c r="AG33" s="552"/>
      <c r="AH33" s="553"/>
      <c r="AI33" s="551" t="s">
        <v>94</v>
      </c>
      <c r="AJ33" s="552"/>
      <c r="AK33" s="553"/>
      <c r="AL33" s="551" t="s">
        <v>94</v>
      </c>
      <c r="AM33" s="552"/>
      <c r="AN33" s="553"/>
      <c r="AO33" s="551" t="s">
        <v>94</v>
      </c>
      <c r="AP33" s="552"/>
      <c r="AQ33" s="553"/>
    </row>
    <row r="34" spans="1:43" ht="18" customHeight="1">
      <c r="A34" s="46"/>
      <c r="B34" s="113" t="s">
        <v>95</v>
      </c>
      <c r="C34" s="449" t="s">
        <v>64</v>
      </c>
      <c r="D34" s="115" t="s">
        <v>65</v>
      </c>
      <c r="E34" s="541" t="s">
        <v>97</v>
      </c>
      <c r="F34" s="542"/>
      <c r="G34" s="542"/>
      <c r="H34" s="542" t="s">
        <v>97</v>
      </c>
      <c r="I34" s="542"/>
      <c r="J34" s="542"/>
      <c r="K34" s="542" t="s">
        <v>97</v>
      </c>
      <c r="L34" s="542"/>
      <c r="M34" s="542"/>
      <c r="N34" s="542" t="s">
        <v>97</v>
      </c>
      <c r="O34" s="542"/>
      <c r="P34" s="542"/>
      <c r="Q34" s="542" t="s">
        <v>97</v>
      </c>
      <c r="R34" s="542"/>
      <c r="S34" s="591"/>
      <c r="T34" s="541" t="s">
        <v>97</v>
      </c>
      <c r="U34" s="542"/>
      <c r="V34" s="542"/>
      <c r="W34" s="542" t="s">
        <v>97</v>
      </c>
      <c r="X34" s="542"/>
      <c r="Y34" s="542"/>
      <c r="Z34" s="542" t="s">
        <v>97</v>
      </c>
      <c r="AA34" s="542"/>
      <c r="AB34" s="542"/>
      <c r="AC34" s="542" t="s">
        <v>97</v>
      </c>
      <c r="AD34" s="542"/>
      <c r="AE34" s="544"/>
      <c r="AF34" s="543" t="s">
        <v>97</v>
      </c>
      <c r="AG34" s="542"/>
      <c r="AH34" s="544"/>
      <c r="AI34" s="543" t="s">
        <v>97</v>
      </c>
      <c r="AJ34" s="542"/>
      <c r="AK34" s="544"/>
      <c r="AL34" s="543" t="s">
        <v>97</v>
      </c>
      <c r="AM34" s="542"/>
      <c r="AN34" s="544"/>
      <c r="AO34" s="543" t="s">
        <v>97</v>
      </c>
      <c r="AP34" s="542"/>
      <c r="AQ34" s="544"/>
    </row>
    <row r="35" spans="1:43" ht="36" customHeight="1">
      <c r="A35" s="45"/>
      <c r="B35" s="575" t="s">
        <v>98</v>
      </c>
      <c r="C35" s="449" t="s">
        <v>59</v>
      </c>
      <c r="D35" s="115" t="s">
        <v>60</v>
      </c>
      <c r="E35" s="545" t="s">
        <v>328</v>
      </c>
      <c r="F35" s="546"/>
      <c r="G35" s="546"/>
      <c r="H35" s="546" t="s">
        <v>328</v>
      </c>
      <c r="I35" s="546"/>
      <c r="J35" s="546"/>
      <c r="K35" s="546" t="s">
        <v>328</v>
      </c>
      <c r="L35" s="546"/>
      <c r="M35" s="546"/>
      <c r="N35" s="546" t="s">
        <v>328</v>
      </c>
      <c r="O35" s="546"/>
      <c r="P35" s="546"/>
      <c r="Q35" s="546" t="s">
        <v>328</v>
      </c>
      <c r="R35" s="546"/>
      <c r="S35" s="557"/>
      <c r="T35" s="545" t="s">
        <v>328</v>
      </c>
      <c r="U35" s="546"/>
      <c r="V35" s="546"/>
      <c r="W35" s="546" t="s">
        <v>328</v>
      </c>
      <c r="X35" s="546"/>
      <c r="Y35" s="546"/>
      <c r="Z35" s="546" t="s">
        <v>329</v>
      </c>
      <c r="AA35" s="546"/>
      <c r="AB35" s="546"/>
      <c r="AC35" s="546" t="s">
        <v>329</v>
      </c>
      <c r="AD35" s="546"/>
      <c r="AE35" s="548"/>
      <c r="AF35" s="555" t="s">
        <v>329</v>
      </c>
      <c r="AG35" s="556"/>
      <c r="AH35" s="547"/>
      <c r="AI35" s="555" t="s">
        <v>329</v>
      </c>
      <c r="AJ35" s="556"/>
      <c r="AK35" s="547"/>
      <c r="AL35" s="555" t="s">
        <v>329</v>
      </c>
      <c r="AM35" s="556"/>
      <c r="AN35" s="547"/>
      <c r="AO35" s="555" t="s">
        <v>329</v>
      </c>
      <c r="AP35" s="556"/>
      <c r="AQ35" s="558"/>
    </row>
    <row r="36" spans="1:43" ht="36" customHeight="1">
      <c r="A36" s="46"/>
      <c r="B36" s="576"/>
      <c r="C36" s="450" t="s">
        <v>64</v>
      </c>
      <c r="D36" s="171" t="s">
        <v>102</v>
      </c>
      <c r="E36" s="545" t="s">
        <v>182</v>
      </c>
      <c r="F36" s="542"/>
      <c r="G36" s="542"/>
      <c r="H36" s="546" t="s">
        <v>182</v>
      </c>
      <c r="I36" s="542"/>
      <c r="J36" s="542"/>
      <c r="K36" s="546" t="s">
        <v>182</v>
      </c>
      <c r="L36" s="542"/>
      <c r="M36" s="542"/>
      <c r="N36" s="546" t="s">
        <v>182</v>
      </c>
      <c r="O36" s="542"/>
      <c r="P36" s="542"/>
      <c r="Q36" s="546" t="s">
        <v>182</v>
      </c>
      <c r="R36" s="542"/>
      <c r="S36" s="591"/>
      <c r="T36" s="545" t="s">
        <v>182</v>
      </c>
      <c r="U36" s="542"/>
      <c r="V36" s="542"/>
      <c r="W36" s="546" t="s">
        <v>182</v>
      </c>
      <c r="X36" s="542"/>
      <c r="Y36" s="542"/>
      <c r="Z36" s="546" t="s">
        <v>182</v>
      </c>
      <c r="AA36" s="542"/>
      <c r="AB36" s="542"/>
      <c r="AC36" s="546" t="s">
        <v>182</v>
      </c>
      <c r="AD36" s="542"/>
      <c r="AE36" s="544"/>
      <c r="AF36" s="547" t="s">
        <v>182</v>
      </c>
      <c r="AG36" s="542"/>
      <c r="AH36" s="544"/>
      <c r="AI36" s="547" t="s">
        <v>182</v>
      </c>
      <c r="AJ36" s="542"/>
      <c r="AK36" s="544"/>
      <c r="AL36" s="547" t="s">
        <v>182</v>
      </c>
      <c r="AM36" s="542"/>
      <c r="AN36" s="544"/>
      <c r="AO36" s="547" t="s">
        <v>182</v>
      </c>
      <c r="AP36" s="542"/>
      <c r="AQ36" s="544"/>
    </row>
    <row r="37" spans="1:43" ht="36" customHeight="1">
      <c r="A37" s="45"/>
      <c r="B37" s="577"/>
      <c r="C37" s="451" t="s">
        <v>105</v>
      </c>
      <c r="D37" s="171" t="s">
        <v>106</v>
      </c>
      <c r="E37" s="545" t="s">
        <v>104</v>
      </c>
      <c r="F37" s="546"/>
      <c r="G37" s="546"/>
      <c r="H37" s="546" t="s">
        <v>104</v>
      </c>
      <c r="I37" s="546"/>
      <c r="J37" s="546"/>
      <c r="K37" s="546" t="s">
        <v>104</v>
      </c>
      <c r="L37" s="546"/>
      <c r="M37" s="546"/>
      <c r="N37" s="546" t="s">
        <v>104</v>
      </c>
      <c r="O37" s="546"/>
      <c r="P37" s="546"/>
      <c r="Q37" s="546" t="s">
        <v>104</v>
      </c>
      <c r="R37" s="546"/>
      <c r="S37" s="557"/>
      <c r="T37" s="545" t="s">
        <v>104</v>
      </c>
      <c r="U37" s="546"/>
      <c r="V37" s="546"/>
      <c r="W37" s="546" t="s">
        <v>104</v>
      </c>
      <c r="X37" s="546"/>
      <c r="Y37" s="546"/>
      <c r="Z37" s="546" t="s">
        <v>104</v>
      </c>
      <c r="AA37" s="546"/>
      <c r="AB37" s="546"/>
      <c r="AC37" s="546" t="s">
        <v>104</v>
      </c>
      <c r="AD37" s="546"/>
      <c r="AE37" s="548"/>
      <c r="AF37" s="547" t="s">
        <v>104</v>
      </c>
      <c r="AG37" s="546"/>
      <c r="AH37" s="548"/>
      <c r="AI37" s="547" t="s">
        <v>104</v>
      </c>
      <c r="AJ37" s="546"/>
      <c r="AK37" s="548"/>
      <c r="AL37" s="547" t="s">
        <v>104</v>
      </c>
      <c r="AM37" s="546"/>
      <c r="AN37" s="548"/>
      <c r="AO37" s="547" t="s">
        <v>104</v>
      </c>
      <c r="AP37" s="546"/>
      <c r="AQ37" s="548"/>
    </row>
    <row r="38" spans="1:43" ht="18" customHeight="1">
      <c r="A38" s="46"/>
      <c r="B38" s="172" t="s">
        <v>108</v>
      </c>
      <c r="C38" s="452" t="s">
        <v>109</v>
      </c>
      <c r="D38" s="115" t="s">
        <v>110</v>
      </c>
      <c r="E38" s="559">
        <v>2.5</v>
      </c>
      <c r="F38" s="560"/>
      <c r="G38" s="560"/>
      <c r="H38" s="560">
        <v>2.5</v>
      </c>
      <c r="I38" s="560"/>
      <c r="J38" s="560"/>
      <c r="K38" s="560">
        <v>2.5</v>
      </c>
      <c r="L38" s="560"/>
      <c r="M38" s="560"/>
      <c r="N38" s="560">
        <v>2.5</v>
      </c>
      <c r="O38" s="560"/>
      <c r="P38" s="560"/>
      <c r="Q38" s="560">
        <v>2.5</v>
      </c>
      <c r="R38" s="560"/>
      <c r="S38" s="593"/>
      <c r="T38" s="559">
        <v>2.5</v>
      </c>
      <c r="U38" s="560"/>
      <c r="V38" s="560"/>
      <c r="W38" s="560">
        <v>2.5</v>
      </c>
      <c r="X38" s="560"/>
      <c r="Y38" s="560"/>
      <c r="Z38" s="560">
        <v>2.5</v>
      </c>
      <c r="AA38" s="560"/>
      <c r="AB38" s="560"/>
      <c r="AC38" s="560">
        <v>2.5</v>
      </c>
      <c r="AD38" s="560"/>
      <c r="AE38" s="562"/>
      <c r="AF38" s="561">
        <v>2.5</v>
      </c>
      <c r="AG38" s="560"/>
      <c r="AH38" s="562"/>
      <c r="AI38" s="561">
        <v>2.5</v>
      </c>
      <c r="AJ38" s="560"/>
      <c r="AK38" s="562"/>
      <c r="AL38" s="561">
        <v>2.5</v>
      </c>
      <c r="AM38" s="560"/>
      <c r="AN38" s="562"/>
      <c r="AO38" s="561">
        <v>2.5</v>
      </c>
      <c r="AP38" s="560"/>
      <c r="AQ38" s="562"/>
    </row>
    <row r="39" spans="1:43" ht="18" customHeight="1">
      <c r="A39" s="39"/>
      <c r="B39" s="173" t="s">
        <v>111</v>
      </c>
      <c r="C39" s="453" t="s">
        <v>112</v>
      </c>
      <c r="D39" s="174" t="s">
        <v>113</v>
      </c>
      <c r="E39" s="563">
        <v>2.5</v>
      </c>
      <c r="F39" s="564"/>
      <c r="G39" s="564"/>
      <c r="H39" s="564">
        <v>2.5</v>
      </c>
      <c r="I39" s="564"/>
      <c r="J39" s="564"/>
      <c r="K39" s="564">
        <v>2.5</v>
      </c>
      <c r="L39" s="564"/>
      <c r="M39" s="564"/>
      <c r="N39" s="564">
        <v>2.5</v>
      </c>
      <c r="O39" s="564"/>
      <c r="P39" s="564"/>
      <c r="Q39" s="564">
        <v>2.5</v>
      </c>
      <c r="R39" s="564"/>
      <c r="S39" s="594"/>
      <c r="T39" s="563">
        <v>2.5</v>
      </c>
      <c r="U39" s="564"/>
      <c r="V39" s="564"/>
      <c r="W39" s="564">
        <v>2.5</v>
      </c>
      <c r="X39" s="564"/>
      <c r="Y39" s="564"/>
      <c r="Z39" s="564">
        <v>2.5</v>
      </c>
      <c r="AA39" s="564"/>
      <c r="AB39" s="564"/>
      <c r="AC39" s="564">
        <v>2.5</v>
      </c>
      <c r="AD39" s="564"/>
      <c r="AE39" s="566"/>
      <c r="AF39" s="565">
        <v>2.5</v>
      </c>
      <c r="AG39" s="564"/>
      <c r="AH39" s="566"/>
      <c r="AI39" s="565">
        <v>2.5</v>
      </c>
      <c r="AJ39" s="564"/>
      <c r="AK39" s="566"/>
      <c r="AL39" s="565">
        <v>2.5</v>
      </c>
      <c r="AM39" s="564"/>
      <c r="AN39" s="566"/>
      <c r="AO39" s="565">
        <v>2.5</v>
      </c>
      <c r="AP39" s="564"/>
      <c r="AQ39" s="566"/>
    </row>
    <row r="40" spans="1:43" ht="18" customHeight="1">
      <c r="A40" s="39"/>
      <c r="B40" s="175" t="s">
        <v>330</v>
      </c>
      <c r="C40" s="176"/>
      <c r="D40" s="114"/>
      <c r="E40" s="133"/>
      <c r="F40" s="134"/>
      <c r="G40" s="134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208"/>
      <c r="T40" s="209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215"/>
      <c r="AF40" s="216"/>
      <c r="AG40" s="191"/>
      <c r="AH40" s="215"/>
      <c r="AI40" s="216"/>
      <c r="AJ40" s="191"/>
      <c r="AK40" s="215"/>
      <c r="AL40" s="216"/>
      <c r="AM40" s="191"/>
      <c r="AN40" s="215"/>
      <c r="AO40" s="216"/>
      <c r="AP40" s="191"/>
      <c r="AQ40" s="215"/>
    </row>
    <row r="41" spans="1:43" ht="18" customHeight="1">
      <c r="A41" s="39"/>
      <c r="B41" s="515" t="s">
        <v>115</v>
      </c>
      <c r="C41" s="492" t="s">
        <v>331</v>
      </c>
      <c r="D41" s="493"/>
      <c r="E41" s="192" t="s">
        <v>57</v>
      </c>
      <c r="F41" s="178" t="s">
        <v>57</v>
      </c>
      <c r="G41" s="178" t="s">
        <v>57</v>
      </c>
      <c r="H41" s="178" t="s">
        <v>57</v>
      </c>
      <c r="I41" s="178" t="s">
        <v>57</v>
      </c>
      <c r="J41" s="204" t="s">
        <v>57</v>
      </c>
      <c r="K41" s="204" t="s">
        <v>57</v>
      </c>
      <c r="L41" s="204" t="s">
        <v>57</v>
      </c>
      <c r="M41" s="204" t="s">
        <v>57</v>
      </c>
      <c r="N41" s="204" t="s">
        <v>57</v>
      </c>
      <c r="O41" s="204" t="s">
        <v>57</v>
      </c>
      <c r="P41" s="204" t="s">
        <v>57</v>
      </c>
      <c r="Q41" s="204" t="s">
        <v>57</v>
      </c>
      <c r="R41" s="204" t="s">
        <v>57</v>
      </c>
      <c r="S41" s="178" t="s">
        <v>57</v>
      </c>
      <c r="T41" s="210" t="s">
        <v>57</v>
      </c>
      <c r="U41" s="204" t="s">
        <v>57</v>
      </c>
      <c r="V41" s="204" t="s">
        <v>57</v>
      </c>
      <c r="W41" s="204" t="s">
        <v>57</v>
      </c>
      <c r="X41" s="204" t="s">
        <v>57</v>
      </c>
      <c r="Y41" s="204" t="s">
        <v>57</v>
      </c>
      <c r="Z41" s="204" t="s">
        <v>57</v>
      </c>
      <c r="AA41" s="204" t="s">
        <v>57</v>
      </c>
      <c r="AB41" s="204" t="s">
        <v>57</v>
      </c>
      <c r="AC41" s="204" t="s">
        <v>57</v>
      </c>
      <c r="AD41" s="204" t="s">
        <v>57</v>
      </c>
      <c r="AE41" s="217" t="s">
        <v>57</v>
      </c>
      <c r="AF41" s="179" t="s">
        <v>57</v>
      </c>
      <c r="AG41" s="178" t="s">
        <v>57</v>
      </c>
      <c r="AH41" s="217" t="s">
        <v>57</v>
      </c>
      <c r="AI41" s="179" t="s">
        <v>57</v>
      </c>
      <c r="AJ41" s="178" t="s">
        <v>57</v>
      </c>
      <c r="AK41" s="217" t="s">
        <v>57</v>
      </c>
      <c r="AL41" s="179" t="s">
        <v>57</v>
      </c>
      <c r="AM41" s="178" t="s">
        <v>57</v>
      </c>
      <c r="AN41" s="217" t="s">
        <v>57</v>
      </c>
      <c r="AO41" s="179" t="s">
        <v>57</v>
      </c>
      <c r="AP41" s="178" t="s">
        <v>57</v>
      </c>
      <c r="AQ41" s="217" t="s">
        <v>57</v>
      </c>
    </row>
    <row r="42" spans="1:43" ht="18" customHeight="1">
      <c r="A42" s="39"/>
      <c r="B42" s="596"/>
      <c r="C42" s="494" t="s">
        <v>332</v>
      </c>
      <c r="D42" s="495"/>
      <c r="E42" s="193" t="s">
        <v>51</v>
      </c>
      <c r="F42" s="194" t="s">
        <v>51</v>
      </c>
      <c r="G42" s="194" t="s">
        <v>51</v>
      </c>
      <c r="H42" s="194" t="s">
        <v>51</v>
      </c>
      <c r="I42" s="194" t="s">
        <v>51</v>
      </c>
      <c r="J42" s="194" t="s">
        <v>51</v>
      </c>
      <c r="K42" s="194" t="s">
        <v>51</v>
      </c>
      <c r="L42" s="194" t="s">
        <v>51</v>
      </c>
      <c r="M42" s="194" t="s">
        <v>51</v>
      </c>
      <c r="N42" s="194" t="s">
        <v>51</v>
      </c>
      <c r="O42" s="194" t="s">
        <v>51</v>
      </c>
      <c r="P42" s="194" t="s">
        <v>51</v>
      </c>
      <c r="Q42" s="194" t="s">
        <v>51</v>
      </c>
      <c r="R42" s="194" t="s">
        <v>51</v>
      </c>
      <c r="S42" s="180" t="s">
        <v>51</v>
      </c>
      <c r="T42" s="193" t="s">
        <v>51</v>
      </c>
      <c r="U42" s="194" t="s">
        <v>51</v>
      </c>
      <c r="V42" s="194" t="s">
        <v>51</v>
      </c>
      <c r="W42" s="194" t="s">
        <v>51</v>
      </c>
      <c r="X42" s="194" t="s">
        <v>51</v>
      </c>
      <c r="Y42" s="194" t="s">
        <v>51</v>
      </c>
      <c r="Z42" s="194" t="s">
        <v>51</v>
      </c>
      <c r="AA42" s="194" t="s">
        <v>51</v>
      </c>
      <c r="AB42" s="194" t="s">
        <v>51</v>
      </c>
      <c r="AC42" s="194" t="s">
        <v>51</v>
      </c>
      <c r="AD42" s="194" t="s">
        <v>51</v>
      </c>
      <c r="AE42" s="218" t="s">
        <v>51</v>
      </c>
      <c r="AF42" s="219" t="s">
        <v>51</v>
      </c>
      <c r="AG42" s="194" t="s">
        <v>51</v>
      </c>
      <c r="AH42" s="218" t="s">
        <v>51</v>
      </c>
      <c r="AI42" s="219" t="s">
        <v>51</v>
      </c>
      <c r="AJ42" s="194" t="s">
        <v>51</v>
      </c>
      <c r="AK42" s="218" t="s">
        <v>51</v>
      </c>
      <c r="AL42" s="219" t="s">
        <v>51</v>
      </c>
      <c r="AM42" s="194" t="s">
        <v>51</v>
      </c>
      <c r="AN42" s="218" t="s">
        <v>51</v>
      </c>
      <c r="AO42" s="219" t="s">
        <v>51</v>
      </c>
      <c r="AP42" s="194" t="s">
        <v>51</v>
      </c>
      <c r="AQ42" s="218" t="s">
        <v>51</v>
      </c>
    </row>
    <row r="43" spans="1:43" ht="18" customHeight="1">
      <c r="A43" s="39"/>
      <c r="B43" s="515" t="s">
        <v>118</v>
      </c>
      <c r="C43" s="492" t="s">
        <v>331</v>
      </c>
      <c r="D43" s="493"/>
      <c r="E43" s="192" t="s">
        <v>57</v>
      </c>
      <c r="F43" s="178" t="s">
        <v>57</v>
      </c>
      <c r="G43" s="178" t="s">
        <v>57</v>
      </c>
      <c r="H43" s="178" t="s">
        <v>57</v>
      </c>
      <c r="I43" s="178" t="s">
        <v>57</v>
      </c>
      <c r="J43" s="204" t="s">
        <v>57</v>
      </c>
      <c r="K43" s="204" t="s">
        <v>57</v>
      </c>
      <c r="L43" s="204" t="s">
        <v>57</v>
      </c>
      <c r="M43" s="204" t="s">
        <v>57</v>
      </c>
      <c r="N43" s="204" t="s">
        <v>57</v>
      </c>
      <c r="O43" s="204" t="s">
        <v>57</v>
      </c>
      <c r="P43" s="204" t="s">
        <v>57</v>
      </c>
      <c r="Q43" s="204" t="s">
        <v>57</v>
      </c>
      <c r="R43" s="204" t="s">
        <v>57</v>
      </c>
      <c r="S43" s="178" t="s">
        <v>57</v>
      </c>
      <c r="T43" s="210" t="s">
        <v>57</v>
      </c>
      <c r="U43" s="204" t="s">
        <v>57</v>
      </c>
      <c r="V43" s="204" t="s">
        <v>57</v>
      </c>
      <c r="W43" s="204" t="s">
        <v>57</v>
      </c>
      <c r="X43" s="204" t="s">
        <v>57</v>
      </c>
      <c r="Y43" s="204" t="s">
        <v>57</v>
      </c>
      <c r="Z43" s="204" t="s">
        <v>57</v>
      </c>
      <c r="AA43" s="204" t="s">
        <v>57</v>
      </c>
      <c r="AB43" s="204" t="s">
        <v>57</v>
      </c>
      <c r="AC43" s="204" t="s">
        <v>57</v>
      </c>
      <c r="AD43" s="204" t="s">
        <v>57</v>
      </c>
      <c r="AE43" s="217" t="s">
        <v>57</v>
      </c>
      <c r="AF43" s="179" t="s">
        <v>57</v>
      </c>
      <c r="AG43" s="178" t="s">
        <v>57</v>
      </c>
      <c r="AH43" s="217" t="s">
        <v>57</v>
      </c>
      <c r="AI43" s="179" t="s">
        <v>57</v>
      </c>
      <c r="AJ43" s="178" t="s">
        <v>57</v>
      </c>
      <c r="AK43" s="217" t="s">
        <v>57</v>
      </c>
      <c r="AL43" s="179" t="s">
        <v>57</v>
      </c>
      <c r="AM43" s="178" t="s">
        <v>57</v>
      </c>
      <c r="AN43" s="217" t="s">
        <v>57</v>
      </c>
      <c r="AO43" s="179" t="s">
        <v>57</v>
      </c>
      <c r="AP43" s="178" t="s">
        <v>57</v>
      </c>
      <c r="AQ43" s="217" t="s">
        <v>57</v>
      </c>
    </row>
    <row r="44" spans="1:43" ht="18" customHeight="1">
      <c r="A44" s="39"/>
      <c r="B44" s="596"/>
      <c r="C44" s="494" t="s">
        <v>332</v>
      </c>
      <c r="D44" s="495"/>
      <c r="E44" s="193">
        <v>4341</v>
      </c>
      <c r="F44" s="194">
        <v>3627</v>
      </c>
      <c r="G44" s="194">
        <v>3567</v>
      </c>
      <c r="H44" s="194">
        <v>4473</v>
      </c>
      <c r="I44" s="194">
        <v>3709</v>
      </c>
      <c r="J44" s="194">
        <v>3644</v>
      </c>
      <c r="K44" s="194">
        <v>4610</v>
      </c>
      <c r="L44" s="194">
        <v>3794</v>
      </c>
      <c r="M44" s="194">
        <v>3724</v>
      </c>
      <c r="N44" s="194">
        <v>4743</v>
      </c>
      <c r="O44" s="194">
        <v>3875</v>
      </c>
      <c r="P44" s="194">
        <v>3800</v>
      </c>
      <c r="Q44" s="194">
        <v>4865</v>
      </c>
      <c r="R44" s="194">
        <v>3948</v>
      </c>
      <c r="S44" s="180">
        <v>3868</v>
      </c>
      <c r="T44" s="193">
        <v>4909</v>
      </c>
      <c r="U44" s="194">
        <v>3977</v>
      </c>
      <c r="V44" s="194">
        <v>3897</v>
      </c>
      <c r="W44" s="194">
        <v>4949</v>
      </c>
      <c r="X44" s="194">
        <v>4000</v>
      </c>
      <c r="Y44" s="194">
        <v>3920</v>
      </c>
      <c r="Z44" s="194">
        <v>7615</v>
      </c>
      <c r="AA44" s="194">
        <v>6987</v>
      </c>
      <c r="AB44" s="194">
        <v>6892</v>
      </c>
      <c r="AC44" s="194">
        <v>7615</v>
      </c>
      <c r="AD44" s="194">
        <v>6987</v>
      </c>
      <c r="AE44" s="218">
        <v>6907</v>
      </c>
      <c r="AF44" s="219">
        <v>10486</v>
      </c>
      <c r="AG44" s="194">
        <v>9598</v>
      </c>
      <c r="AH44" s="218">
        <v>9440</v>
      </c>
      <c r="AI44" s="219">
        <v>10486</v>
      </c>
      <c r="AJ44" s="194">
        <v>9781</v>
      </c>
      <c r="AK44" s="218">
        <v>9611</v>
      </c>
      <c r="AL44" s="219">
        <v>10945</v>
      </c>
      <c r="AM44" s="194">
        <v>9939</v>
      </c>
      <c r="AN44" s="218">
        <v>9757</v>
      </c>
      <c r="AO44" s="219">
        <v>10945</v>
      </c>
      <c r="AP44" s="194">
        <v>10108</v>
      </c>
      <c r="AQ44" s="218">
        <v>9916</v>
      </c>
    </row>
    <row r="45" spans="1:43" ht="18" customHeight="1">
      <c r="A45" s="39"/>
      <c r="B45" s="181" t="s">
        <v>119</v>
      </c>
      <c r="C45" s="132"/>
      <c r="D45" s="182"/>
      <c r="E45" s="541" t="s">
        <v>51</v>
      </c>
      <c r="F45" s="542"/>
      <c r="G45" s="542"/>
      <c r="H45" s="564" t="s">
        <v>51</v>
      </c>
      <c r="I45" s="564"/>
      <c r="J45" s="564"/>
      <c r="K45" s="564" t="s">
        <v>51</v>
      </c>
      <c r="L45" s="564"/>
      <c r="M45" s="564"/>
      <c r="N45" s="564" t="s">
        <v>51</v>
      </c>
      <c r="O45" s="564"/>
      <c r="P45" s="564"/>
      <c r="Q45" s="564" t="s">
        <v>51</v>
      </c>
      <c r="R45" s="564"/>
      <c r="S45" s="594"/>
      <c r="T45" s="563" t="s">
        <v>51</v>
      </c>
      <c r="U45" s="564"/>
      <c r="V45" s="564"/>
      <c r="W45" s="564" t="s">
        <v>51</v>
      </c>
      <c r="X45" s="564"/>
      <c r="Y45" s="564"/>
      <c r="Z45" s="564" t="s">
        <v>51</v>
      </c>
      <c r="AA45" s="564"/>
      <c r="AB45" s="564"/>
      <c r="AC45" s="564" t="s">
        <v>51</v>
      </c>
      <c r="AD45" s="564"/>
      <c r="AE45" s="566"/>
      <c r="AF45" s="565" t="s">
        <v>51</v>
      </c>
      <c r="AG45" s="564"/>
      <c r="AH45" s="566"/>
      <c r="AI45" s="565" t="s">
        <v>51</v>
      </c>
      <c r="AJ45" s="564"/>
      <c r="AK45" s="566"/>
      <c r="AL45" s="565" t="s">
        <v>51</v>
      </c>
      <c r="AM45" s="564"/>
      <c r="AN45" s="566"/>
      <c r="AO45" s="565" t="s">
        <v>51</v>
      </c>
      <c r="AP45" s="564"/>
      <c r="AQ45" s="566"/>
    </row>
    <row r="46" spans="1:43" ht="18" customHeight="1">
      <c r="A46" s="39"/>
      <c r="B46" s="181" t="s">
        <v>120</v>
      </c>
      <c r="C46" s="132"/>
      <c r="D46" s="182"/>
      <c r="E46" s="133" t="s">
        <v>51</v>
      </c>
      <c r="F46" s="134" t="s">
        <v>51</v>
      </c>
      <c r="G46" s="134" t="s">
        <v>51</v>
      </c>
      <c r="H46" s="134" t="s">
        <v>51</v>
      </c>
      <c r="I46" s="134" t="s">
        <v>51</v>
      </c>
      <c r="J46" s="134" t="s">
        <v>51</v>
      </c>
      <c r="K46" s="134" t="s">
        <v>51</v>
      </c>
      <c r="L46" s="134" t="s">
        <v>51</v>
      </c>
      <c r="M46" s="134" t="s">
        <v>51</v>
      </c>
      <c r="N46" s="134" t="s">
        <v>51</v>
      </c>
      <c r="O46" s="134" t="s">
        <v>51</v>
      </c>
      <c r="P46" s="134" t="s">
        <v>51</v>
      </c>
      <c r="Q46" s="134" t="s">
        <v>51</v>
      </c>
      <c r="R46" s="134" t="s">
        <v>51</v>
      </c>
      <c r="S46" s="160" t="s">
        <v>51</v>
      </c>
      <c r="T46" s="133" t="s">
        <v>51</v>
      </c>
      <c r="U46" s="134" t="s">
        <v>51</v>
      </c>
      <c r="V46" s="134" t="s">
        <v>51</v>
      </c>
      <c r="W46" s="134" t="s">
        <v>51</v>
      </c>
      <c r="X46" s="134" t="s">
        <v>51</v>
      </c>
      <c r="Y46" s="134" t="s">
        <v>51</v>
      </c>
      <c r="Z46" s="134" t="s">
        <v>51</v>
      </c>
      <c r="AA46" s="134" t="s">
        <v>51</v>
      </c>
      <c r="AB46" s="134" t="s">
        <v>51</v>
      </c>
      <c r="AC46" s="134" t="s">
        <v>51</v>
      </c>
      <c r="AD46" s="134" t="s">
        <v>51</v>
      </c>
      <c r="AE46" s="164" t="s">
        <v>51</v>
      </c>
      <c r="AF46" s="165" t="s">
        <v>51</v>
      </c>
      <c r="AG46" s="134" t="s">
        <v>51</v>
      </c>
      <c r="AH46" s="164" t="s">
        <v>51</v>
      </c>
      <c r="AI46" s="165" t="s">
        <v>51</v>
      </c>
      <c r="AJ46" s="134" t="s">
        <v>51</v>
      </c>
      <c r="AK46" s="164" t="s">
        <v>51</v>
      </c>
      <c r="AL46" s="165" t="s">
        <v>51</v>
      </c>
      <c r="AM46" s="134" t="s">
        <v>51</v>
      </c>
      <c r="AN46" s="164" t="s">
        <v>51</v>
      </c>
      <c r="AO46" s="165" t="s">
        <v>51</v>
      </c>
      <c r="AP46" s="134" t="s">
        <v>51</v>
      </c>
      <c r="AQ46" s="164" t="s">
        <v>51</v>
      </c>
    </row>
    <row r="47" spans="1:43" ht="33.950000000000003" customHeight="1">
      <c r="A47" s="39"/>
      <c r="B47" s="521" t="s">
        <v>184</v>
      </c>
      <c r="C47" s="492" t="s">
        <v>331</v>
      </c>
      <c r="D47" s="493"/>
      <c r="E47" s="195" t="s">
        <v>57</v>
      </c>
      <c r="F47" s="196" t="s">
        <v>57</v>
      </c>
      <c r="G47" s="196" t="s">
        <v>57</v>
      </c>
      <c r="H47" s="197" t="s">
        <v>57</v>
      </c>
      <c r="I47" s="196" t="s">
        <v>57</v>
      </c>
      <c r="J47" s="196" t="s">
        <v>57</v>
      </c>
      <c r="K47" s="197" t="s">
        <v>57</v>
      </c>
      <c r="L47" s="197" t="s">
        <v>57</v>
      </c>
      <c r="M47" s="197" t="s">
        <v>57</v>
      </c>
      <c r="N47" s="197" t="s">
        <v>57</v>
      </c>
      <c r="O47" s="197" t="s">
        <v>57</v>
      </c>
      <c r="P47" s="197" t="s">
        <v>57</v>
      </c>
      <c r="Q47" s="197" t="s">
        <v>57</v>
      </c>
      <c r="R47" s="197" t="s">
        <v>57</v>
      </c>
      <c r="S47" s="211" t="s">
        <v>57</v>
      </c>
      <c r="T47" s="195" t="s">
        <v>57</v>
      </c>
      <c r="U47" s="197" t="s">
        <v>57</v>
      </c>
      <c r="V47" s="197" t="s">
        <v>57</v>
      </c>
      <c r="W47" s="197" t="s">
        <v>57</v>
      </c>
      <c r="X47" s="197" t="s">
        <v>57</v>
      </c>
      <c r="Y47" s="197" t="s">
        <v>57</v>
      </c>
      <c r="Z47" s="197" t="s">
        <v>57</v>
      </c>
      <c r="AA47" s="197" t="s">
        <v>57</v>
      </c>
      <c r="AB47" s="197" t="s">
        <v>57</v>
      </c>
      <c r="AC47" s="197" t="s">
        <v>57</v>
      </c>
      <c r="AD47" s="197" t="s">
        <v>57</v>
      </c>
      <c r="AE47" s="220" t="s">
        <v>57</v>
      </c>
      <c r="AF47" s="196" t="s">
        <v>57</v>
      </c>
      <c r="AG47" s="196" t="s">
        <v>57</v>
      </c>
      <c r="AH47" s="224" t="s">
        <v>57</v>
      </c>
      <c r="AI47" s="196" t="s">
        <v>57</v>
      </c>
      <c r="AJ47" s="196" t="s">
        <v>57</v>
      </c>
      <c r="AK47" s="224" t="s">
        <v>57</v>
      </c>
      <c r="AL47" s="196" t="s">
        <v>57</v>
      </c>
      <c r="AM47" s="196" t="s">
        <v>57</v>
      </c>
      <c r="AN47" s="224" t="s">
        <v>57</v>
      </c>
      <c r="AO47" s="196" t="s">
        <v>57</v>
      </c>
      <c r="AP47" s="196" t="s">
        <v>57</v>
      </c>
      <c r="AQ47" s="224" t="s">
        <v>57</v>
      </c>
    </row>
    <row r="48" spans="1:43" ht="33.950000000000003" customHeight="1">
      <c r="A48" s="39"/>
      <c r="B48" s="522"/>
      <c r="C48" s="508" t="s">
        <v>332</v>
      </c>
      <c r="D48" s="595"/>
      <c r="E48" s="198" t="s">
        <v>333</v>
      </c>
      <c r="F48" s="199" t="s">
        <v>333</v>
      </c>
      <c r="G48" s="199" t="s">
        <v>333</v>
      </c>
      <c r="H48" s="199" t="s">
        <v>333</v>
      </c>
      <c r="I48" s="199" t="s">
        <v>333</v>
      </c>
      <c r="J48" s="199" t="s">
        <v>333</v>
      </c>
      <c r="K48" s="199" t="s">
        <v>333</v>
      </c>
      <c r="L48" s="199" t="s">
        <v>333</v>
      </c>
      <c r="M48" s="199" t="s">
        <v>333</v>
      </c>
      <c r="N48" s="199" t="s">
        <v>333</v>
      </c>
      <c r="O48" s="199" t="s">
        <v>333</v>
      </c>
      <c r="P48" s="199" t="s">
        <v>333</v>
      </c>
      <c r="Q48" s="199" t="s">
        <v>333</v>
      </c>
      <c r="R48" s="199" t="s">
        <v>333</v>
      </c>
      <c r="S48" s="212" t="s">
        <v>333</v>
      </c>
      <c r="T48" s="198" t="s">
        <v>333</v>
      </c>
      <c r="U48" s="199" t="s">
        <v>333</v>
      </c>
      <c r="V48" s="199" t="s">
        <v>333</v>
      </c>
      <c r="W48" s="199" t="s">
        <v>333</v>
      </c>
      <c r="X48" s="199" t="s">
        <v>333</v>
      </c>
      <c r="Y48" s="199" t="s">
        <v>333</v>
      </c>
      <c r="Z48" s="199" t="s">
        <v>334</v>
      </c>
      <c r="AA48" s="199" t="s">
        <v>334</v>
      </c>
      <c r="AB48" s="199" t="s">
        <v>334</v>
      </c>
      <c r="AC48" s="221" t="s">
        <v>335</v>
      </c>
      <c r="AD48" s="199" t="s">
        <v>333</v>
      </c>
      <c r="AE48" s="222" t="s">
        <v>333</v>
      </c>
      <c r="AF48" s="223" t="s">
        <v>336</v>
      </c>
      <c r="AG48" s="199" t="s">
        <v>336</v>
      </c>
      <c r="AH48" s="222" t="s">
        <v>336</v>
      </c>
      <c r="AI48" s="223" t="s">
        <v>336</v>
      </c>
      <c r="AJ48" s="199" t="s">
        <v>336</v>
      </c>
      <c r="AK48" s="222" t="s">
        <v>336</v>
      </c>
      <c r="AL48" s="223" t="s">
        <v>336</v>
      </c>
      <c r="AM48" s="199" t="s">
        <v>336</v>
      </c>
      <c r="AN48" s="222" t="s">
        <v>336</v>
      </c>
      <c r="AO48" s="223" t="s">
        <v>336</v>
      </c>
      <c r="AP48" s="199" t="s">
        <v>336</v>
      </c>
      <c r="AQ48" s="222" t="s">
        <v>336</v>
      </c>
    </row>
    <row r="49" spans="1:43" ht="33.950000000000003" customHeight="1">
      <c r="A49" s="39"/>
      <c r="B49" s="521" t="s">
        <v>145</v>
      </c>
      <c r="C49" s="506" t="s">
        <v>146</v>
      </c>
      <c r="D49" s="507"/>
      <c r="E49" s="195">
        <v>3036</v>
      </c>
      <c r="F49" s="196">
        <v>3029</v>
      </c>
      <c r="G49" s="196">
        <v>3029</v>
      </c>
      <c r="H49" s="197">
        <v>3509</v>
      </c>
      <c r="I49" s="196">
        <v>3501</v>
      </c>
      <c r="J49" s="196">
        <v>3501</v>
      </c>
      <c r="K49" s="197">
        <v>4300</v>
      </c>
      <c r="L49" s="197">
        <v>4299</v>
      </c>
      <c r="M49" s="197">
        <v>4299</v>
      </c>
      <c r="N49" s="197">
        <v>4938</v>
      </c>
      <c r="O49" s="197">
        <v>4931</v>
      </c>
      <c r="P49" s="197">
        <v>4931</v>
      </c>
      <c r="Q49" s="197">
        <v>5648</v>
      </c>
      <c r="R49" s="197">
        <v>5646</v>
      </c>
      <c r="S49" s="211">
        <v>5646</v>
      </c>
      <c r="T49" s="195">
        <v>6366</v>
      </c>
      <c r="U49" s="197">
        <v>6355</v>
      </c>
      <c r="V49" s="197">
        <v>6355</v>
      </c>
      <c r="W49" s="197">
        <v>7156</v>
      </c>
      <c r="X49" s="197">
        <v>7150</v>
      </c>
      <c r="Y49" s="197">
        <v>7150</v>
      </c>
      <c r="Z49" s="197">
        <v>10266</v>
      </c>
      <c r="AA49" s="197">
        <v>10259</v>
      </c>
      <c r="AB49" s="197">
        <v>10257</v>
      </c>
      <c r="AC49" s="197">
        <v>13389</v>
      </c>
      <c r="AD49" s="197">
        <v>13429</v>
      </c>
      <c r="AE49" s="220">
        <v>13429</v>
      </c>
      <c r="AF49" s="196">
        <v>9141</v>
      </c>
      <c r="AG49" s="196">
        <v>9303</v>
      </c>
      <c r="AH49" s="224">
        <v>9372</v>
      </c>
      <c r="AI49" s="196">
        <v>10001</v>
      </c>
      <c r="AJ49" s="196">
        <v>10193</v>
      </c>
      <c r="AK49" s="224">
        <v>10224</v>
      </c>
      <c r="AL49" s="196">
        <v>11453</v>
      </c>
      <c r="AM49" s="196">
        <v>11680</v>
      </c>
      <c r="AN49" s="224">
        <v>11712</v>
      </c>
      <c r="AO49" s="196">
        <v>12591</v>
      </c>
      <c r="AP49" s="196">
        <v>12821</v>
      </c>
      <c r="AQ49" s="224">
        <v>12884</v>
      </c>
    </row>
    <row r="50" spans="1:43" ht="33.950000000000003" customHeight="1">
      <c r="A50" s="39"/>
      <c r="B50" s="522"/>
      <c r="C50" s="508" t="s">
        <v>151</v>
      </c>
      <c r="D50" s="509"/>
      <c r="E50" s="198">
        <v>18452</v>
      </c>
      <c r="F50" s="199">
        <v>17718</v>
      </c>
      <c r="G50" s="199">
        <v>17656</v>
      </c>
      <c r="H50" s="199">
        <v>19284</v>
      </c>
      <c r="I50" s="199">
        <v>18501</v>
      </c>
      <c r="J50" s="199">
        <v>18434</v>
      </c>
      <c r="K50" s="199">
        <v>20586</v>
      </c>
      <c r="L50" s="199">
        <v>19742</v>
      </c>
      <c r="M50" s="199">
        <v>19670</v>
      </c>
      <c r="N50" s="199">
        <v>20647</v>
      </c>
      <c r="O50" s="199">
        <v>20754</v>
      </c>
      <c r="P50" s="199">
        <v>20676</v>
      </c>
      <c r="Q50" s="199">
        <v>22818</v>
      </c>
      <c r="R50" s="199">
        <v>21872</v>
      </c>
      <c r="S50" s="212">
        <v>21789</v>
      </c>
      <c r="T50" s="198">
        <v>23903</v>
      </c>
      <c r="U50" s="199">
        <v>22948</v>
      </c>
      <c r="V50" s="199">
        <v>22866</v>
      </c>
      <c r="W50" s="199">
        <v>25104</v>
      </c>
      <c r="X50" s="199">
        <v>24127</v>
      </c>
      <c r="Y50" s="199">
        <v>24044</v>
      </c>
      <c r="Z50" s="199">
        <v>30280</v>
      </c>
      <c r="AA50" s="199">
        <v>29636</v>
      </c>
      <c r="AB50" s="199">
        <v>29544</v>
      </c>
      <c r="AC50" s="199">
        <v>34224</v>
      </c>
      <c r="AD50" s="199">
        <v>34269</v>
      </c>
      <c r="AE50" s="222">
        <v>34186</v>
      </c>
      <c r="AF50" s="223">
        <v>29410</v>
      </c>
      <c r="AG50" s="199">
        <v>29337</v>
      </c>
      <c r="AH50" s="222">
        <v>29506</v>
      </c>
      <c r="AI50" s="223">
        <v>30536</v>
      </c>
      <c r="AJ50" s="199">
        <v>30574</v>
      </c>
      <c r="AK50" s="222">
        <v>30569</v>
      </c>
      <c r="AL50" s="223">
        <v>32408</v>
      </c>
      <c r="AM50" s="199">
        <v>32549</v>
      </c>
      <c r="AN50" s="222">
        <v>35531</v>
      </c>
      <c r="AO50" s="223">
        <v>33823</v>
      </c>
      <c r="AP50" s="199">
        <v>33899</v>
      </c>
      <c r="AQ50" s="222">
        <v>34040</v>
      </c>
    </row>
    <row r="51" spans="1:43" ht="33.950000000000003" customHeight="1">
      <c r="A51" s="39"/>
      <c r="B51" s="521" t="s">
        <v>150</v>
      </c>
      <c r="C51" s="506" t="s">
        <v>146</v>
      </c>
      <c r="D51" s="507"/>
      <c r="E51" s="195">
        <v>-4143</v>
      </c>
      <c r="F51" s="196">
        <v>-4137</v>
      </c>
      <c r="G51" s="196">
        <v>-4867.5</v>
      </c>
      <c r="H51" s="197">
        <v>-4516</v>
      </c>
      <c r="I51" s="196">
        <v>-4539</v>
      </c>
      <c r="J51" s="196">
        <v>-4539</v>
      </c>
      <c r="K51" s="197">
        <v>-5218</v>
      </c>
      <c r="L51" s="197">
        <v>-5217</v>
      </c>
      <c r="M51" s="197">
        <v>-5217</v>
      </c>
      <c r="N51" s="197">
        <v>-5760</v>
      </c>
      <c r="O51" s="197">
        <v>-5755</v>
      </c>
      <c r="P51" s="197">
        <v>-5755</v>
      </c>
      <c r="Q51" s="197">
        <v>-6364</v>
      </c>
      <c r="R51" s="197">
        <v>-6362</v>
      </c>
      <c r="S51" s="211">
        <v>-6362</v>
      </c>
      <c r="T51" s="195">
        <v>-6974</v>
      </c>
      <c r="U51" s="197">
        <v>-6964</v>
      </c>
      <c r="V51" s="197">
        <v>-6964</v>
      </c>
      <c r="W51" s="197">
        <v>-7646</v>
      </c>
      <c r="X51" s="197">
        <v>-7641</v>
      </c>
      <c r="Y51" s="197">
        <v>-7641</v>
      </c>
      <c r="Z51" s="197">
        <v>-7971</v>
      </c>
      <c r="AA51" s="197">
        <v>-7965</v>
      </c>
      <c r="AB51" s="197">
        <v>-7964</v>
      </c>
      <c r="AC51" s="197">
        <v>-10666</v>
      </c>
      <c r="AD51" s="197">
        <v>-10660</v>
      </c>
      <c r="AE51" s="220">
        <v>-10660</v>
      </c>
      <c r="AF51" s="196">
        <v>-5846</v>
      </c>
      <c r="AG51" s="196">
        <v>-5708</v>
      </c>
      <c r="AH51" s="224">
        <v>-5657</v>
      </c>
      <c r="AI51" s="196">
        <v>-6742</v>
      </c>
      <c r="AJ51" s="196">
        <v>-6575</v>
      </c>
      <c r="AK51" s="224">
        <v>-6547</v>
      </c>
      <c r="AL51" s="196">
        <v>-8195</v>
      </c>
      <c r="AM51" s="196">
        <v>-8004</v>
      </c>
      <c r="AN51" s="224">
        <v>-7976</v>
      </c>
      <c r="AO51" s="196">
        <v>-9383</v>
      </c>
      <c r="AP51" s="196">
        <v>-9194</v>
      </c>
      <c r="AQ51" s="224">
        <v>-9137</v>
      </c>
    </row>
    <row r="52" spans="1:43" ht="33.950000000000003" customHeight="1">
      <c r="A52" s="39"/>
      <c r="B52" s="522"/>
      <c r="C52" s="508" t="s">
        <v>337</v>
      </c>
      <c r="D52" s="509"/>
      <c r="E52" s="198">
        <v>6291</v>
      </c>
      <c r="F52" s="199">
        <v>5557</v>
      </c>
      <c r="G52" s="199">
        <v>5495</v>
      </c>
      <c r="H52" s="199">
        <v>5992</v>
      </c>
      <c r="I52" s="199">
        <v>5208</v>
      </c>
      <c r="J52" s="199">
        <v>5141</v>
      </c>
      <c r="K52" s="199">
        <v>5407</v>
      </c>
      <c r="L52" s="199">
        <v>4564</v>
      </c>
      <c r="M52" s="199">
        <v>4491</v>
      </c>
      <c r="N52" s="199">
        <v>4959</v>
      </c>
      <c r="O52" s="199">
        <v>4066</v>
      </c>
      <c r="P52" s="199">
        <v>3989</v>
      </c>
      <c r="Q52" s="199">
        <v>4433</v>
      </c>
      <c r="R52" s="199">
        <v>3487</v>
      </c>
      <c r="S52" s="212">
        <v>3404</v>
      </c>
      <c r="T52" s="198">
        <v>3820</v>
      </c>
      <c r="U52" s="199">
        <v>2866</v>
      </c>
      <c r="V52" s="199">
        <v>2783</v>
      </c>
      <c r="W52" s="199">
        <v>3135</v>
      </c>
      <c r="X52" s="199">
        <v>2158</v>
      </c>
      <c r="Y52" s="199">
        <v>2075</v>
      </c>
      <c r="Z52" s="199">
        <v>7265</v>
      </c>
      <c r="AA52" s="199">
        <v>6622</v>
      </c>
      <c r="AB52" s="199">
        <v>6529</v>
      </c>
      <c r="AC52" s="199">
        <v>4353</v>
      </c>
      <c r="AD52" s="199">
        <v>3710</v>
      </c>
      <c r="AE52" s="222">
        <v>3627</v>
      </c>
      <c r="AF52" s="223">
        <v>11303</v>
      </c>
      <c r="AG52" s="199">
        <v>11229</v>
      </c>
      <c r="AH52" s="222">
        <v>11399</v>
      </c>
      <c r="AI52" s="223">
        <v>10166</v>
      </c>
      <c r="AJ52" s="199">
        <v>10203</v>
      </c>
      <c r="AK52" s="222">
        <v>10198</v>
      </c>
      <c r="AL52" s="223">
        <v>8265</v>
      </c>
      <c r="AM52" s="199">
        <v>8406</v>
      </c>
      <c r="AN52" s="222">
        <v>8388</v>
      </c>
      <c r="AO52" s="223">
        <v>6662</v>
      </c>
      <c r="AP52" s="199">
        <v>6738</v>
      </c>
      <c r="AQ52" s="222">
        <v>6879</v>
      </c>
    </row>
    <row r="53" spans="1:43" s="37" customFormat="1" ht="18.95" customHeight="1">
      <c r="A53" s="183"/>
      <c r="B53" s="184"/>
      <c r="C53" s="184"/>
      <c r="D53" s="185"/>
      <c r="E53" s="200"/>
      <c r="F53" s="200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</row>
    <row r="54" spans="1:43" ht="18.95" customHeight="1">
      <c r="A54" s="75"/>
      <c r="B54" s="186" t="s">
        <v>152</v>
      </c>
      <c r="C54" s="187"/>
      <c r="D54" s="187"/>
      <c r="E54" s="201"/>
      <c r="F54" s="201"/>
      <c r="G54" s="201"/>
      <c r="H54" s="75"/>
      <c r="I54" s="75"/>
      <c r="J54" s="75"/>
      <c r="K54" s="75"/>
      <c r="L54" s="75"/>
      <c r="M54" s="75"/>
      <c r="N54" s="75"/>
      <c r="P54" s="205"/>
      <c r="AP54" s="225" t="s">
        <v>6</v>
      </c>
      <c r="AQ54" s="226"/>
    </row>
    <row r="55" spans="1:43" ht="15.95" customHeight="1">
      <c r="A55" s="75"/>
      <c r="B55" s="75"/>
      <c r="C55" s="188" t="s">
        <v>153</v>
      </c>
      <c r="M55" s="75"/>
      <c r="N55" s="75"/>
      <c r="O55" s="75"/>
      <c r="P55" s="75"/>
    </row>
    <row r="56" spans="1:43" ht="15.95" customHeight="1">
      <c r="A56" s="75"/>
      <c r="B56" s="75"/>
      <c r="C56" s="188"/>
      <c r="M56" s="75"/>
      <c r="N56" s="75"/>
      <c r="O56" s="75"/>
      <c r="P56" s="75"/>
      <c r="Q56" s="75"/>
      <c r="R56" s="75"/>
      <c r="S56" s="75"/>
      <c r="T56" s="75"/>
      <c r="U56" s="75"/>
      <c r="W56" s="75"/>
      <c r="X56" s="75"/>
      <c r="Z56" s="75"/>
      <c r="AA56" s="75"/>
      <c r="AC56" s="75"/>
      <c r="AD56" s="75"/>
      <c r="AF56" s="75"/>
      <c r="AG56" s="75"/>
      <c r="AI56" s="75"/>
      <c r="AJ56" s="75"/>
      <c r="AL56" s="75"/>
      <c r="AM56" s="75"/>
      <c r="AO56" s="75"/>
      <c r="AP56" s="75"/>
    </row>
    <row r="57" spans="1:43" s="75" customFormat="1" ht="26.25">
      <c r="A57" s="86"/>
      <c r="B57" s="189"/>
      <c r="C57" s="190"/>
      <c r="D57" s="190"/>
      <c r="E57" s="573" t="s">
        <v>155</v>
      </c>
      <c r="F57" s="574"/>
      <c r="G57" s="202"/>
      <c r="H57" s="573"/>
      <c r="I57" s="574"/>
      <c r="J57" s="202"/>
      <c r="K57" s="573"/>
      <c r="L57" s="574"/>
      <c r="M57" s="190"/>
      <c r="N57" s="206"/>
      <c r="O57" s="207"/>
      <c r="P57" s="190" t="s">
        <v>156</v>
      </c>
      <c r="Q57" s="190"/>
      <c r="R57" s="190"/>
      <c r="S57" s="190"/>
      <c r="T57" s="190"/>
      <c r="U57" s="190"/>
      <c r="W57" s="190"/>
      <c r="X57" s="190"/>
      <c r="Z57" s="190"/>
      <c r="AA57" s="190"/>
      <c r="AC57" s="190"/>
      <c r="AD57" s="190"/>
      <c r="AF57" s="190"/>
      <c r="AG57" s="190"/>
      <c r="AI57" s="190"/>
      <c r="AJ57" s="190"/>
      <c r="AL57" s="190"/>
      <c r="AM57" s="190"/>
      <c r="AO57" s="190"/>
      <c r="AP57" s="190"/>
    </row>
    <row r="58" spans="1:43" s="75" customFormat="1">
      <c r="A58" s="86"/>
    </row>
    <row r="59" spans="1:43" ht="15.95" customHeight="1">
      <c r="A59" s="75"/>
      <c r="B59" s="75"/>
      <c r="C59" s="75"/>
      <c r="D59" s="75"/>
    </row>
    <row r="60" spans="1:43" ht="13.5" customHeight="1">
      <c r="E60" s="203"/>
      <c r="F60" s="203"/>
      <c r="G60" s="86"/>
      <c r="H60" s="203"/>
      <c r="I60" s="203"/>
      <c r="J60" s="86"/>
      <c r="K60" s="203"/>
      <c r="L60" s="203"/>
      <c r="M60" s="86"/>
      <c r="N60" s="86"/>
      <c r="O60" s="86"/>
      <c r="P60" s="86"/>
      <c r="Q60" s="86"/>
      <c r="R60" s="86"/>
      <c r="S60" s="86"/>
      <c r="T60" s="86"/>
      <c r="U60" s="86"/>
      <c r="W60" s="86"/>
      <c r="X60" s="86"/>
      <c r="Z60" s="86"/>
      <c r="AA60" s="86"/>
      <c r="AC60" s="86"/>
      <c r="AD60" s="86"/>
      <c r="AF60" s="86"/>
      <c r="AG60" s="86"/>
      <c r="AI60" s="86"/>
      <c r="AJ60" s="86"/>
      <c r="AL60" s="86"/>
      <c r="AM60" s="86"/>
      <c r="AO60" s="86"/>
      <c r="AP60" s="86"/>
    </row>
    <row r="61" spans="1:43" ht="13.5" customHeight="1">
      <c r="E61" s="203"/>
      <c r="F61" s="203"/>
      <c r="H61" s="203"/>
      <c r="I61" s="203"/>
      <c r="K61" s="203"/>
      <c r="L61" s="203"/>
    </row>
    <row r="63" spans="1:43">
      <c r="K63" s="75"/>
      <c r="L63" s="75"/>
    </row>
  </sheetData>
  <sheetProtection formatCells="0" insertHyperlinks="0" autoFilter="0"/>
  <mergeCells count="327">
    <mergeCell ref="B35:B37"/>
    <mergeCell ref="B41:B42"/>
    <mergeCell ref="B43:B44"/>
    <mergeCell ref="B47:B48"/>
    <mergeCell ref="B49:B50"/>
    <mergeCell ref="B51:B52"/>
    <mergeCell ref="B5:H6"/>
    <mergeCell ref="B7:H8"/>
    <mergeCell ref="B21:D22"/>
    <mergeCell ref="C47:D47"/>
    <mergeCell ref="C48:D48"/>
    <mergeCell ref="C49:D49"/>
    <mergeCell ref="C50:D50"/>
    <mergeCell ref="C51:D51"/>
    <mergeCell ref="C52:D52"/>
    <mergeCell ref="E57:F57"/>
    <mergeCell ref="H57:I57"/>
    <mergeCell ref="K57:L57"/>
    <mergeCell ref="AF39:AH39"/>
    <mergeCell ref="AI39:AK39"/>
    <mergeCell ref="AL39:AN39"/>
    <mergeCell ref="AO39:AQ39"/>
    <mergeCell ref="C41:D41"/>
    <mergeCell ref="C42:D42"/>
    <mergeCell ref="C43:D43"/>
    <mergeCell ref="C44:D44"/>
    <mergeCell ref="E45:G45"/>
    <mergeCell ref="H45:J45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AL45:AN45"/>
    <mergeCell ref="AO45:AQ45"/>
    <mergeCell ref="E39:G39"/>
    <mergeCell ref="H39:J39"/>
    <mergeCell ref="K39:M39"/>
    <mergeCell ref="N39:P39"/>
    <mergeCell ref="Q39:S39"/>
    <mergeCell ref="T39:V39"/>
    <mergeCell ref="W39:Y39"/>
    <mergeCell ref="Z39:AB39"/>
    <mergeCell ref="AC39:AE39"/>
    <mergeCell ref="AF37:AH37"/>
    <mergeCell ref="AI37:AK37"/>
    <mergeCell ref="AL37:AN37"/>
    <mergeCell ref="AO37:AQ37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AL38:AN38"/>
    <mergeCell ref="AO38:AQ38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5:AH35"/>
    <mergeCell ref="AI35:AK35"/>
    <mergeCell ref="AL35:AN35"/>
    <mergeCell ref="AO35:AQ35"/>
    <mergeCell ref="E36:G36"/>
    <mergeCell ref="H36:J36"/>
    <mergeCell ref="K36:M36"/>
    <mergeCell ref="N36:P36"/>
    <mergeCell ref="Q36:S36"/>
    <mergeCell ref="T36:V36"/>
    <mergeCell ref="W36:Y36"/>
    <mergeCell ref="Z36:AB36"/>
    <mergeCell ref="AC36:AE36"/>
    <mergeCell ref="AF36:AH36"/>
    <mergeCell ref="AI36:AK36"/>
    <mergeCell ref="AL36:AN36"/>
    <mergeCell ref="AO36:AQ36"/>
    <mergeCell ref="E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3:AH33"/>
    <mergeCell ref="AI33:AK33"/>
    <mergeCell ref="AL33:AN33"/>
    <mergeCell ref="AO33:AQ33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L34:AN34"/>
    <mergeCell ref="AO34:AQ34"/>
    <mergeCell ref="E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1:AH31"/>
    <mergeCell ref="AI31:AK31"/>
    <mergeCell ref="AL31:AN31"/>
    <mergeCell ref="AO31:AQ31"/>
    <mergeCell ref="E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2:AH32"/>
    <mergeCell ref="AI32:AK32"/>
    <mergeCell ref="AL32:AN32"/>
    <mergeCell ref="AO32:AQ32"/>
    <mergeCell ref="E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9:AH29"/>
    <mergeCell ref="AI29:AK29"/>
    <mergeCell ref="AL29:AN29"/>
    <mergeCell ref="AO29:AQ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AO30:AQ30"/>
    <mergeCell ref="E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7:AH27"/>
    <mergeCell ref="AI27:AK27"/>
    <mergeCell ref="AL27:AN27"/>
    <mergeCell ref="AO27:AQ27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  <mergeCell ref="AO28:AQ28"/>
    <mergeCell ref="E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5:AH25"/>
    <mergeCell ref="AI25:AK25"/>
    <mergeCell ref="AL25:AN25"/>
    <mergeCell ref="AO25:AQ25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N26"/>
    <mergeCell ref="AO26:AQ26"/>
    <mergeCell ref="E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AG23:AH23"/>
    <mergeCell ref="AJ23:AK23"/>
    <mergeCell ref="AM23:AN23"/>
    <mergeCell ref="AP23:AQ23"/>
    <mergeCell ref="E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F23:G23"/>
    <mergeCell ref="I23:J23"/>
    <mergeCell ref="L23:M23"/>
    <mergeCell ref="O23:P23"/>
    <mergeCell ref="R23:S23"/>
    <mergeCell ref="U23:V23"/>
    <mergeCell ref="X23:Y23"/>
    <mergeCell ref="AA23:AB23"/>
    <mergeCell ref="AD23:AE23"/>
    <mergeCell ref="AF19:AH19"/>
    <mergeCell ref="AI19:AK19"/>
    <mergeCell ref="AL19:AN19"/>
    <mergeCell ref="AO19:AQ19"/>
    <mergeCell ref="E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7:AH17"/>
    <mergeCell ref="AI17:AK17"/>
    <mergeCell ref="AL17:AN17"/>
    <mergeCell ref="AO17:AQ17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E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E10:S10"/>
    <mergeCell ref="T10:AE10"/>
    <mergeCell ref="AF10:AQ10"/>
    <mergeCell ref="E11:AQ11"/>
    <mergeCell ref="E12:AQ12"/>
    <mergeCell ref="E13:AQ13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N14"/>
    <mergeCell ref="AO14:AQ14"/>
  </mergeCells>
  <pageMargins left="0.7" right="0.7" top="0.75" bottom="0.75" header="0.3" footer="0.3"/>
  <pageSetup paperSize="8" scale="35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62"/>
  <sheetViews>
    <sheetView tabSelected="1" workbookViewId="0">
      <pane xSplit="4" topLeftCell="E1" activePane="topRight" state="frozen"/>
      <selection pane="topRight" activeCell="K6" sqref="K6:L6"/>
    </sheetView>
  </sheetViews>
  <sheetFormatPr defaultColWidth="9" defaultRowHeight="13.5"/>
  <cols>
    <col min="1" max="1" width="2.125" style="38" customWidth="1"/>
    <col min="2" max="2" width="23.625" style="38" customWidth="1"/>
    <col min="3" max="3" width="10.75" style="38" customWidth="1"/>
    <col min="4" max="4" width="11.125" style="38" customWidth="1"/>
    <col min="5" max="14" width="13.125" style="38" customWidth="1"/>
    <col min="15" max="16382" width="9" style="38"/>
  </cols>
  <sheetData>
    <row r="1" spans="1:20" ht="15" customHeight="1">
      <c r="B1" s="597" t="inlineStr">
        <is>
          <t>项目储备：C100300001</t>
        </is>
      </c>
      <c r="C1" s="597"/>
      <c r="D1" s="597"/>
      <c r="E1" s="58"/>
      <c r="F1" s="58"/>
      <c r="G1" s="59"/>
      <c r="H1" s="59"/>
      <c r="I1" s="59"/>
      <c r="J1" s="59"/>
      <c r="K1" s="58"/>
      <c r="L1" s="58"/>
      <c r="M1" s="58"/>
      <c r="N1" s="58"/>
    </row>
    <row r="2" spans="1:20" ht="18" customHeight="1">
      <c r="A2" s="39"/>
      <c r="B2" s="40" t="s">
        <v>339</v>
      </c>
      <c r="C2" s="41"/>
      <c r="D2" s="42"/>
      <c r="E2" s="598" t="inlineStr">
        <is>
          <t>L1（2台）</t>
        </is>
      </c>
      <c r="F2" s="599"/>
      <c r="G2" s="600"/>
      <c r="H2" s="600"/>
      <c r="I2" s="600"/>
      <c r="J2" s="600"/>
      <c r="K2" s="598"/>
      <c r="L2" s="598"/>
      <c r="M2" s="598"/>
      <c r="N2" s="598"/>
    </row>
    <row r="3" spans="1:20" ht="36.75" customHeight="1">
      <c r="A3" s="39"/>
      <c r="B3" s="43" t="s">
        <v>345</v>
      </c>
      <c r="C3" s="44"/>
      <c r="D3" s="44"/>
      <c r="E3" s="601">
        <v>1600</v>
      </c>
      <c r="F3" s="601"/>
      <c r="G3" s="671"/>
      <c r="H3" s="671"/>
      <c r="I3" s="671"/>
      <c r="J3" s="671"/>
      <c r="K3" s="604"/>
      <c r="L3" s="605"/>
      <c r="M3" s="604"/>
      <c r="N3" s="605"/>
      <c r="O3" s="60"/>
      <c r="P3" s="61" t="s">
        <v>346</v>
      </c>
    </row>
    <row r="4" spans="1:20" ht="36" customHeight="1">
      <c r="A4" s="39"/>
      <c r="B4" s="43" t="s">
        <v>347</v>
      </c>
      <c r="C4" s="44"/>
      <c r="D4" s="44"/>
      <c r="E4" s="606">
        <v>2.5</v>
      </c>
      <c r="F4" s="606"/>
      <c r="G4" s="672"/>
      <c r="H4" s="672"/>
      <c r="I4" s="672"/>
      <c r="J4" s="672"/>
      <c r="K4" s="606"/>
      <c r="L4" s="606"/>
      <c r="M4" s="606"/>
      <c r="N4" s="606"/>
      <c r="O4" s="62"/>
      <c r="P4" s="61" t="s">
        <v>348</v>
      </c>
    </row>
    <row r="5" spans="1:20" ht="18" customHeight="1">
      <c r="A5" s="39"/>
      <c r="B5" s="43" t="s">
        <v>349</v>
      </c>
      <c r="C5" s="44"/>
      <c r="D5" s="44"/>
      <c r="E5" s="670">
        <v>27.9</v>
      </c>
      <c r="F5" s="670"/>
      <c r="G5" s="670"/>
      <c r="H5" s="670"/>
      <c r="I5" s="670"/>
      <c r="J5" s="670"/>
      <c r="K5" s="670"/>
      <c r="L5" s="670"/>
      <c r="M5" s="670"/>
      <c r="N5" s="670"/>
      <c r="O5" s="63"/>
      <c r="P5" s="61" t="s">
        <v>350</v>
      </c>
      <c r="Q5" s="61"/>
    </row>
    <row r="6" spans="1:20" ht="18" customHeight="1">
      <c r="A6" s="39"/>
      <c r="B6" s="43" t="s">
        <v>351</v>
      </c>
      <c r="C6" s="44"/>
      <c r="D6" s="44"/>
      <c r="E6" s="669" t="inlineStr">
        <is>
          <t>25层/8站</t>
        </is>
      </c>
      <c r="F6" s="670"/>
      <c r="G6" s="669"/>
      <c r="H6" s="670"/>
      <c r="I6" s="605"/>
      <c r="J6" s="601"/>
      <c r="K6" s="669"/>
      <c r="L6" s="670"/>
      <c r="M6" s="669"/>
      <c r="N6" s="670"/>
    </row>
    <row r="7" spans="1:20" ht="59.25" customHeight="1">
      <c r="A7" s="39"/>
      <c r="B7" s="43" t="s">
        <v>354</v>
      </c>
      <c r="C7" s="44"/>
      <c r="D7" s="44"/>
      <c r="E7" s="607" t="inlineStr">
        <is>
          <t>AA 1600 x BB 1500 x HC 2700</t>
        </is>
      </c>
      <c r="F7" s="608"/>
      <c r="G7" s="673"/>
      <c r="H7" s="674"/>
      <c r="I7" s="673"/>
      <c r="J7" s="674"/>
      <c r="K7" s="607"/>
      <c r="L7" s="608"/>
      <c r="M7" s="607"/>
      <c r="N7" s="608"/>
      <c r="T7" s="65"/>
    </row>
    <row r="8" spans="1:20" ht="31.5" customHeight="1">
      <c r="A8" s="39"/>
      <c r="B8" s="43" t="s">
        <v>356</v>
      </c>
      <c r="C8" s="44"/>
      <c r="D8" s="44"/>
      <c r="E8" s="609" t="inlineStr">
        <is>
          <t>JJ 1100 x HH 2400</t>
        </is>
      </c>
      <c r="F8" s="610"/>
      <c r="G8" s="609"/>
      <c r="H8" s="610"/>
      <c r="I8" s="609"/>
      <c r="J8" s="610"/>
      <c r="K8" s="609"/>
      <c r="L8" s="610"/>
      <c r="M8" s="609"/>
      <c r="N8" s="610"/>
      <c r="O8" s="64"/>
      <c r="P8" s="64"/>
      <c r="Q8" s="64"/>
      <c r="T8" s="66"/>
    </row>
    <row r="9" spans="1:20" ht="59.25" customHeight="1">
      <c r="A9" s="39"/>
      <c r="B9" s="43" t="s">
        <v>359</v>
      </c>
      <c r="C9" s="44"/>
      <c r="D9" s="44"/>
      <c r="E9" s="611" t="inlineStr">
        <is>
          <t>1D1G / Central opening</t>
        </is>
      </c>
      <c r="F9" s="611"/>
      <c r="G9" s="611"/>
      <c r="H9" s="611"/>
      <c r="I9" s="611"/>
      <c r="J9" s="611"/>
      <c r="K9" s="612"/>
      <c r="L9" s="611"/>
      <c r="M9" s="612"/>
      <c r="N9" s="611"/>
    </row>
    <row r="10" spans="1:20" ht="18" customHeight="1">
      <c r="A10" s="39"/>
      <c r="B10" s="43" t="s">
        <v>27</v>
      </c>
      <c r="C10" s="44"/>
      <c r="D10" s="44"/>
      <c r="E10" s="601"/>
      <c r="F10" s="601"/>
      <c r="G10" s="601"/>
      <c r="H10" s="601"/>
      <c r="I10" s="601"/>
      <c r="J10" s="601"/>
      <c r="K10" s="601"/>
      <c r="L10" s="601"/>
      <c r="M10" s="601"/>
      <c r="N10" s="601"/>
    </row>
    <row r="11" spans="1:20" ht="39" customHeight="1">
      <c r="A11" s="45"/>
      <c r="B11" s="43" t="s">
        <v>31</v>
      </c>
      <c r="C11" s="44"/>
      <c r="D11" s="44"/>
      <c r="E11" s="613"/>
      <c r="F11" s="613"/>
      <c r="G11" s="603"/>
      <c r="H11" s="603"/>
      <c r="I11" s="603"/>
      <c r="J11" s="603"/>
      <c r="K11" s="604"/>
      <c r="L11" s="604"/>
      <c r="M11" s="604"/>
      <c r="N11" s="604"/>
    </row>
    <row r="12" spans="1:20" ht="33" customHeight="1">
      <c r="A12" s="45"/>
      <c r="B12" s="43" t="s">
        <v>363</v>
      </c>
      <c r="C12" s="44"/>
      <c r="D12" s="44"/>
      <c r="E12" s="614"/>
      <c r="F12" s="614"/>
      <c r="G12" s="614"/>
      <c r="H12" s="614"/>
      <c r="I12" s="615"/>
      <c r="J12" s="615"/>
      <c r="K12" s="615"/>
      <c r="L12" s="615"/>
      <c r="M12" s="615"/>
      <c r="N12" s="615"/>
    </row>
    <row r="13" spans="1:20" ht="32.25" customHeight="1">
      <c r="A13" s="46"/>
      <c r="B13" s="43" t="s">
        <v>365</v>
      </c>
      <c r="C13" s="47"/>
      <c r="D13" s="44"/>
      <c r="E13" s="616"/>
      <c r="F13" s="617"/>
      <c r="G13" s="618"/>
      <c r="H13" s="619"/>
      <c r="I13" s="618"/>
      <c r="J13" s="619"/>
      <c r="K13" s="620"/>
      <c r="L13" s="621"/>
      <c r="M13" s="620"/>
      <c r="N13" s="621"/>
    </row>
    <row r="14" spans="1:20" ht="36" customHeight="1">
      <c r="A14" s="46"/>
      <c r="B14" s="43" t="s">
        <v>366</v>
      </c>
      <c r="C14" s="47"/>
      <c r="D14" s="44"/>
      <c r="E14" s="616"/>
      <c r="F14" s="617"/>
      <c r="G14" s="618"/>
      <c r="H14" s="619"/>
      <c r="I14" s="618"/>
      <c r="J14" s="619"/>
      <c r="K14" s="620"/>
      <c r="L14" s="621"/>
      <c r="M14" s="620"/>
      <c r="N14" s="621"/>
    </row>
    <row r="15" spans="1:20" ht="42.75" customHeight="1">
      <c r="A15" s="45"/>
      <c r="B15" s="43" t="s">
        <v>367</v>
      </c>
      <c r="C15" s="44"/>
      <c r="D15" s="44"/>
      <c r="E15" s="604"/>
      <c r="F15" s="601"/>
      <c r="G15" s="603"/>
      <c r="H15" s="602"/>
      <c r="I15" s="603"/>
      <c r="J15" s="602"/>
      <c r="K15" s="604"/>
      <c r="L15" s="601"/>
      <c r="M15" s="604"/>
      <c r="N15" s="601"/>
    </row>
    <row r="16" spans="1:20" ht="41.25" customHeight="1">
      <c r="A16" s="45"/>
      <c r="B16" s="43" t="s">
        <v>371</v>
      </c>
      <c r="C16" s="44"/>
      <c r="D16" s="44"/>
      <c r="E16" s="604"/>
      <c r="F16" s="601"/>
      <c r="G16" s="603"/>
      <c r="H16" s="602"/>
      <c r="I16" s="603"/>
      <c r="J16" s="602"/>
      <c r="K16" s="604"/>
      <c r="L16" s="601"/>
      <c r="M16" s="604"/>
      <c r="N16" s="601"/>
    </row>
    <row r="17" spans="1:20" ht="29.25" customHeight="1">
      <c r="A17" s="39"/>
      <c r="B17" s="622" t="s">
        <v>375</v>
      </c>
      <c r="C17" s="623"/>
      <c r="D17" s="623"/>
      <c r="E17" s="601"/>
      <c r="F17" s="601"/>
      <c r="G17" s="602"/>
      <c r="H17" s="602"/>
      <c r="I17" s="602"/>
      <c r="J17" s="602"/>
      <c r="K17" s="605"/>
      <c r="L17" s="601"/>
      <c r="M17" s="605"/>
      <c r="N17" s="601"/>
    </row>
    <row r="18" spans="1:20" ht="30.75" customHeight="1">
      <c r="A18" s="39"/>
      <c r="B18" s="624" t="s">
        <v>378</v>
      </c>
      <c r="C18" s="625"/>
      <c r="D18" s="626"/>
      <c r="E18" s="614"/>
      <c r="F18" s="610"/>
      <c r="G18" s="627"/>
      <c r="H18" s="628"/>
      <c r="I18" s="627"/>
      <c r="J18" s="628"/>
      <c r="K18" s="614"/>
      <c r="L18" s="610"/>
      <c r="M18" s="614"/>
      <c r="N18" s="610"/>
    </row>
    <row r="19" spans="1:20" ht="43.5" customHeight="1">
      <c r="A19" s="39"/>
      <c r="B19" s="48" t="s">
        <v>381</v>
      </c>
      <c r="C19" s="49"/>
      <c r="D19" s="49"/>
      <c r="E19" s="604"/>
      <c r="F19" s="601"/>
      <c r="G19" s="603"/>
      <c r="H19" s="602"/>
      <c r="I19" s="603"/>
      <c r="J19" s="602"/>
      <c r="K19" s="603"/>
      <c r="L19" s="602"/>
      <c r="M19" s="603"/>
      <c r="N19" s="602"/>
    </row>
    <row r="20" spans="1:20" ht="48" customHeight="1">
      <c r="A20" s="39"/>
      <c r="B20" s="43" t="s">
        <v>384</v>
      </c>
      <c r="C20" s="44"/>
      <c r="D20" s="44"/>
      <c r="E20" s="613"/>
      <c r="F20" s="601"/>
      <c r="G20" s="613"/>
      <c r="H20" s="601"/>
      <c r="I20" s="613"/>
      <c r="J20" s="601"/>
      <c r="K20" s="613"/>
      <c r="L20" s="601"/>
      <c r="M20" s="613"/>
      <c r="N20" s="601"/>
    </row>
    <row r="21" spans="1:20" ht="29.25" customHeight="1">
      <c r="A21" s="39"/>
      <c r="B21" s="43" t="s">
        <v>386</v>
      </c>
      <c r="C21" s="44"/>
      <c r="D21" s="44"/>
      <c r="E21" s="614"/>
      <c r="F21" s="614"/>
      <c r="G21" s="627"/>
      <c r="H21" s="627"/>
      <c r="I21" s="627"/>
      <c r="J21" s="627"/>
      <c r="K21" s="614"/>
      <c r="L21" s="614"/>
      <c r="M21" s="614"/>
      <c r="N21" s="614"/>
    </row>
    <row r="22" spans="1:20" ht="53.25" customHeight="1">
      <c r="A22" s="39"/>
      <c r="B22" s="43" t="s">
        <v>389</v>
      </c>
      <c r="C22" s="44"/>
      <c r="D22" s="44"/>
      <c r="E22" s="614"/>
      <c r="F22" s="614"/>
      <c r="G22" s="627"/>
      <c r="H22" s="627"/>
      <c r="I22" s="627"/>
      <c r="J22" s="627"/>
      <c r="K22" s="614"/>
      <c r="L22" s="614"/>
      <c r="M22" s="614"/>
      <c r="N22" s="614"/>
    </row>
    <row r="23" spans="1:20" ht="36" customHeight="1">
      <c r="A23" s="39"/>
      <c r="B23" s="50" t="s">
        <v>58</v>
      </c>
      <c r="C23" s="455" t="s">
        <v>59</v>
      </c>
      <c r="D23" s="51" t="s">
        <v>60</v>
      </c>
      <c r="E23" s="615"/>
      <c r="F23" s="614"/>
      <c r="G23" s="627"/>
      <c r="H23" s="627"/>
      <c r="I23" s="627"/>
      <c r="J23" s="627"/>
      <c r="K23" s="615"/>
      <c r="L23" s="614"/>
      <c r="M23" s="615"/>
      <c r="N23" s="614"/>
    </row>
    <row r="24" spans="1:20" ht="18" customHeight="1">
      <c r="A24" s="39"/>
      <c r="B24" s="52" t="s">
        <v>63</v>
      </c>
      <c r="C24" s="455" t="s">
        <v>64</v>
      </c>
      <c r="D24" s="51" t="s">
        <v>65</v>
      </c>
      <c r="E24" s="615"/>
      <c r="F24" s="614"/>
      <c r="G24" s="627"/>
      <c r="H24" s="627"/>
      <c r="I24" s="627"/>
      <c r="J24" s="627"/>
      <c r="K24" s="615"/>
      <c r="L24" s="614"/>
      <c r="M24" s="615"/>
      <c r="N24" s="614"/>
    </row>
    <row r="25" spans="1:20" ht="33.75" customHeight="1">
      <c r="A25" s="39"/>
      <c r="B25" s="53" t="s">
        <v>395</v>
      </c>
      <c r="C25" s="455" t="s">
        <v>59</v>
      </c>
      <c r="D25" s="51" t="s">
        <v>60</v>
      </c>
      <c r="E25" s="615"/>
      <c r="F25" s="614"/>
      <c r="G25" s="627"/>
      <c r="H25" s="627"/>
      <c r="I25" s="627"/>
      <c r="J25" s="627"/>
      <c r="K25" s="614"/>
      <c r="L25" s="614"/>
      <c r="M25" s="614"/>
      <c r="N25" s="614"/>
      <c r="T25" s="67"/>
    </row>
    <row r="26" spans="1:20" ht="18" customHeight="1">
      <c r="A26" s="39"/>
      <c r="B26" s="54" t="s">
        <v>74</v>
      </c>
      <c r="C26" s="455" t="s">
        <v>64</v>
      </c>
      <c r="D26" s="51" t="s">
        <v>65</v>
      </c>
      <c r="E26" s="615"/>
      <c r="F26" s="614"/>
      <c r="G26" s="629"/>
      <c r="H26" s="630"/>
      <c r="I26" s="629"/>
      <c r="J26" s="630"/>
      <c r="K26" s="631"/>
      <c r="L26" s="632"/>
      <c r="M26" s="631"/>
      <c r="N26" s="632"/>
    </row>
    <row r="27" spans="1:20" ht="32.1" customHeight="1">
      <c r="A27" s="39"/>
      <c r="B27" s="50" t="s">
        <v>77</v>
      </c>
      <c r="C27" s="455" t="s">
        <v>59</v>
      </c>
      <c r="D27" s="51" t="s">
        <v>60</v>
      </c>
      <c r="E27" s="620"/>
      <c r="F27" s="633"/>
      <c r="G27" s="618"/>
      <c r="H27" s="634"/>
      <c r="I27" s="618"/>
      <c r="J27" s="634"/>
      <c r="K27" s="620"/>
      <c r="L27" s="633"/>
      <c r="M27" s="620"/>
      <c r="N27" s="633"/>
    </row>
    <row r="28" spans="1:20" ht="33" customHeight="1">
      <c r="A28" s="39"/>
      <c r="B28" s="55" t="s">
        <v>82</v>
      </c>
      <c r="C28" s="455" t="s">
        <v>64</v>
      </c>
      <c r="D28" s="51" t="s">
        <v>65</v>
      </c>
      <c r="E28" s="620"/>
      <c r="F28" s="633"/>
      <c r="G28" s="618"/>
      <c r="H28" s="634"/>
      <c r="I28" s="618"/>
      <c r="J28" s="634"/>
      <c r="K28" s="620"/>
      <c r="L28" s="633"/>
      <c r="M28" s="620"/>
      <c r="N28" s="633"/>
    </row>
    <row r="29" spans="1:20" ht="32.25" customHeight="1">
      <c r="A29" s="45"/>
      <c r="B29" s="50" t="s">
        <v>403</v>
      </c>
      <c r="C29" s="56"/>
      <c r="D29" s="51"/>
      <c r="E29" s="604"/>
      <c r="F29" s="613"/>
      <c r="G29" s="627"/>
      <c r="H29" s="627"/>
      <c r="I29" s="627"/>
      <c r="J29" s="627"/>
      <c r="K29" s="615"/>
      <c r="L29" s="614"/>
      <c r="M29" s="615"/>
      <c r="N29" s="614"/>
    </row>
    <row r="30" spans="1:20" ht="66.75" customHeight="1">
      <c r="A30" s="45"/>
      <c r="B30" s="57" t="s">
        <v>92</v>
      </c>
      <c r="C30" s="455" t="s">
        <v>59</v>
      </c>
      <c r="D30" s="51" t="s">
        <v>60</v>
      </c>
      <c r="E30" s="604"/>
      <c r="F30" s="601"/>
      <c r="G30" s="603"/>
      <c r="H30" s="602"/>
      <c r="I30" s="604"/>
      <c r="J30" s="605"/>
      <c r="K30" s="614"/>
      <c r="L30" s="610"/>
      <c r="M30" s="614"/>
      <c r="N30" s="610"/>
    </row>
    <row r="31" spans="1:20" ht="41.25" customHeight="1">
      <c r="A31" s="46"/>
      <c r="B31" s="54" t="s">
        <v>95</v>
      </c>
      <c r="C31" s="455" t="s">
        <v>64</v>
      </c>
      <c r="D31" s="51" t="s">
        <v>65</v>
      </c>
      <c r="E31" s="604"/>
      <c r="F31" s="601"/>
      <c r="G31" s="603"/>
      <c r="H31" s="602"/>
      <c r="I31" s="604"/>
      <c r="J31" s="605"/>
      <c r="K31" s="614"/>
      <c r="L31" s="610"/>
      <c r="M31" s="614"/>
      <c r="N31" s="610"/>
    </row>
    <row r="32" spans="1:20" ht="50.25" customHeight="1">
      <c r="A32" s="45"/>
      <c r="B32" s="659" t="s">
        <v>410</v>
      </c>
      <c r="C32" s="455" t="s">
        <v>59</v>
      </c>
      <c r="D32" s="51" t="s">
        <v>60</v>
      </c>
      <c r="E32" s="604"/>
      <c r="F32" s="613"/>
      <c r="G32" s="603"/>
      <c r="H32" s="603"/>
      <c r="I32" s="603"/>
      <c r="J32" s="603"/>
      <c r="K32" s="615"/>
      <c r="L32" s="614"/>
      <c r="M32" s="615"/>
      <c r="N32" s="614"/>
    </row>
    <row r="33" spans="1:20" ht="45" customHeight="1">
      <c r="A33" s="45"/>
      <c r="B33" s="660"/>
      <c r="C33" s="456" t="s">
        <v>64</v>
      </c>
      <c r="D33" s="68" t="s">
        <v>414</v>
      </c>
      <c r="E33" s="604"/>
      <c r="F33" s="613"/>
      <c r="G33" s="627"/>
      <c r="H33" s="627"/>
      <c r="I33" s="627"/>
      <c r="J33" s="627"/>
      <c r="K33" s="615"/>
      <c r="L33" s="614"/>
      <c r="M33" s="615"/>
      <c r="N33" s="614"/>
    </row>
    <row r="34" spans="1:20" ht="18" hidden="1" customHeight="1">
      <c r="A34" s="39"/>
      <c r="B34" s="43" t="s">
        <v>120</v>
      </c>
      <c r="C34" s="56"/>
      <c r="D34" s="69"/>
      <c r="E34" s="78">
        <v>1500</v>
      </c>
      <c r="F34" s="78"/>
      <c r="G34" s="78"/>
      <c r="H34" s="78"/>
      <c r="I34" s="78"/>
      <c r="J34" s="78"/>
      <c r="K34" s="78"/>
      <c r="L34" s="78"/>
      <c r="M34" s="78"/>
      <c r="N34" s="78"/>
    </row>
    <row r="35" spans="1:20" ht="33.950000000000003" hidden="1" customHeight="1">
      <c r="A35" s="39"/>
      <c r="B35" s="661" t="s">
        <v>184</v>
      </c>
      <c r="C35" s="635" t="s">
        <v>331</v>
      </c>
      <c r="D35" s="636"/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 spans="1:20" ht="33.950000000000003" hidden="1" customHeight="1">
      <c r="A36" s="39"/>
      <c r="B36" s="662"/>
      <c r="C36" s="637" t="s">
        <v>417</v>
      </c>
      <c r="D36" s="638"/>
      <c r="E36" s="80"/>
      <c r="F36" s="80"/>
      <c r="G36" s="80"/>
      <c r="H36" s="80"/>
      <c r="I36" s="80"/>
      <c r="J36" s="80"/>
      <c r="K36" s="80"/>
      <c r="L36" s="80"/>
      <c r="M36" s="80"/>
      <c r="N36" s="80"/>
    </row>
    <row r="37" spans="1:20" ht="33.950000000000003" hidden="1" customHeight="1">
      <c r="A37" s="39"/>
      <c r="B37" s="70" t="s">
        <v>418</v>
      </c>
      <c r="C37" s="635" t="s">
        <v>146</v>
      </c>
      <c r="D37" s="639"/>
      <c r="E37" s="79"/>
      <c r="F37" s="79"/>
      <c r="G37" s="79"/>
      <c r="H37" s="79"/>
      <c r="I37" s="79"/>
      <c r="J37" s="79"/>
      <c r="K37" s="79"/>
      <c r="L37" s="79"/>
      <c r="M37" s="79"/>
      <c r="N37" s="79"/>
    </row>
    <row r="38" spans="1:20" ht="33.950000000000003" hidden="1" customHeight="1">
      <c r="A38" s="39"/>
      <c r="B38" s="71"/>
      <c r="C38" s="640" t="s">
        <v>419</v>
      </c>
      <c r="D38" s="641"/>
      <c r="E38" s="81"/>
      <c r="F38" s="81"/>
      <c r="G38" s="81"/>
      <c r="H38" s="81"/>
      <c r="I38" s="81"/>
      <c r="J38" s="81"/>
      <c r="K38" s="81"/>
      <c r="L38" s="81"/>
      <c r="M38" s="81"/>
      <c r="N38" s="81"/>
    </row>
    <row r="39" spans="1:20" ht="33.950000000000003" hidden="1" customHeight="1">
      <c r="A39" s="39"/>
      <c r="B39" s="72"/>
      <c r="C39" s="642" t="s">
        <v>420</v>
      </c>
      <c r="D39" s="643"/>
      <c r="E39" s="82"/>
      <c r="F39" s="82"/>
      <c r="G39" s="82"/>
      <c r="H39" s="82"/>
      <c r="I39" s="82"/>
      <c r="J39" s="82"/>
      <c r="K39" s="82"/>
      <c r="L39" s="82"/>
      <c r="M39" s="82"/>
      <c r="N39" s="82"/>
    </row>
    <row r="40" spans="1:20" ht="33.950000000000003" hidden="1" customHeight="1">
      <c r="A40" s="39"/>
      <c r="B40" s="661" t="s">
        <v>421</v>
      </c>
      <c r="C40" s="644" t="s">
        <v>146</v>
      </c>
      <c r="D40" s="645"/>
      <c r="E40" s="83"/>
      <c r="F40" s="83"/>
      <c r="G40" s="83"/>
      <c r="H40" s="83"/>
      <c r="I40" s="83"/>
      <c r="J40" s="83"/>
      <c r="K40" s="83"/>
      <c r="L40" s="83"/>
      <c r="M40" s="83"/>
      <c r="N40" s="83"/>
    </row>
    <row r="41" spans="1:20" ht="33.950000000000003" hidden="1" customHeight="1">
      <c r="A41" s="39"/>
      <c r="B41" s="663"/>
      <c r="C41" s="646" t="s">
        <v>337</v>
      </c>
      <c r="D41" s="647"/>
      <c r="E41" s="84"/>
      <c r="F41" s="84"/>
      <c r="G41" s="84"/>
      <c r="H41" s="84"/>
      <c r="I41" s="84"/>
      <c r="J41" s="84"/>
      <c r="K41" s="84"/>
      <c r="L41" s="84"/>
      <c r="M41" s="84"/>
      <c r="N41" s="84"/>
    </row>
    <row r="42" spans="1:20" ht="33.950000000000003" customHeight="1">
      <c r="A42" s="39"/>
      <c r="B42" s="664" t="s">
        <v>422</v>
      </c>
      <c r="C42" s="73" t="s">
        <v>248</v>
      </c>
      <c r="D42" s="68" t="s">
        <v>423</v>
      </c>
      <c r="E42" s="648"/>
      <c r="F42" s="648"/>
      <c r="G42" s="648"/>
      <c r="H42" s="648"/>
      <c r="I42" s="648"/>
      <c r="J42" s="648"/>
      <c r="K42" s="648"/>
      <c r="L42" s="648"/>
      <c r="M42" s="648"/>
      <c r="N42" s="648"/>
    </row>
    <row r="43" spans="1:20" ht="33.950000000000003" customHeight="1">
      <c r="A43" s="39"/>
      <c r="B43" s="664"/>
      <c r="C43" s="73" t="s">
        <v>424</v>
      </c>
      <c r="D43" s="68" t="s">
        <v>425</v>
      </c>
      <c r="E43" s="648"/>
      <c r="F43" s="648"/>
      <c r="G43" s="648"/>
      <c r="H43" s="648"/>
      <c r="I43" s="648"/>
      <c r="J43" s="648"/>
      <c r="K43" s="648"/>
      <c r="L43" s="648"/>
      <c r="M43" s="648"/>
      <c r="N43" s="648"/>
    </row>
    <row r="44" spans="1:20" ht="33.950000000000003" customHeight="1">
      <c r="A44" s="39"/>
      <c r="B44" s="664"/>
      <c r="C44" s="73" t="s">
        <v>426</v>
      </c>
      <c r="D44" s="68" t="s">
        <v>425</v>
      </c>
      <c r="E44" s="614"/>
      <c r="F44" s="614"/>
      <c r="G44" s="614"/>
      <c r="H44" s="614"/>
      <c r="I44" s="614"/>
      <c r="J44" s="614"/>
      <c r="K44" s="614"/>
      <c r="L44" s="614"/>
      <c r="M44" s="614"/>
      <c r="N44" s="614"/>
    </row>
    <row r="45" spans="1:20" ht="33.950000000000003" customHeight="1">
      <c r="A45" s="39"/>
      <c r="B45" s="664"/>
      <c r="C45" s="73" t="s">
        <v>236</v>
      </c>
      <c r="D45" s="68" t="s">
        <v>427</v>
      </c>
      <c r="E45" s="614"/>
      <c r="F45" s="614"/>
      <c r="G45" s="614"/>
      <c r="H45" s="614"/>
      <c r="I45" s="614"/>
      <c r="J45" s="614"/>
      <c r="K45" s="614"/>
      <c r="L45" s="614"/>
      <c r="M45" s="614"/>
      <c r="N45" s="614"/>
    </row>
    <row r="46" spans="1:20" ht="33.950000000000003" customHeight="1">
      <c r="A46" s="39"/>
      <c r="B46" s="664"/>
      <c r="C46" s="73" t="s">
        <v>428</v>
      </c>
      <c r="D46" s="68" t="s">
        <v>429</v>
      </c>
      <c r="E46" s="614"/>
      <c r="F46" s="614"/>
      <c r="G46" s="614"/>
      <c r="H46" s="614"/>
      <c r="I46" s="614"/>
      <c r="J46" s="614"/>
      <c r="K46" s="614"/>
      <c r="L46" s="614"/>
      <c r="M46" s="614"/>
      <c r="N46" s="614"/>
    </row>
    <row r="47" spans="1:20" ht="33.950000000000003" customHeight="1">
      <c r="A47" s="39"/>
      <c r="B47" s="664"/>
      <c r="C47" s="73" t="s">
        <v>430</v>
      </c>
      <c r="D47" s="68" t="s">
        <v>423</v>
      </c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R47" s="37"/>
      <c r="S47" s="37"/>
      <c r="T47" s="37"/>
    </row>
    <row r="48" spans="1:20" ht="33.950000000000003" customHeight="1">
      <c r="A48" s="39"/>
      <c r="B48" s="664"/>
      <c r="C48" s="73" t="s">
        <v>431</v>
      </c>
      <c r="D48" s="68" t="s">
        <v>429</v>
      </c>
      <c r="E48" s="614"/>
      <c r="F48" s="614"/>
      <c r="G48" s="614"/>
      <c r="H48" s="614"/>
      <c r="I48" s="614"/>
      <c r="J48" s="614"/>
      <c r="K48" s="614"/>
      <c r="L48" s="614"/>
      <c r="M48" s="614"/>
      <c r="N48" s="614"/>
    </row>
    <row r="49" spans="1:34" customFormat="1" ht="33.950000000000003" customHeight="1">
      <c r="A49" s="39"/>
      <c r="B49" s="665" t="s">
        <v>432</v>
      </c>
      <c r="C49" s="650" t="s">
        <v>433</v>
      </c>
      <c r="D49" s="651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34" customFormat="1" ht="33.950000000000003" customHeight="1">
      <c r="A50" s="39"/>
      <c r="B50" s="666"/>
      <c r="C50" s="650" t="s">
        <v>434</v>
      </c>
      <c r="D50" s="651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34" customFormat="1" ht="33.950000000000003" customHeight="1">
      <c r="A51" s="39"/>
      <c r="B51" s="666"/>
      <c r="C51" s="650" t="s">
        <v>435</v>
      </c>
      <c r="D51" s="651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34" customFormat="1" ht="33.950000000000003" customHeight="1">
      <c r="A52" s="39"/>
      <c r="B52" s="665" t="s">
        <v>436</v>
      </c>
      <c r="C52" s="650" t="s">
        <v>433</v>
      </c>
      <c r="D52" s="651"/>
      <c r="E52" s="627"/>
      <c r="F52" s="627"/>
      <c r="G52" s="627"/>
      <c r="H52" s="627"/>
      <c r="I52" s="627"/>
      <c r="J52" s="627"/>
      <c r="K52" s="627"/>
      <c r="L52" s="627"/>
      <c r="M52" s="627"/>
      <c r="N52" s="627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</row>
    <row r="53" spans="1:34" customFormat="1" ht="33.950000000000003" customHeight="1">
      <c r="A53" s="39"/>
      <c r="B53" s="666"/>
      <c r="C53" s="650" t="s">
        <v>434</v>
      </c>
      <c r="D53" s="651"/>
      <c r="E53" s="627"/>
      <c r="F53" s="627"/>
      <c r="G53" s="627"/>
      <c r="H53" s="627"/>
      <c r="I53" s="627"/>
      <c r="J53" s="627"/>
      <c r="K53" s="627"/>
      <c r="L53" s="627"/>
      <c r="M53" s="627"/>
      <c r="N53" s="627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</row>
    <row r="54" spans="1:34" customFormat="1" ht="33.950000000000003" customHeight="1">
      <c r="A54" s="39"/>
      <c r="B54" s="666"/>
      <c r="C54" s="650" t="s">
        <v>435</v>
      </c>
      <c r="D54" s="651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</row>
    <row r="55" spans="1:34" customFormat="1" ht="33.950000000000003" customHeight="1">
      <c r="A55" s="39"/>
      <c r="B55" s="665" t="s">
        <v>437</v>
      </c>
      <c r="C55" s="650" t="s">
        <v>438</v>
      </c>
      <c r="D55" s="651"/>
      <c r="E55" s="652"/>
      <c r="F55" s="653"/>
      <c r="G55" s="652"/>
      <c r="H55" s="653"/>
      <c r="I55" s="652"/>
      <c r="J55" s="653"/>
      <c r="K55" s="652"/>
      <c r="L55" s="653"/>
      <c r="M55" s="652"/>
      <c r="N55" s="653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</row>
    <row r="56" spans="1:34" customFormat="1" ht="33.950000000000003" customHeight="1">
      <c r="A56" s="39"/>
      <c r="B56" s="666"/>
      <c r="C56" s="650" t="s">
        <v>439</v>
      </c>
      <c r="D56" s="651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</row>
    <row r="57" spans="1:34" customFormat="1" ht="33.950000000000003" customHeight="1">
      <c r="A57" s="39"/>
      <c r="B57" s="665" t="s">
        <v>440</v>
      </c>
      <c r="C57" s="650" t="s">
        <v>441</v>
      </c>
      <c r="D57" s="651"/>
      <c r="E57" s="652"/>
      <c r="F57" s="653"/>
      <c r="G57" s="652"/>
      <c r="H57" s="653"/>
      <c r="I57" s="652"/>
      <c r="J57" s="653"/>
      <c r="K57" s="652"/>
      <c r="L57" s="653"/>
      <c r="M57" s="652"/>
      <c r="N57" s="653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</row>
    <row r="58" spans="1:34" customFormat="1" ht="33.950000000000003" customHeight="1">
      <c r="A58" s="39"/>
      <c r="B58" s="666"/>
      <c r="C58" s="650" t="s">
        <v>442</v>
      </c>
      <c r="D58" s="651"/>
      <c r="E58" s="652"/>
      <c r="F58" s="653"/>
      <c r="G58" s="652"/>
      <c r="H58" s="653"/>
      <c r="I58" s="652"/>
      <c r="J58" s="653"/>
      <c r="K58" s="652"/>
      <c r="L58" s="653"/>
      <c r="M58" s="652"/>
      <c r="N58" s="653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</row>
    <row r="59" spans="1:34" s="37" customFormat="1" ht="99.95" customHeight="1">
      <c r="A59" s="39"/>
      <c r="B59" s="74" t="s">
        <v>443</v>
      </c>
      <c r="C59" s="654"/>
      <c r="D59" s="654"/>
      <c r="E59" s="655" t="inlineStr">
        <is>
          <t>Ele Series: LEHY Series
Model: LEHY-III
Shaft: AH 2265 x BH 1900; OH 4300 mm
Operation: 1C-2BC
Main floor: 1; Other floors: 2~25
Power: 380V, 50 Hz; Lighting: 220V, 50 Hz
Options: CWT WITH SAFETY, FER, FERC
Other: Factory confirmation required</t>
        </is>
      </c>
      <c r="F59" s="656"/>
      <c r="G59" s="657"/>
      <c r="H59" s="658"/>
      <c r="I59" s="657"/>
      <c r="J59" s="658"/>
      <c r="K59" s="655"/>
      <c r="L59" s="656"/>
      <c r="M59" s="655"/>
      <c r="N59" s="656"/>
    </row>
    <row r="60" spans="1:34" ht="18.95" customHeight="1">
      <c r="A60" s="75"/>
      <c r="B60" s="76" t="s">
        <v>152</v>
      </c>
      <c r="C60" s="77"/>
      <c r="D60" s="77"/>
      <c r="E60" s="85"/>
      <c r="F60" s="85"/>
      <c r="G60" s="85"/>
      <c r="H60" s="85"/>
      <c r="I60" s="85"/>
      <c r="J60" s="85"/>
      <c r="K60" s="85"/>
      <c r="L60" s="85"/>
      <c r="M60" s="85"/>
      <c r="N60" s="85"/>
    </row>
    <row r="61" spans="1:34" ht="13.5" customHeight="1">
      <c r="E61" s="86"/>
      <c r="F61" s="86"/>
      <c r="G61" s="86"/>
      <c r="H61" s="86"/>
      <c r="I61" s="86"/>
      <c r="J61" s="86"/>
      <c r="K61" s="86"/>
      <c r="L61" s="86"/>
      <c r="M61" s="86"/>
      <c r="N61" s="86"/>
    </row>
    <row r="62" spans="1:34" ht="13.5" customHeight="1"/>
  </sheetData>
  <sheetProtection formatCells="0" insertHyperlinks="0" autoFilter="0"/>
  <mergeCells count="279">
    <mergeCell ref="C59:D59"/>
    <mergeCell ref="E59:F59"/>
    <mergeCell ref="G59:H59"/>
    <mergeCell ref="I59:J59"/>
    <mergeCell ref="K59:L59"/>
    <mergeCell ref="M59:N59"/>
    <mergeCell ref="B32:B33"/>
    <mergeCell ref="B35:B36"/>
    <mergeCell ref="B40:B41"/>
    <mergeCell ref="B42:B48"/>
    <mergeCell ref="B49:B51"/>
    <mergeCell ref="B52:B54"/>
    <mergeCell ref="B55:B56"/>
    <mergeCell ref="B57:B58"/>
    <mergeCell ref="C57:D57"/>
    <mergeCell ref="E57:F57"/>
    <mergeCell ref="G57:H57"/>
    <mergeCell ref="I57:J57"/>
    <mergeCell ref="K57:L57"/>
    <mergeCell ref="M57:N57"/>
    <mergeCell ref="C58:D58"/>
    <mergeCell ref="E58:F58"/>
    <mergeCell ref="G58:H58"/>
    <mergeCell ref="I58:J58"/>
    <mergeCell ref="K58:L58"/>
    <mergeCell ref="M58:N58"/>
    <mergeCell ref="C55:D55"/>
    <mergeCell ref="E55:F55"/>
    <mergeCell ref="G55:H55"/>
    <mergeCell ref="I55:J55"/>
    <mergeCell ref="K55:L55"/>
    <mergeCell ref="M55:N55"/>
    <mergeCell ref="C56:D56"/>
    <mergeCell ref="E56:F56"/>
    <mergeCell ref="G56:H56"/>
    <mergeCell ref="I56:J56"/>
    <mergeCell ref="K56:L56"/>
    <mergeCell ref="M56:N56"/>
    <mergeCell ref="C53:D53"/>
    <mergeCell ref="E53:F53"/>
    <mergeCell ref="G53:H53"/>
    <mergeCell ref="I53:J53"/>
    <mergeCell ref="K53:L53"/>
    <mergeCell ref="M53:N53"/>
    <mergeCell ref="C54:D54"/>
    <mergeCell ref="E54:F54"/>
    <mergeCell ref="G54:H54"/>
    <mergeCell ref="I54:J54"/>
    <mergeCell ref="K54:L54"/>
    <mergeCell ref="M54:N54"/>
    <mergeCell ref="C51:D51"/>
    <mergeCell ref="E51:F51"/>
    <mergeCell ref="G51:H51"/>
    <mergeCell ref="I51:J51"/>
    <mergeCell ref="K51:L51"/>
    <mergeCell ref="M51:N51"/>
    <mergeCell ref="C52:D52"/>
    <mergeCell ref="E52:F52"/>
    <mergeCell ref="G52:H52"/>
    <mergeCell ref="I52:J52"/>
    <mergeCell ref="K52:L52"/>
    <mergeCell ref="M52:N52"/>
    <mergeCell ref="C49:D49"/>
    <mergeCell ref="E49:F49"/>
    <mergeCell ref="G49:H49"/>
    <mergeCell ref="I49:J49"/>
    <mergeCell ref="K49:L49"/>
    <mergeCell ref="M49:N49"/>
    <mergeCell ref="C50:D50"/>
    <mergeCell ref="E50:F50"/>
    <mergeCell ref="G50:H50"/>
    <mergeCell ref="I50:J50"/>
    <mergeCell ref="K50:L50"/>
    <mergeCell ref="M50:N50"/>
    <mergeCell ref="E47:F47"/>
    <mergeCell ref="G47:H47"/>
    <mergeCell ref="I47:J47"/>
    <mergeCell ref="K47:L47"/>
    <mergeCell ref="M47:N47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6:F46"/>
    <mergeCell ref="G46:H46"/>
    <mergeCell ref="I46:J46"/>
    <mergeCell ref="K46:L46"/>
    <mergeCell ref="M46:N46"/>
    <mergeCell ref="I42:J42"/>
    <mergeCell ref="K42:L42"/>
    <mergeCell ref="M42:N42"/>
    <mergeCell ref="E43:F43"/>
    <mergeCell ref="G43:H43"/>
    <mergeCell ref="I43:J43"/>
    <mergeCell ref="K43:L43"/>
    <mergeCell ref="M43:N43"/>
    <mergeCell ref="E44:F44"/>
    <mergeCell ref="G44:H44"/>
    <mergeCell ref="I44:J44"/>
    <mergeCell ref="K44:L44"/>
    <mergeCell ref="M44:N44"/>
    <mergeCell ref="C35:D35"/>
    <mergeCell ref="C36:D36"/>
    <mergeCell ref="C37:D37"/>
    <mergeCell ref="C38:D38"/>
    <mergeCell ref="C39:D39"/>
    <mergeCell ref="C40:D40"/>
    <mergeCell ref="C41:D41"/>
    <mergeCell ref="E42:F42"/>
    <mergeCell ref="G42:H42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E28:F28"/>
    <mergeCell ref="G28:H28"/>
    <mergeCell ref="I28:J28"/>
    <mergeCell ref="K28:L28"/>
    <mergeCell ref="M28:N28"/>
    <mergeCell ref="E29:F29"/>
    <mergeCell ref="G29:H29"/>
    <mergeCell ref="I29:J29"/>
    <mergeCell ref="K29:L29"/>
    <mergeCell ref="M29:N29"/>
    <mergeCell ref="E26:F26"/>
    <mergeCell ref="G26:H26"/>
    <mergeCell ref="I26:J26"/>
    <mergeCell ref="K26:L26"/>
    <mergeCell ref="M26:N26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5:F25"/>
    <mergeCell ref="G25:H25"/>
    <mergeCell ref="I25:J25"/>
    <mergeCell ref="K25:L25"/>
    <mergeCell ref="M25:N25"/>
    <mergeCell ref="E22:F22"/>
    <mergeCell ref="G22:H22"/>
    <mergeCell ref="I22:J22"/>
    <mergeCell ref="K22:L22"/>
    <mergeCell ref="M22:N22"/>
    <mergeCell ref="E23:F23"/>
    <mergeCell ref="G23:H23"/>
    <mergeCell ref="I23:J23"/>
    <mergeCell ref="K23:L23"/>
    <mergeCell ref="M23:N23"/>
    <mergeCell ref="E20:F20"/>
    <mergeCell ref="G20:H20"/>
    <mergeCell ref="I20:J20"/>
    <mergeCell ref="K20:L20"/>
    <mergeCell ref="M20:N20"/>
    <mergeCell ref="E21:F21"/>
    <mergeCell ref="G21:H21"/>
    <mergeCell ref="I21:J21"/>
    <mergeCell ref="K21:L21"/>
    <mergeCell ref="M21:N21"/>
    <mergeCell ref="B18:D18"/>
    <mergeCell ref="E18:F18"/>
    <mergeCell ref="G18:H18"/>
    <mergeCell ref="I18:J18"/>
    <mergeCell ref="K18:L18"/>
    <mergeCell ref="M18:N18"/>
    <mergeCell ref="E19:F19"/>
    <mergeCell ref="G19:H19"/>
    <mergeCell ref="I19:J19"/>
    <mergeCell ref="K19:L19"/>
    <mergeCell ref="M19:N19"/>
    <mergeCell ref="E16:F16"/>
    <mergeCell ref="G16:H16"/>
    <mergeCell ref="I16:J16"/>
    <mergeCell ref="K16:L16"/>
    <mergeCell ref="M16:N16"/>
    <mergeCell ref="B17:D17"/>
    <mergeCell ref="E17:F17"/>
    <mergeCell ref="G17:H17"/>
    <mergeCell ref="I17:J17"/>
    <mergeCell ref="K17:L17"/>
    <mergeCell ref="M17:N17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4:F4"/>
    <mergeCell ref="G4:H4"/>
    <mergeCell ref="I4:J4"/>
    <mergeCell ref="K4:L4"/>
    <mergeCell ref="M4:N4"/>
    <mergeCell ref="E5:F5"/>
    <mergeCell ref="G5:H5"/>
    <mergeCell ref="I5:J5"/>
    <mergeCell ref="K5:L5"/>
    <mergeCell ref="M5:N5"/>
    <mergeCell ref="B1:D1"/>
    <mergeCell ref="E2:F2"/>
    <mergeCell ref="G2:H2"/>
    <mergeCell ref="I2:J2"/>
    <mergeCell ref="K2:L2"/>
    <mergeCell ref="M2:N2"/>
    <mergeCell ref="E3:F3"/>
    <mergeCell ref="G3:H3"/>
    <mergeCell ref="I3:J3"/>
    <mergeCell ref="K3:L3"/>
    <mergeCell ref="M3:N3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76"/>
  <sheetViews>
    <sheetView topLeftCell="A16" workbookViewId="0"/>
  </sheetViews>
  <sheetFormatPr defaultColWidth="9" defaultRowHeight="14.25"/>
  <cols>
    <col min="1" max="1" width="2.625" style="1" customWidth="1"/>
    <col min="2" max="2" width="8.625" style="2" customWidth="1"/>
    <col min="3" max="7" width="8.625" style="1" customWidth="1"/>
    <col min="8" max="8" width="8.625" style="3" customWidth="1"/>
    <col min="9" max="15" width="8.625" style="1" customWidth="1"/>
    <col min="16" max="16" width="6.625" style="1" customWidth="1"/>
    <col min="17" max="16384" width="9" style="1"/>
  </cols>
  <sheetData>
    <row r="1" spans="2:15">
      <c r="B1" s="4" t="s">
        <v>448</v>
      </c>
      <c r="N1" s="16" t="s">
        <v>2</v>
      </c>
    </row>
    <row r="2" spans="2:15">
      <c r="N2" s="16" t="s">
        <v>449</v>
      </c>
    </row>
    <row r="3" spans="2:15">
      <c r="N3" s="17"/>
    </row>
    <row r="4" spans="2:15" ht="5.45" customHeight="1">
      <c r="N4" s="17"/>
    </row>
    <row r="5" spans="2:15" ht="5.45" customHeight="1">
      <c r="B5" s="5"/>
      <c r="C5" s="6"/>
      <c r="D5" s="6"/>
      <c r="E5" s="6"/>
      <c r="F5" s="6"/>
      <c r="G5" s="6"/>
      <c r="H5" s="11"/>
      <c r="I5" s="6"/>
      <c r="J5" s="15"/>
      <c r="K5" s="6"/>
      <c r="L5" s="6"/>
      <c r="M5" s="6"/>
      <c r="N5" s="6"/>
      <c r="O5" s="18"/>
    </row>
    <row r="6" spans="2:15" ht="17.25">
      <c r="B6" s="7" t="s">
        <v>450</v>
      </c>
      <c r="C6" s="8"/>
      <c r="D6" s="8"/>
      <c r="E6" s="8"/>
      <c r="F6" s="8"/>
      <c r="G6" s="8"/>
      <c r="H6" s="12"/>
      <c r="I6" s="8"/>
      <c r="J6" s="8"/>
      <c r="K6" s="8"/>
      <c r="L6" s="8"/>
      <c r="M6" s="8"/>
      <c r="N6" s="8"/>
      <c r="O6" s="19"/>
    </row>
    <row r="7" spans="2:15">
      <c r="B7" s="9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19"/>
    </row>
    <row r="8" spans="2:15">
      <c r="B8" s="9"/>
      <c r="C8" s="1" t="s">
        <v>451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19"/>
    </row>
    <row r="9" spans="2:15" ht="5.25" customHeight="1">
      <c r="B9" s="9"/>
      <c r="D9" s="8"/>
      <c r="E9" s="8"/>
      <c r="F9" s="8"/>
      <c r="G9" s="8"/>
      <c r="H9" s="12"/>
      <c r="I9" s="8"/>
      <c r="J9" s="8"/>
      <c r="K9" s="8"/>
      <c r="L9" s="8"/>
      <c r="M9" s="8"/>
      <c r="N9" s="8"/>
      <c r="O9" s="19"/>
    </row>
    <row r="10" spans="2:15">
      <c r="B10" s="9"/>
      <c r="C10" s="1" t="s">
        <v>452</v>
      </c>
      <c r="D10" s="8"/>
      <c r="E10" s="8"/>
      <c r="F10" s="8"/>
      <c r="G10" s="8"/>
      <c r="H10" s="12"/>
      <c r="I10" s="8"/>
      <c r="J10" s="8"/>
      <c r="K10" s="8"/>
      <c r="L10" s="8"/>
      <c r="M10" s="8"/>
      <c r="N10" s="8"/>
      <c r="O10" s="19"/>
    </row>
    <row r="11" spans="2:15">
      <c r="B11" s="9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19"/>
    </row>
    <row r="12" spans="2:15">
      <c r="B12" s="10" t="s">
        <v>453</v>
      </c>
      <c r="C12" s="8" t="s">
        <v>454</v>
      </c>
      <c r="D12" s="8"/>
      <c r="E12" s="8"/>
      <c r="F12" s="8"/>
      <c r="G12" s="8"/>
      <c r="H12" s="12"/>
      <c r="I12" s="8"/>
      <c r="J12" s="8"/>
      <c r="K12" s="8"/>
      <c r="L12" s="8"/>
      <c r="M12" s="8"/>
      <c r="N12" s="8"/>
      <c r="O12" s="19"/>
    </row>
    <row r="13" spans="2:15">
      <c r="B13" s="10"/>
      <c r="C13" s="8"/>
      <c r="D13" s="8"/>
      <c r="E13" s="8"/>
      <c r="F13" s="8"/>
      <c r="G13" s="8"/>
      <c r="H13" s="12"/>
      <c r="I13" s="8"/>
      <c r="J13" s="8"/>
      <c r="K13" s="8"/>
      <c r="L13" s="8"/>
      <c r="M13" s="8"/>
      <c r="N13" s="8"/>
      <c r="O13" s="19"/>
    </row>
    <row r="14" spans="2:15">
      <c r="B14" s="10" t="s">
        <v>455</v>
      </c>
      <c r="C14" s="8" t="s">
        <v>456</v>
      </c>
      <c r="D14" s="8"/>
      <c r="E14" s="8"/>
      <c r="F14" s="8"/>
      <c r="G14" s="13"/>
      <c r="H14" s="12"/>
      <c r="I14" s="8"/>
      <c r="J14" s="8"/>
      <c r="K14" s="8"/>
      <c r="L14" s="8"/>
      <c r="M14" s="8"/>
      <c r="N14" s="8"/>
      <c r="O14" s="19"/>
    </row>
    <row r="15" spans="2:15">
      <c r="B15" s="10"/>
      <c r="C15" s="8" t="s">
        <v>457</v>
      </c>
      <c r="D15" s="8"/>
      <c r="E15" s="8"/>
      <c r="F15" s="8"/>
      <c r="G15" s="13"/>
      <c r="H15" s="12"/>
      <c r="I15" s="8"/>
      <c r="J15" s="8"/>
      <c r="K15" s="8"/>
      <c r="L15" s="8"/>
      <c r="M15" s="8"/>
      <c r="N15" s="8"/>
      <c r="O15" s="19"/>
    </row>
    <row r="16" spans="2:15">
      <c r="B16" s="10"/>
      <c r="C16" s="8"/>
      <c r="D16" s="8"/>
      <c r="E16" s="8"/>
      <c r="F16" s="8"/>
      <c r="G16" s="8"/>
      <c r="H16" s="12"/>
      <c r="I16" s="8"/>
      <c r="J16" s="12"/>
      <c r="K16" s="8"/>
      <c r="L16" s="8"/>
      <c r="M16" s="8"/>
      <c r="N16" s="8"/>
      <c r="O16" s="19"/>
    </row>
    <row r="17" spans="2:15">
      <c r="B17" s="10" t="s">
        <v>458</v>
      </c>
      <c r="C17" s="8" t="s">
        <v>459</v>
      </c>
      <c r="D17" s="8"/>
      <c r="E17" s="8"/>
      <c r="F17" s="8"/>
      <c r="G17" s="8"/>
      <c r="H17" s="12"/>
      <c r="I17" s="8"/>
      <c r="J17" s="8"/>
      <c r="K17" s="8"/>
      <c r="L17" s="8"/>
      <c r="M17" s="8"/>
      <c r="N17" s="8"/>
      <c r="O17" s="19"/>
    </row>
    <row r="18" spans="2:15">
      <c r="B18" s="10"/>
      <c r="C18" s="8"/>
      <c r="D18" s="8"/>
      <c r="E18" s="8"/>
      <c r="F18" s="8"/>
      <c r="G18" s="8"/>
      <c r="H18" s="12"/>
      <c r="I18" s="8"/>
      <c r="J18" s="8"/>
      <c r="K18" s="8"/>
      <c r="L18" s="8"/>
      <c r="M18" s="8"/>
      <c r="N18" s="8"/>
      <c r="O18" s="19"/>
    </row>
    <row r="19" spans="2:15">
      <c r="B19" s="10" t="s">
        <v>460</v>
      </c>
      <c r="C19" s="8" t="s">
        <v>461</v>
      </c>
      <c r="D19" s="8"/>
      <c r="E19" s="8"/>
      <c r="F19" s="8"/>
      <c r="G19" s="8"/>
      <c r="H19" s="12"/>
      <c r="I19" s="8"/>
      <c r="J19" s="8"/>
      <c r="K19" s="8"/>
      <c r="L19" s="8"/>
      <c r="M19" s="8"/>
      <c r="N19" s="8"/>
      <c r="O19" s="19"/>
    </row>
    <row r="20" spans="2:15">
      <c r="B20" s="10"/>
      <c r="C20" s="8" t="s">
        <v>462</v>
      </c>
      <c r="D20" s="8"/>
      <c r="E20" s="8"/>
      <c r="F20" s="8"/>
      <c r="G20" s="8"/>
      <c r="H20" s="12"/>
      <c r="I20" s="8"/>
      <c r="J20" s="8"/>
      <c r="K20" s="8"/>
      <c r="L20" s="8"/>
      <c r="M20" s="8"/>
      <c r="N20" s="8"/>
      <c r="O20" s="19"/>
    </row>
    <row r="21" spans="2:15">
      <c r="B21" s="10"/>
      <c r="C21" s="8" t="s">
        <v>463</v>
      </c>
      <c r="D21" s="8"/>
      <c r="E21" s="8"/>
      <c r="F21" s="8"/>
      <c r="G21" s="8"/>
      <c r="H21" s="14"/>
      <c r="I21" s="8"/>
      <c r="J21" s="8"/>
      <c r="K21" s="8"/>
      <c r="L21" s="8"/>
      <c r="M21" s="8"/>
      <c r="N21" s="8"/>
      <c r="O21" s="19"/>
    </row>
    <row r="22" spans="2:15">
      <c r="B22" s="10"/>
      <c r="C22" s="8" t="s">
        <v>464</v>
      </c>
      <c r="D22" s="8"/>
      <c r="E22" s="8"/>
      <c r="F22" s="8"/>
      <c r="G22" s="8"/>
      <c r="H22" s="14"/>
      <c r="I22" s="8"/>
      <c r="J22" s="8"/>
      <c r="K22" s="8"/>
      <c r="L22" s="8"/>
      <c r="M22" s="8"/>
      <c r="N22" s="8"/>
      <c r="O22" s="19"/>
    </row>
    <row r="23" spans="2:15">
      <c r="B23" s="10"/>
      <c r="C23" s="8"/>
      <c r="D23" s="8"/>
      <c r="E23" s="8"/>
      <c r="F23" s="8"/>
      <c r="G23" s="8"/>
      <c r="H23" s="12"/>
      <c r="I23" s="8"/>
      <c r="J23" s="8"/>
      <c r="K23" s="8"/>
      <c r="L23" s="8"/>
      <c r="M23" s="8"/>
      <c r="N23" s="8"/>
      <c r="O23" s="19"/>
    </row>
    <row r="24" spans="2:15">
      <c r="B24" s="10" t="s">
        <v>465</v>
      </c>
      <c r="C24" s="8" t="s">
        <v>466</v>
      </c>
      <c r="D24" s="8"/>
      <c r="E24" s="8"/>
      <c r="F24" s="8"/>
      <c r="G24" s="8"/>
      <c r="H24" s="12"/>
      <c r="I24" s="8"/>
      <c r="J24" s="8"/>
      <c r="K24" s="8"/>
      <c r="L24" s="8"/>
      <c r="M24" s="8"/>
      <c r="N24" s="8"/>
      <c r="O24" s="19"/>
    </row>
    <row r="25" spans="2:15">
      <c r="B25" s="9"/>
      <c r="C25" s="8" t="s">
        <v>467</v>
      </c>
      <c r="D25" s="8"/>
      <c r="E25" s="8"/>
      <c r="F25" s="8"/>
      <c r="G25" s="8"/>
      <c r="H25" s="12"/>
      <c r="I25" s="8"/>
      <c r="J25" s="8"/>
      <c r="K25" s="8"/>
      <c r="L25" s="8"/>
      <c r="M25" s="8"/>
      <c r="N25" s="8"/>
      <c r="O25" s="19"/>
    </row>
    <row r="26" spans="2:15">
      <c r="B26" s="9"/>
      <c r="C26" s="8"/>
      <c r="D26" s="8"/>
      <c r="E26" s="8"/>
      <c r="F26" s="8"/>
      <c r="G26" s="8"/>
      <c r="H26" s="12"/>
      <c r="I26" s="8"/>
      <c r="J26" s="8"/>
      <c r="K26" s="8"/>
      <c r="L26" s="8"/>
      <c r="M26" s="8"/>
      <c r="N26" s="8"/>
      <c r="O26" s="19"/>
    </row>
    <row r="27" spans="2:15">
      <c r="B27" s="10" t="s">
        <v>468</v>
      </c>
      <c r="C27" s="8" t="s">
        <v>469</v>
      </c>
      <c r="D27" s="8"/>
      <c r="E27" s="8"/>
      <c r="F27" s="8"/>
      <c r="G27" s="8"/>
      <c r="H27" s="12"/>
      <c r="I27" s="8"/>
      <c r="J27" s="8"/>
      <c r="K27" s="8"/>
      <c r="L27" s="8"/>
      <c r="M27" s="8"/>
      <c r="N27" s="8"/>
      <c r="O27" s="19"/>
    </row>
    <row r="28" spans="2:15">
      <c r="B28" s="9"/>
      <c r="D28" s="8"/>
      <c r="E28" s="8"/>
      <c r="F28" s="8"/>
      <c r="G28" s="8"/>
      <c r="H28" s="12"/>
      <c r="I28" s="8"/>
      <c r="J28" s="8"/>
      <c r="K28" s="8"/>
      <c r="L28" s="8"/>
      <c r="M28" s="8"/>
      <c r="N28" s="8"/>
      <c r="O28" s="19"/>
    </row>
    <row r="29" spans="2:15">
      <c r="B29" s="10" t="s">
        <v>470</v>
      </c>
      <c r="C29" s="1" t="s">
        <v>471</v>
      </c>
      <c r="D29" s="8"/>
      <c r="E29" s="8"/>
      <c r="F29" s="8"/>
      <c r="G29" s="8"/>
      <c r="H29" s="12"/>
      <c r="I29" s="8"/>
      <c r="J29" s="8"/>
      <c r="K29" s="8"/>
      <c r="L29" s="8"/>
      <c r="M29" s="8"/>
      <c r="N29" s="8"/>
      <c r="O29" s="19"/>
    </row>
    <row r="30" spans="2:15" ht="5.25" customHeight="1">
      <c r="B30" s="9"/>
      <c r="D30" s="8"/>
      <c r="E30" s="8"/>
      <c r="F30" s="8"/>
      <c r="G30" s="8"/>
      <c r="H30" s="12"/>
      <c r="I30" s="8"/>
      <c r="J30" s="8"/>
      <c r="K30" s="8"/>
      <c r="L30" s="8"/>
      <c r="M30" s="8"/>
      <c r="N30" s="8"/>
      <c r="O30" s="19"/>
    </row>
    <row r="31" spans="2:15">
      <c r="B31" s="9"/>
      <c r="C31" s="1" t="s">
        <v>472</v>
      </c>
      <c r="D31" s="8"/>
      <c r="E31" s="8"/>
      <c r="F31" s="8"/>
      <c r="G31" s="8"/>
      <c r="H31" s="12"/>
      <c r="I31" s="8"/>
      <c r="J31" s="8"/>
      <c r="K31" s="8"/>
      <c r="L31" s="8"/>
      <c r="M31" s="8"/>
      <c r="N31" s="8"/>
      <c r="O31" s="19"/>
    </row>
    <row r="32" spans="2:15">
      <c r="B32" s="9"/>
      <c r="C32" s="8" t="s">
        <v>473</v>
      </c>
      <c r="D32" s="8"/>
      <c r="E32" s="8"/>
      <c r="F32" s="8"/>
      <c r="G32" s="8"/>
      <c r="H32" s="12"/>
      <c r="I32" s="8"/>
      <c r="J32" s="8"/>
      <c r="K32" s="8"/>
      <c r="L32" s="8"/>
      <c r="M32" s="8"/>
      <c r="N32" s="8"/>
      <c r="O32" s="19"/>
    </row>
    <row r="33" spans="2:18">
      <c r="B33" s="9"/>
      <c r="C33" s="8"/>
      <c r="D33" s="8"/>
      <c r="E33" s="8"/>
      <c r="F33" s="8"/>
      <c r="G33" s="8"/>
      <c r="H33" s="12"/>
      <c r="I33" s="8"/>
      <c r="J33" s="8"/>
      <c r="K33" s="8"/>
      <c r="L33" s="8"/>
      <c r="M33" s="8"/>
      <c r="N33" s="8"/>
      <c r="O33" s="19"/>
    </row>
    <row r="34" spans="2:18">
      <c r="B34" s="10" t="s">
        <v>474</v>
      </c>
      <c r="C34" s="1" t="s">
        <v>475</v>
      </c>
      <c r="D34" s="8"/>
      <c r="E34" s="8"/>
      <c r="F34" s="8"/>
      <c r="G34" s="8"/>
      <c r="H34" s="12"/>
      <c r="I34" s="8"/>
      <c r="J34" s="8"/>
      <c r="K34" s="8"/>
      <c r="L34" s="8"/>
      <c r="M34" s="8"/>
      <c r="N34" s="8"/>
      <c r="O34" s="19"/>
    </row>
    <row r="35" spans="2:18">
      <c r="B35" s="10"/>
      <c r="C35" s="1" t="s">
        <v>476</v>
      </c>
      <c r="D35" s="8"/>
      <c r="E35" s="8"/>
      <c r="F35" s="8"/>
      <c r="G35" s="8"/>
      <c r="H35" s="12"/>
      <c r="I35" s="8"/>
      <c r="J35" s="8"/>
      <c r="K35" s="8"/>
      <c r="L35" s="8"/>
      <c r="M35" s="8"/>
      <c r="N35" s="8"/>
      <c r="O35" s="19"/>
    </row>
    <row r="36" spans="2:18">
      <c r="B36" s="9"/>
      <c r="C36" s="8" t="s">
        <v>477</v>
      </c>
      <c r="D36" s="8"/>
      <c r="E36" s="8"/>
      <c r="F36" s="8"/>
      <c r="G36" s="8"/>
      <c r="H36" s="12"/>
      <c r="I36" s="8"/>
      <c r="J36" s="8"/>
      <c r="K36" s="8"/>
      <c r="L36" s="8"/>
      <c r="M36" s="8"/>
      <c r="N36" s="8"/>
      <c r="O36" s="19"/>
    </row>
    <row r="37" spans="2:18">
      <c r="B37" s="9"/>
      <c r="C37" s="8"/>
      <c r="D37" s="20"/>
      <c r="E37" s="23"/>
      <c r="F37" s="23"/>
      <c r="G37" s="23"/>
      <c r="H37" s="23"/>
      <c r="I37" s="23"/>
      <c r="J37" s="23"/>
      <c r="K37" s="23"/>
      <c r="L37" s="23"/>
      <c r="M37" s="24"/>
      <c r="N37" s="24"/>
      <c r="O37" s="28"/>
      <c r="P37" s="29"/>
      <c r="Q37" s="29"/>
      <c r="R37" s="29"/>
    </row>
    <row r="38" spans="2:18">
      <c r="B38" s="10" t="s">
        <v>478</v>
      </c>
      <c r="C38" s="14" t="s">
        <v>479</v>
      </c>
      <c r="D38" s="8"/>
      <c r="E38" s="24"/>
      <c r="F38" s="24"/>
      <c r="G38" s="24"/>
      <c r="H38" s="25"/>
      <c r="I38" s="24"/>
      <c r="J38" s="24"/>
      <c r="K38" s="24"/>
      <c r="L38" s="24"/>
      <c r="M38" s="24"/>
      <c r="N38" s="24"/>
      <c r="O38" s="28"/>
      <c r="P38" s="29"/>
      <c r="Q38" s="29"/>
      <c r="R38" s="29"/>
    </row>
    <row r="39" spans="2:18">
      <c r="B39" s="9"/>
      <c r="C39" s="8"/>
      <c r="D39" s="20"/>
      <c r="E39" s="23"/>
      <c r="F39" s="23"/>
      <c r="G39" s="23"/>
      <c r="H39" s="23"/>
      <c r="I39" s="23"/>
      <c r="J39" s="23"/>
      <c r="K39" s="23"/>
      <c r="L39" s="23"/>
      <c r="M39" s="24"/>
      <c r="N39" s="24"/>
      <c r="O39" s="28"/>
      <c r="P39" s="29"/>
      <c r="Q39" s="29"/>
      <c r="R39" s="29"/>
    </row>
    <row r="40" spans="2:18">
      <c r="B40" s="9"/>
      <c r="C40" s="8"/>
      <c r="D40" s="20"/>
      <c r="E40" s="23"/>
      <c r="F40" s="23"/>
      <c r="G40" s="23"/>
      <c r="H40" s="23"/>
      <c r="I40" s="23"/>
      <c r="J40" s="23"/>
      <c r="K40" s="23"/>
      <c r="L40" s="23"/>
      <c r="M40" s="24"/>
      <c r="N40" s="24"/>
      <c r="O40" s="28"/>
      <c r="P40" s="29"/>
      <c r="Q40" s="29"/>
      <c r="R40" s="29"/>
    </row>
    <row r="41" spans="2:18">
      <c r="B41" s="9"/>
      <c r="C41" s="8"/>
      <c r="D41" s="20"/>
      <c r="E41" s="23"/>
      <c r="F41" s="23"/>
      <c r="G41" s="23"/>
      <c r="H41" s="23"/>
      <c r="I41" s="23"/>
      <c r="J41" s="23"/>
      <c r="K41" s="23"/>
      <c r="L41" s="23"/>
      <c r="M41" s="24"/>
      <c r="N41" s="24"/>
      <c r="O41" s="28"/>
      <c r="P41" s="29"/>
      <c r="Q41" s="29"/>
      <c r="R41" s="29"/>
    </row>
    <row r="42" spans="2:18">
      <c r="B42" s="9"/>
      <c r="C42" s="8"/>
      <c r="D42" s="20"/>
      <c r="E42" s="23"/>
      <c r="F42" s="23"/>
      <c r="G42" s="23"/>
      <c r="H42" s="23"/>
      <c r="I42" s="23"/>
      <c r="J42" s="23"/>
      <c r="K42" s="23"/>
      <c r="L42" s="23"/>
      <c r="M42" s="24"/>
      <c r="N42" s="24"/>
      <c r="O42" s="28"/>
      <c r="P42" s="29"/>
      <c r="Q42" s="29"/>
      <c r="R42" s="29"/>
    </row>
    <row r="43" spans="2:18">
      <c r="B43" s="9"/>
      <c r="C43" s="8"/>
      <c r="D43" s="20"/>
      <c r="E43" s="23"/>
      <c r="F43" s="23"/>
      <c r="G43" s="23"/>
      <c r="H43" s="23"/>
      <c r="I43" s="23"/>
      <c r="J43" s="23"/>
      <c r="K43" s="23"/>
      <c r="L43" s="23"/>
      <c r="M43" s="24"/>
      <c r="N43" s="24"/>
      <c r="O43" s="28"/>
      <c r="P43" s="29"/>
      <c r="Q43" s="29"/>
      <c r="R43" s="29"/>
    </row>
    <row r="44" spans="2:18">
      <c r="B44" s="9"/>
      <c r="C44" s="8"/>
      <c r="D44" s="20"/>
      <c r="E44" s="23"/>
      <c r="F44" s="23"/>
      <c r="G44" s="23"/>
      <c r="H44" s="23"/>
      <c r="I44" s="23"/>
      <c r="J44" s="23"/>
      <c r="K44" s="23"/>
      <c r="L44" s="23"/>
      <c r="M44" s="24"/>
      <c r="N44" s="24"/>
      <c r="O44" s="28"/>
      <c r="P44" s="29"/>
      <c r="Q44" s="29"/>
      <c r="R44" s="29"/>
    </row>
    <row r="45" spans="2:18">
      <c r="B45" s="9"/>
      <c r="C45" s="8"/>
      <c r="D45" s="20"/>
      <c r="E45" s="23"/>
      <c r="F45" s="23"/>
      <c r="G45" s="23"/>
      <c r="H45" s="23"/>
      <c r="I45" s="23"/>
      <c r="J45" s="23"/>
      <c r="K45" s="23"/>
      <c r="L45" s="23"/>
      <c r="M45" s="24"/>
      <c r="N45" s="24"/>
      <c r="O45" s="28"/>
      <c r="P45" s="29"/>
      <c r="Q45" s="29"/>
      <c r="R45" s="29"/>
    </row>
    <row r="46" spans="2:18">
      <c r="B46" s="9"/>
      <c r="C46" s="8"/>
      <c r="D46" s="20"/>
      <c r="E46" s="23"/>
      <c r="F46" s="23"/>
      <c r="G46" s="23"/>
      <c r="H46" s="23"/>
      <c r="I46" s="23"/>
      <c r="J46" s="23"/>
      <c r="K46" s="23"/>
      <c r="L46" s="23"/>
      <c r="M46" s="24"/>
      <c r="N46" s="24"/>
      <c r="O46" s="28"/>
      <c r="P46" s="29"/>
      <c r="Q46" s="29"/>
      <c r="R46" s="29"/>
    </row>
    <row r="47" spans="2:18">
      <c r="B47" s="9"/>
      <c r="C47" s="8"/>
      <c r="D47" s="20"/>
      <c r="E47" s="23"/>
      <c r="F47" s="23"/>
      <c r="G47" s="23"/>
      <c r="H47" s="23"/>
      <c r="I47" s="23"/>
      <c r="J47" s="23"/>
      <c r="K47" s="23"/>
      <c r="L47" s="23"/>
      <c r="M47" s="24"/>
      <c r="N47" s="24"/>
      <c r="O47" s="28"/>
      <c r="P47" s="29"/>
      <c r="Q47" s="29"/>
      <c r="R47" s="29"/>
    </row>
    <row r="48" spans="2:18">
      <c r="B48" s="9"/>
      <c r="C48" s="8"/>
      <c r="D48" s="20"/>
      <c r="E48" s="23"/>
      <c r="F48" s="23"/>
      <c r="G48" s="23"/>
      <c r="H48" s="23"/>
      <c r="I48" s="23"/>
      <c r="J48" s="23"/>
      <c r="K48" s="23"/>
      <c r="L48" s="23"/>
      <c r="M48" s="24"/>
      <c r="N48" s="24"/>
      <c r="O48" s="28"/>
      <c r="P48" s="29"/>
      <c r="Q48" s="29"/>
      <c r="R48" s="29"/>
    </row>
    <row r="49" spans="2:18">
      <c r="B49" s="9"/>
      <c r="C49" s="8"/>
      <c r="D49" s="20"/>
      <c r="E49" s="23"/>
      <c r="F49" s="23"/>
      <c r="G49" s="23"/>
      <c r="H49" s="23"/>
      <c r="I49" s="23"/>
      <c r="J49" s="23"/>
      <c r="K49" s="23"/>
      <c r="L49" s="23"/>
      <c r="M49" s="24"/>
      <c r="N49" s="24"/>
      <c r="O49" s="28"/>
      <c r="P49" s="29"/>
      <c r="Q49" s="29"/>
      <c r="R49" s="29"/>
    </row>
    <row r="50" spans="2:18">
      <c r="B50" s="9"/>
      <c r="C50" s="20"/>
      <c r="D50" s="20"/>
      <c r="E50" s="20"/>
      <c r="F50" s="26"/>
      <c r="G50" s="22"/>
      <c r="H50" s="12"/>
      <c r="I50" s="22"/>
      <c r="J50" s="22"/>
      <c r="K50" s="22"/>
      <c r="L50" s="27"/>
      <c r="M50" s="8"/>
      <c r="N50" s="8"/>
      <c r="O50" s="19"/>
    </row>
    <row r="51" spans="2:18">
      <c r="B51" s="9"/>
      <c r="C51" s="21"/>
      <c r="D51" s="21"/>
      <c r="E51" s="21"/>
      <c r="F51" s="26"/>
      <c r="G51" s="22"/>
      <c r="H51" s="12"/>
      <c r="I51" s="22"/>
      <c r="J51" s="22"/>
      <c r="K51" s="22"/>
      <c r="L51" s="27"/>
      <c r="M51" s="8"/>
      <c r="N51" s="8"/>
      <c r="O51" s="19"/>
    </row>
    <row r="52" spans="2:18">
      <c r="B52" s="9"/>
      <c r="C52" s="22"/>
      <c r="D52" s="22"/>
      <c r="E52" s="22"/>
      <c r="F52" s="26"/>
      <c r="G52" s="22"/>
      <c r="H52" s="12"/>
      <c r="I52" s="22"/>
      <c r="J52" s="22"/>
      <c r="K52" s="22"/>
      <c r="L52" s="27"/>
      <c r="M52" s="8"/>
      <c r="N52" s="8"/>
      <c r="O52" s="19"/>
    </row>
    <row r="53" spans="2:18">
      <c r="B53" s="9"/>
      <c r="C53" s="8"/>
      <c r="D53" s="8"/>
      <c r="E53" s="8"/>
      <c r="F53" s="8"/>
      <c r="G53" s="8"/>
      <c r="H53" s="12"/>
      <c r="I53" s="8"/>
      <c r="J53" s="8"/>
      <c r="K53" s="8"/>
      <c r="L53" s="8"/>
      <c r="M53" s="8"/>
      <c r="N53" s="8"/>
      <c r="O53" s="19"/>
    </row>
    <row r="54" spans="2:18">
      <c r="B54" s="10"/>
      <c r="C54" s="8"/>
      <c r="D54" s="8"/>
      <c r="E54" s="8"/>
      <c r="F54" s="8"/>
      <c r="G54" s="8"/>
      <c r="H54" s="12"/>
      <c r="I54" s="8"/>
      <c r="J54" s="8"/>
      <c r="K54" s="8"/>
      <c r="L54" s="8"/>
      <c r="M54" s="8"/>
      <c r="N54" s="8"/>
      <c r="O54" s="19"/>
    </row>
    <row r="55" spans="2:18">
      <c r="B55" s="9"/>
      <c r="C55" s="8"/>
      <c r="D55" s="8"/>
      <c r="E55" s="8"/>
      <c r="F55" s="8"/>
      <c r="G55" s="8"/>
      <c r="H55" s="12"/>
      <c r="I55" s="8"/>
      <c r="J55" s="8"/>
      <c r="K55" s="8"/>
      <c r="L55" s="8"/>
      <c r="M55" s="8"/>
      <c r="N55" s="8"/>
      <c r="O55" s="19"/>
    </row>
    <row r="56" spans="2:18">
      <c r="B56" s="9"/>
      <c r="C56" s="8"/>
      <c r="D56" s="8"/>
      <c r="E56" s="8"/>
      <c r="F56" s="8"/>
      <c r="G56" s="8"/>
      <c r="H56" s="12"/>
      <c r="I56" s="8"/>
      <c r="J56" s="8"/>
      <c r="K56" s="8"/>
      <c r="L56" s="8"/>
      <c r="M56" s="8"/>
      <c r="N56" s="8"/>
      <c r="O56" s="19"/>
    </row>
    <row r="57" spans="2:18">
      <c r="B57" s="9"/>
      <c r="C57" s="8"/>
      <c r="D57" s="8"/>
      <c r="E57" s="8"/>
      <c r="F57" s="8"/>
      <c r="G57" s="8"/>
      <c r="H57" s="12"/>
      <c r="I57" s="8"/>
      <c r="J57" s="8"/>
      <c r="K57" s="8"/>
      <c r="L57" s="8"/>
      <c r="M57" s="8"/>
      <c r="N57" s="8"/>
      <c r="O57" s="19"/>
    </row>
    <row r="58" spans="2:18">
      <c r="B58" s="9"/>
      <c r="C58" s="8"/>
      <c r="D58" s="8"/>
      <c r="E58" s="8"/>
      <c r="F58" s="8"/>
      <c r="G58" s="8"/>
      <c r="H58" s="12"/>
      <c r="I58" s="8"/>
      <c r="J58" s="8"/>
      <c r="K58" s="8"/>
      <c r="L58" s="8"/>
      <c r="M58" s="8"/>
      <c r="N58" s="8"/>
      <c r="O58" s="19"/>
    </row>
    <row r="59" spans="2:18">
      <c r="B59" s="9"/>
      <c r="C59" s="8"/>
      <c r="D59" s="8"/>
      <c r="E59" s="8"/>
      <c r="F59" s="8"/>
      <c r="G59" s="8"/>
      <c r="H59" s="12"/>
      <c r="I59" s="8"/>
      <c r="J59" s="8"/>
      <c r="K59" s="8"/>
      <c r="L59" s="8"/>
      <c r="M59" s="8"/>
      <c r="N59" s="8"/>
      <c r="O59" s="19"/>
    </row>
    <row r="60" spans="2:18">
      <c r="B60" s="9"/>
      <c r="C60" s="8"/>
      <c r="D60" s="8"/>
      <c r="E60" s="8"/>
      <c r="F60" s="8"/>
      <c r="G60" s="8"/>
      <c r="H60" s="12"/>
      <c r="I60" s="8"/>
      <c r="J60" s="8"/>
      <c r="K60" s="8"/>
      <c r="L60" s="8"/>
      <c r="M60" s="8"/>
      <c r="N60" s="8"/>
      <c r="O60" s="19"/>
    </row>
    <row r="61" spans="2:18">
      <c r="B61" s="9"/>
      <c r="C61" s="8"/>
      <c r="D61" s="8"/>
      <c r="E61" s="8"/>
      <c r="F61" s="8"/>
      <c r="G61" s="8"/>
      <c r="H61" s="12"/>
      <c r="I61" s="8"/>
      <c r="J61" s="8"/>
      <c r="K61" s="8"/>
      <c r="L61" s="8"/>
      <c r="M61" s="8"/>
      <c r="N61" s="8"/>
      <c r="O61" s="19"/>
    </row>
    <row r="62" spans="2:18">
      <c r="B62" s="9"/>
      <c r="C62" s="8"/>
      <c r="D62" s="8"/>
      <c r="E62" s="8"/>
      <c r="F62" s="8"/>
      <c r="G62" s="8"/>
      <c r="H62" s="12"/>
      <c r="I62" s="8"/>
      <c r="J62" s="8"/>
      <c r="K62" s="8"/>
      <c r="L62" s="8"/>
      <c r="M62" s="8"/>
      <c r="N62" s="8"/>
      <c r="O62" s="19"/>
    </row>
    <row r="63" spans="2:18">
      <c r="B63" s="9"/>
      <c r="C63" s="8"/>
      <c r="D63" s="8"/>
      <c r="E63" s="8"/>
      <c r="F63" s="8"/>
      <c r="G63" s="8"/>
      <c r="H63" s="12"/>
      <c r="I63" s="8"/>
      <c r="J63" s="8"/>
      <c r="K63" s="8"/>
      <c r="L63" s="8"/>
      <c r="M63" s="8"/>
      <c r="N63" s="8"/>
      <c r="O63" s="19"/>
    </row>
    <row r="64" spans="2:18">
      <c r="B64" s="10"/>
      <c r="C64" s="8"/>
      <c r="D64" s="8"/>
      <c r="E64" s="8"/>
      <c r="F64" s="8"/>
      <c r="G64" s="8"/>
      <c r="H64" s="12"/>
      <c r="I64" s="8"/>
      <c r="J64" s="8"/>
      <c r="K64" s="8"/>
      <c r="L64" s="8"/>
      <c r="M64" s="8"/>
      <c r="N64" s="8"/>
      <c r="O64" s="19"/>
    </row>
    <row r="65" spans="2:15">
      <c r="B65" s="9"/>
      <c r="C65" s="8"/>
      <c r="D65" s="8"/>
      <c r="E65" s="8"/>
      <c r="F65" s="8"/>
      <c r="G65" s="8"/>
      <c r="H65" s="12"/>
      <c r="I65" s="8"/>
      <c r="J65" s="8"/>
      <c r="K65" s="8"/>
      <c r="L65" s="8"/>
      <c r="M65" s="8"/>
      <c r="N65" s="8"/>
      <c r="O65" s="19"/>
    </row>
    <row r="66" spans="2:15">
      <c r="B66" s="10"/>
      <c r="C66" s="8"/>
      <c r="D66" s="8"/>
      <c r="E66" s="8"/>
      <c r="F66" s="8"/>
      <c r="G66" s="8"/>
      <c r="H66" s="12"/>
      <c r="I66" s="8"/>
      <c r="J66" s="8"/>
      <c r="K66" s="8"/>
      <c r="L66" s="8"/>
      <c r="M66" s="8"/>
      <c r="N66" s="8"/>
      <c r="O66" s="19"/>
    </row>
    <row r="67" spans="2:15">
      <c r="B67" s="10"/>
      <c r="C67" s="8"/>
      <c r="D67" s="8"/>
      <c r="E67" s="8"/>
      <c r="F67" s="8"/>
      <c r="G67" s="8"/>
      <c r="H67" s="12"/>
      <c r="I67" s="8"/>
      <c r="J67" s="8"/>
      <c r="K67" s="8"/>
      <c r="L67" s="8"/>
      <c r="M67" s="8"/>
      <c r="N67" s="8"/>
      <c r="O67" s="19"/>
    </row>
    <row r="68" spans="2:15">
      <c r="B68" s="10"/>
      <c r="C68" s="8"/>
      <c r="D68" s="8"/>
      <c r="E68" s="8"/>
      <c r="F68" s="8"/>
      <c r="G68" s="8"/>
      <c r="H68" s="12"/>
      <c r="I68" s="8"/>
      <c r="J68" s="8"/>
      <c r="K68" s="8"/>
      <c r="L68" s="8"/>
      <c r="M68" s="8"/>
      <c r="N68" s="8"/>
      <c r="O68" s="19"/>
    </row>
    <row r="69" spans="2:15">
      <c r="B69" s="10"/>
      <c r="C69" s="8"/>
      <c r="D69" s="8"/>
      <c r="E69" s="8"/>
      <c r="F69" s="8"/>
      <c r="G69" s="8"/>
      <c r="H69" s="12"/>
      <c r="I69" s="8"/>
      <c r="J69" s="8"/>
      <c r="K69" s="8"/>
      <c r="L69" s="8"/>
      <c r="M69" s="8"/>
      <c r="N69" s="8"/>
      <c r="O69" s="19"/>
    </row>
    <row r="70" spans="2:15">
      <c r="B70" s="10"/>
      <c r="C70" s="8"/>
      <c r="D70" s="8"/>
      <c r="E70" s="8"/>
      <c r="F70" s="8"/>
      <c r="G70" s="8"/>
      <c r="H70" s="12"/>
      <c r="I70" s="8"/>
      <c r="J70" s="8"/>
      <c r="K70" s="8"/>
      <c r="L70" s="8"/>
      <c r="M70" s="8"/>
      <c r="N70" s="8"/>
      <c r="O70" s="19"/>
    </row>
    <row r="71" spans="2:15" ht="5.45" customHeight="1">
      <c r="B71" s="30"/>
      <c r="C71" s="31"/>
      <c r="D71" s="31"/>
      <c r="E71" s="31"/>
      <c r="F71" s="31"/>
      <c r="G71" s="31"/>
      <c r="H71" s="35"/>
      <c r="I71" s="31"/>
      <c r="J71" s="31"/>
      <c r="K71" s="31"/>
      <c r="L71" s="31"/>
      <c r="M71" s="31"/>
      <c r="N71" s="31"/>
      <c r="O71" s="36"/>
    </row>
    <row r="72" spans="2:15">
      <c r="B72" s="32"/>
      <c r="C72" s="33" t="s">
        <v>480</v>
      </c>
    </row>
    <row r="73" spans="2:15">
      <c r="B73" s="34"/>
      <c r="C73" s="8"/>
      <c r="D73" s="8"/>
      <c r="E73" s="8"/>
      <c r="F73" s="8"/>
      <c r="G73" s="8"/>
      <c r="H73" s="12"/>
      <c r="I73" s="8"/>
    </row>
    <row r="74" spans="2:15">
      <c r="B74" s="34"/>
      <c r="C74" s="8"/>
      <c r="H74" s="1"/>
    </row>
    <row r="75" spans="2:15" ht="17.25">
      <c r="B75" s="34"/>
      <c r="C75" s="34"/>
      <c r="E75" s="667"/>
      <c r="F75" s="668"/>
      <c r="H75" s="667"/>
      <c r="I75" s="668"/>
      <c r="K75" s="667"/>
      <c r="L75" s="668"/>
    </row>
    <row r="76" spans="2:15">
      <c r="B76" s="34"/>
      <c r="C76" s="8"/>
      <c r="D76" s="8"/>
      <c r="E76" s="8"/>
      <c r="F76" s="8"/>
      <c r="G76" s="8"/>
      <c r="H76" s="12"/>
      <c r="I76" s="8"/>
    </row>
  </sheetData>
  <sheetProtection formatCells="0" insertHyperlinks="0" autoFilter="0"/>
  <mergeCells count="3">
    <mergeCell ref="E75:F75"/>
    <mergeCell ref="H75:I75"/>
    <mergeCell ref="K75:L75"/>
  </mergeCells>
  <pageMargins left="0" right="0.196850393700787" top="0.31496062992126" bottom="0" header="0.511811023622047" footer="0.511811023622047"/>
  <pageSetup paperSize="9" scale="83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6">
    <commentChains s:ref="D40" rgbClr="FF0000">
      <unresolved>
        <commentChain chainId="970e5404c03f6bf33fa45889c2aee985471e2df7">
          <item id="e64cc0573a917469f7dbedf09d327edcf832fbc9" isNormal="1">
            <s:text>
              <s:r>
                <s:t xml:space="preserve">MAXIEZ-Mの値流用
※1800kgはGM5H流用</s:t>
              </s:r>
            </s:text>
          </item>
        </commentChain>
      </unresolved>
      <resolved/>
    </commentChains>
  </commentList>
  <commentList sheetStid="8">
    <commentChains s:ref="D40" rgbClr="FF0000">
      <unresolved>
        <commentChain chainId="de30a79ce2fa980d04472a8f3520373f4a5a2d1b">
          <item id="a167652c3e821102ddbf28bcd629cc50402e3a19" isNormal="1">
            <s:text>
              <s:r>
                <s:t xml:space="preserve">MAXIEZ-Mの値流用
※1800kgはGM5H流用</s:t>
              </s:r>
            </s:text>
          </item>
        </commentChain>
      </unresolved>
      <resolved/>
    </commentChains>
  </commentList>
  <commentList sheetStid="9">
    <commentChains s:ref="D40" rgbClr="FF0000">
      <unresolved>
        <commentChain chainId="0f9875cbd60f5d35722b8a3052f010f1274e3894">
          <item id="0a6ccfbfe79e1c46a3bcfc5cd252d1994f6793c9" isNormal="1">
            <s:text>
              <s:r>
                <s:t xml:space="preserve">MAXIEZ-Mの値流用
※1800kgはGM5H流用</s:t>
              </s:r>
            </s:text>
          </item>
        </commentChain>
      </unresolved>
      <resolved/>
    </commentChains>
  </commentList>
</comments>
</file>

<file path=customXml/item2.xml><?xml version="1.0" encoding="utf-8"?>
<pixelators xmlns="https://web.wps.cn/et/2018/main" xmlns:s="http://schemas.openxmlformats.org/spreadsheetml/2006/main">
  <pixelatorList sheetStid="6"/>
  <pixelatorList sheetStid="8"/>
  <pixelatorList sheetStid="10"/>
  <pixelatorList sheetStid="9"/>
  <pixelatorList sheetStid="14"/>
  <pixelatorList sheetStid="5"/>
  <pixelatorList sheetStid="15"/>
</pixelators>
</file>

<file path=customXml/item3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ZPML-G660(8ms)</vt:lpstr>
      <vt:lpstr>ZPML-G960</vt:lpstr>
      <vt:lpstr>确认结果</vt:lpstr>
      <vt:lpstr>ZPML-GH70</vt:lpstr>
      <vt:lpstr>电梯配置表</vt:lpstr>
      <vt:lpstr>D-A-MESE-363.11</vt:lpstr>
      <vt:lpstr>'ZPML-G660(8ms)'!Область_печати</vt:lpstr>
      <vt:lpstr>'ZPML-G960'!Область_печати</vt:lpstr>
      <vt:lpstr>'ZPML-GH70'!Область_печати</vt:lpstr>
    </vt:vector>
  </TitlesOfParts>
  <Company>稲菱テクニカ（株）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asano fumihito</dc:creator>
  <cp:lastModifiedBy>Лесничий Алексей</cp:lastModifiedBy>
  <cp:lastPrinted>2022-07-17T00:29:00Z</cp:lastPrinted>
  <dcterms:created xsi:type="dcterms:W3CDTF">1999-07-23T20:24:00Z</dcterms:created>
  <dcterms:modified xsi:type="dcterms:W3CDTF">2026-05-18T08:01:10Z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27321637187844B48DFAEB78C35C9362</vt:lpwstr>
  </property>
  <property fmtid="{D5CDD505-2E9C-101B-9397-08002B2CF9AE}" pid="3" name="KSOProductBuildVer">
    <vt:lpwstr>2052-0.0.0.0</vt:lpwstr>
  </property>
</Properties>
</file>